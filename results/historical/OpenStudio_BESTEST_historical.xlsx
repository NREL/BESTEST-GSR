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goldwas/Documents/github/nrel/BESTEST-GSR/results/historical/"/>
    </mc:Choice>
  </mc:AlternateContent>
  <xr:revisionPtr revIDLastSave="0" documentId="13_ncr:1_{EE0CB6BD-01F0-6948-A079-5222F4436FEE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AB Envelope" sheetId="5" r:id="rId1"/>
    <sheet name="AB CE" sheetId="4" r:id="rId2"/>
    <sheet name="AB HE" sheetId="1" r:id="rId3"/>
  </sheets>
  <definedNames>
    <definedName name="_xlnm._FilterDatabase" localSheetId="1" hidden="1">'AB CE'!$C$6:$G$1437</definedName>
    <definedName name="_xlnm._FilterDatabase" localSheetId="0" hidden="1">'AB Envelope'!$C$6:$G$1967</definedName>
    <definedName name="_xlnm._FilterDatabase" localSheetId="2" hidden="1">'AB HE'!$C$6:$G$54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4" i="1" l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4" i="1" s="1"/>
  <c r="K14" i="1"/>
  <c r="K13" i="1"/>
  <c r="K12" i="1"/>
  <c r="K11" i="1"/>
  <c r="K10" i="1"/>
  <c r="K9" i="1"/>
  <c r="K8" i="1"/>
  <c r="K7" i="1"/>
  <c r="K1437" i="4"/>
  <c r="K1436" i="4"/>
  <c r="K1435" i="4"/>
  <c r="K1434" i="4"/>
  <c r="K1433" i="4"/>
  <c r="K1432" i="4"/>
  <c r="K1431" i="4"/>
  <c r="K1430" i="4"/>
  <c r="K1429" i="4"/>
  <c r="K1428" i="4"/>
  <c r="K1427" i="4"/>
  <c r="K1426" i="4"/>
  <c r="K1425" i="4"/>
  <c r="K1424" i="4"/>
  <c r="K1423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9" i="4"/>
  <c r="K1408" i="4"/>
  <c r="K1407" i="4"/>
  <c r="K1406" i="4"/>
  <c r="K1405" i="4"/>
  <c r="K1404" i="4"/>
  <c r="K1403" i="4"/>
  <c r="K1402" i="4"/>
  <c r="K1401" i="4"/>
  <c r="K1400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9" i="4"/>
  <c r="K1378" i="4"/>
  <c r="K1377" i="4"/>
  <c r="K1376" i="4"/>
  <c r="K1375" i="4"/>
  <c r="K1374" i="4"/>
  <c r="K1373" i="4"/>
  <c r="K1372" i="4"/>
  <c r="K1371" i="4"/>
  <c r="K1370" i="4"/>
  <c r="K1369" i="4"/>
  <c r="K1368" i="4"/>
  <c r="K1367" i="4"/>
  <c r="K1366" i="4"/>
  <c r="K1365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9" i="4"/>
  <c r="K1348" i="4"/>
  <c r="K1347" i="4"/>
  <c r="K1346" i="4"/>
  <c r="K1345" i="4"/>
  <c r="K1344" i="4"/>
  <c r="K1343" i="4"/>
  <c r="K1342" i="4"/>
  <c r="K1341" i="4"/>
  <c r="K1340" i="4"/>
  <c r="K1339" i="4"/>
  <c r="K1338" i="4"/>
  <c r="K1337" i="4"/>
  <c r="K1336" i="4"/>
  <c r="K1335" i="4"/>
  <c r="K1334" i="4"/>
  <c r="K1333" i="4"/>
  <c r="K1332" i="4"/>
  <c r="K1331" i="4"/>
  <c r="K1330" i="4"/>
  <c r="K1329" i="4"/>
  <c r="K1328" i="4"/>
  <c r="K1327" i="4"/>
  <c r="K1326" i="4"/>
  <c r="K1325" i="4"/>
  <c r="K1324" i="4"/>
  <c r="K1323" i="4"/>
  <c r="K1322" i="4"/>
  <c r="K1321" i="4"/>
  <c r="K1320" i="4"/>
  <c r="K1319" i="4"/>
  <c r="K1318" i="4"/>
  <c r="K1317" i="4"/>
  <c r="K1316" i="4"/>
  <c r="K1315" i="4"/>
  <c r="K1314" i="4"/>
  <c r="K1313" i="4"/>
  <c r="K1312" i="4"/>
  <c r="K1311" i="4"/>
  <c r="K1310" i="4"/>
  <c r="K1309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7" i="4"/>
  <c r="K1286" i="4"/>
  <c r="K1285" i="4"/>
  <c r="K1284" i="4"/>
  <c r="K1283" i="4"/>
  <c r="K1282" i="4"/>
  <c r="K1281" i="4"/>
  <c r="K1280" i="4"/>
  <c r="K1279" i="4"/>
  <c r="K1278" i="4"/>
  <c r="K1277" i="4"/>
  <c r="K1276" i="4"/>
  <c r="K1275" i="4"/>
  <c r="K1274" i="4"/>
  <c r="K1273" i="4"/>
  <c r="K1272" i="4"/>
  <c r="K1271" i="4"/>
  <c r="K1270" i="4"/>
  <c r="K1269" i="4"/>
  <c r="K1268" i="4"/>
  <c r="K1267" i="4"/>
  <c r="K1266" i="4"/>
  <c r="K1265" i="4"/>
  <c r="K1264" i="4"/>
  <c r="K1263" i="4"/>
  <c r="K1262" i="4"/>
  <c r="K1261" i="4"/>
  <c r="K1260" i="4"/>
  <c r="K1259" i="4"/>
  <c r="K1258" i="4"/>
  <c r="K1257" i="4"/>
  <c r="K1256" i="4"/>
  <c r="K1255" i="4"/>
  <c r="K1254" i="4"/>
  <c r="K1253" i="4"/>
  <c r="K1252" i="4"/>
  <c r="K1251" i="4"/>
  <c r="K1250" i="4"/>
  <c r="K1249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35" i="4"/>
  <c r="K1234" i="4"/>
  <c r="K1233" i="4"/>
  <c r="K1232" i="4"/>
  <c r="K1231" i="4"/>
  <c r="K1230" i="4"/>
  <c r="K1229" i="4"/>
  <c r="K1228" i="4"/>
  <c r="K1227" i="4"/>
  <c r="K1226" i="4"/>
  <c r="K1225" i="4"/>
  <c r="K1224" i="4"/>
  <c r="K1223" i="4"/>
  <c r="K1222" i="4"/>
  <c r="K1221" i="4"/>
  <c r="K1220" i="4"/>
  <c r="K1219" i="4"/>
  <c r="K1218" i="4"/>
  <c r="K1217" i="4"/>
  <c r="K1216" i="4"/>
  <c r="K1215" i="4"/>
  <c r="K1214" i="4"/>
  <c r="K1213" i="4"/>
  <c r="K1212" i="4"/>
  <c r="K1211" i="4"/>
  <c r="K1210" i="4"/>
  <c r="K1209" i="4"/>
  <c r="K1208" i="4"/>
  <c r="K1207" i="4"/>
  <c r="K1206" i="4"/>
  <c r="K1205" i="4"/>
  <c r="K1204" i="4"/>
  <c r="K1203" i="4"/>
  <c r="K1202" i="4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7" i="4"/>
  <c r="K1156" i="4"/>
  <c r="K1155" i="4"/>
  <c r="K1154" i="4"/>
  <c r="K1153" i="4"/>
  <c r="K1152" i="4"/>
  <c r="K1151" i="4"/>
  <c r="K1150" i="4"/>
  <c r="K1149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K1131" i="4"/>
  <c r="K1130" i="4"/>
  <c r="K1129" i="4"/>
  <c r="K1128" i="4"/>
  <c r="K1127" i="4"/>
  <c r="K1126" i="4"/>
  <c r="K1125" i="4"/>
  <c r="K1124" i="4"/>
  <c r="K1123" i="4"/>
  <c r="K1122" i="4"/>
  <c r="K1121" i="4"/>
  <c r="K1120" i="4"/>
  <c r="K1119" i="4"/>
  <c r="K1118" i="4"/>
  <c r="K1117" i="4"/>
  <c r="K1116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K1092" i="4"/>
  <c r="K1091" i="4"/>
  <c r="K1090" i="4"/>
  <c r="K1089" i="4"/>
  <c r="K1088" i="4"/>
  <c r="K1087" i="4"/>
  <c r="K1086" i="4"/>
  <c r="K1085" i="4"/>
  <c r="K1084" i="4"/>
  <c r="K1083" i="4"/>
  <c r="K1082" i="4"/>
  <c r="K1081" i="4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K1054" i="4"/>
  <c r="K1053" i="4"/>
  <c r="K1052" i="4"/>
  <c r="K1051" i="4"/>
  <c r="K1050" i="4"/>
  <c r="K1049" i="4"/>
  <c r="K1048" i="4"/>
  <c r="K1047" i="4"/>
  <c r="K1046" i="4"/>
  <c r="K1045" i="4"/>
  <c r="K1044" i="4"/>
  <c r="K1043" i="4"/>
  <c r="K1042" i="4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J7" i="5"/>
  <c r="K4" i="4" l="1"/>
  <c r="K4" i="5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J1437" i="4"/>
  <c r="J1436" i="4"/>
  <c r="J1435" i="4"/>
  <c r="J1434" i="4"/>
  <c r="J1433" i="4"/>
  <c r="J1432" i="4"/>
  <c r="J1431" i="4"/>
  <c r="J1430" i="4"/>
  <c r="J1429" i="4"/>
  <c r="J1428" i="4"/>
  <c r="J1427" i="4"/>
  <c r="J1426" i="4"/>
  <c r="J1425" i="4"/>
  <c r="J1424" i="4"/>
  <c r="J1423" i="4"/>
  <c r="J1422" i="4"/>
  <c r="J1421" i="4"/>
  <c r="J1420" i="4"/>
  <c r="J1419" i="4"/>
  <c r="J1418" i="4"/>
  <c r="J1417" i="4"/>
  <c r="J1416" i="4"/>
  <c r="J1415" i="4"/>
  <c r="J1414" i="4"/>
  <c r="J1413" i="4"/>
  <c r="J1412" i="4"/>
  <c r="J1411" i="4"/>
  <c r="J1410" i="4"/>
  <c r="J1409" i="4"/>
  <c r="J1408" i="4"/>
  <c r="J1407" i="4"/>
  <c r="J1406" i="4"/>
  <c r="J1405" i="4"/>
  <c r="J1404" i="4"/>
  <c r="J1403" i="4"/>
  <c r="J1402" i="4"/>
  <c r="J1401" i="4"/>
  <c r="J1400" i="4"/>
  <c r="J1399" i="4"/>
  <c r="J1398" i="4"/>
  <c r="J1397" i="4"/>
  <c r="J1396" i="4"/>
  <c r="J1395" i="4"/>
  <c r="J1394" i="4"/>
  <c r="J1393" i="4"/>
  <c r="J1392" i="4"/>
  <c r="J1391" i="4"/>
  <c r="J1390" i="4"/>
  <c r="J1389" i="4"/>
  <c r="J1388" i="4"/>
  <c r="J1387" i="4"/>
  <c r="J1386" i="4"/>
  <c r="J1385" i="4"/>
  <c r="J1384" i="4"/>
  <c r="J1383" i="4"/>
  <c r="J1382" i="4"/>
  <c r="J1381" i="4"/>
  <c r="J1380" i="4"/>
  <c r="J1379" i="4"/>
  <c r="J1378" i="4"/>
  <c r="J1377" i="4"/>
  <c r="J1376" i="4"/>
  <c r="J1375" i="4"/>
  <c r="J1374" i="4"/>
  <c r="J1373" i="4"/>
  <c r="J1372" i="4"/>
  <c r="J1371" i="4"/>
  <c r="J1370" i="4"/>
  <c r="J1369" i="4"/>
  <c r="J1368" i="4"/>
  <c r="J1367" i="4"/>
  <c r="J1366" i="4"/>
  <c r="J1365" i="4"/>
  <c r="J1364" i="4"/>
  <c r="J1363" i="4"/>
  <c r="J1362" i="4"/>
  <c r="J1361" i="4"/>
  <c r="J1360" i="4"/>
  <c r="J1359" i="4"/>
  <c r="J1358" i="4"/>
  <c r="J1357" i="4"/>
  <c r="J1356" i="4"/>
  <c r="J1355" i="4"/>
  <c r="J1354" i="4"/>
  <c r="J1353" i="4"/>
  <c r="J1352" i="4"/>
  <c r="J1351" i="4"/>
  <c r="J1350" i="4"/>
  <c r="J1349" i="4"/>
  <c r="J1348" i="4"/>
  <c r="J1347" i="4"/>
  <c r="J1346" i="4"/>
  <c r="J1345" i="4"/>
  <c r="J1344" i="4"/>
  <c r="J1343" i="4"/>
  <c r="J1342" i="4"/>
  <c r="J1341" i="4"/>
  <c r="J1340" i="4"/>
  <c r="J1339" i="4"/>
  <c r="J1338" i="4"/>
  <c r="J1337" i="4"/>
  <c r="J1336" i="4"/>
  <c r="J1335" i="4"/>
  <c r="J1334" i="4"/>
  <c r="J1333" i="4"/>
  <c r="J1332" i="4"/>
  <c r="J1331" i="4"/>
  <c r="J1330" i="4"/>
  <c r="J1329" i="4"/>
  <c r="J1328" i="4"/>
  <c r="J1327" i="4"/>
  <c r="J1326" i="4"/>
  <c r="J1325" i="4"/>
  <c r="J1324" i="4"/>
  <c r="J1323" i="4"/>
  <c r="J1322" i="4"/>
  <c r="J1321" i="4"/>
  <c r="J1320" i="4"/>
  <c r="J1319" i="4"/>
  <c r="J1318" i="4"/>
  <c r="J1317" i="4"/>
  <c r="J1316" i="4"/>
  <c r="J1315" i="4"/>
  <c r="J1314" i="4"/>
  <c r="J1313" i="4"/>
  <c r="J1312" i="4"/>
  <c r="J1311" i="4"/>
  <c r="J1310" i="4"/>
  <c r="J1309" i="4"/>
  <c r="J1308" i="4"/>
  <c r="J1307" i="4"/>
  <c r="J1306" i="4"/>
  <c r="J1305" i="4"/>
  <c r="J1304" i="4"/>
  <c r="J1303" i="4"/>
  <c r="J1302" i="4"/>
  <c r="J1301" i="4"/>
  <c r="J1300" i="4"/>
  <c r="J1299" i="4"/>
  <c r="J1298" i="4"/>
  <c r="J1297" i="4"/>
  <c r="J1296" i="4"/>
  <c r="J1295" i="4"/>
  <c r="J1294" i="4"/>
  <c r="J1293" i="4"/>
  <c r="J1292" i="4"/>
  <c r="J1291" i="4"/>
  <c r="J1290" i="4"/>
  <c r="J1289" i="4"/>
  <c r="J1288" i="4"/>
  <c r="J1287" i="4"/>
  <c r="J1286" i="4"/>
  <c r="J1285" i="4"/>
  <c r="J1284" i="4"/>
  <c r="J1283" i="4"/>
  <c r="J1282" i="4"/>
  <c r="J1281" i="4"/>
  <c r="J1280" i="4"/>
  <c r="J1279" i="4"/>
  <c r="J1278" i="4"/>
  <c r="J1277" i="4"/>
  <c r="J1276" i="4"/>
  <c r="J1275" i="4"/>
  <c r="J1274" i="4"/>
  <c r="J1273" i="4"/>
  <c r="J1272" i="4"/>
  <c r="J1271" i="4"/>
  <c r="J1270" i="4"/>
  <c r="J1269" i="4"/>
  <c r="J1268" i="4"/>
  <c r="J1267" i="4"/>
  <c r="J1266" i="4"/>
  <c r="J1265" i="4"/>
  <c r="J1264" i="4"/>
  <c r="J1263" i="4"/>
  <c r="J1262" i="4"/>
  <c r="J1261" i="4"/>
  <c r="J1260" i="4"/>
  <c r="J1259" i="4"/>
  <c r="J1258" i="4"/>
  <c r="J1257" i="4"/>
  <c r="J1256" i="4"/>
  <c r="J1255" i="4"/>
  <c r="J1254" i="4"/>
  <c r="J1253" i="4"/>
  <c r="J1252" i="4"/>
  <c r="J1251" i="4"/>
  <c r="J1250" i="4"/>
  <c r="J1249" i="4"/>
  <c r="J1248" i="4"/>
  <c r="J1247" i="4"/>
  <c r="J1246" i="4"/>
  <c r="J1245" i="4"/>
  <c r="J1244" i="4"/>
  <c r="J1243" i="4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7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J1115" i="4"/>
  <c r="J1114" i="4"/>
  <c r="J1113" i="4"/>
  <c r="J1112" i="4"/>
  <c r="J1111" i="4"/>
  <c r="J1110" i="4"/>
  <c r="J1109" i="4"/>
  <c r="J1108" i="4"/>
  <c r="J1107" i="4"/>
  <c r="J1106" i="4"/>
  <c r="J1105" i="4"/>
  <c r="J1104" i="4"/>
  <c r="J1103" i="4"/>
  <c r="J1102" i="4"/>
  <c r="J1101" i="4"/>
  <c r="J1100" i="4"/>
  <c r="J1099" i="4"/>
  <c r="J1098" i="4"/>
  <c r="J1097" i="4"/>
  <c r="J1096" i="4"/>
  <c r="J1095" i="4"/>
  <c r="J1094" i="4"/>
  <c r="J1093" i="4"/>
  <c r="J1092" i="4"/>
  <c r="J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967" i="5"/>
  <c r="J1966" i="5"/>
  <c r="J1965" i="5"/>
  <c r="J1964" i="5"/>
  <c r="J1963" i="5"/>
  <c r="J1962" i="5"/>
  <c r="J1961" i="5"/>
  <c r="J1960" i="5"/>
  <c r="J1959" i="5"/>
  <c r="J1958" i="5"/>
  <c r="J1957" i="5"/>
  <c r="J1956" i="5"/>
  <c r="J1955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E1967" i="5"/>
  <c r="E1966" i="5"/>
  <c r="E1965" i="5"/>
  <c r="E1964" i="5"/>
  <c r="E1963" i="5"/>
  <c r="E1962" i="5"/>
  <c r="E1961" i="5"/>
  <c r="E1960" i="5"/>
  <c r="E1959" i="5"/>
  <c r="E1958" i="5"/>
  <c r="E1957" i="5"/>
  <c r="E1956" i="5"/>
  <c r="E1955" i="5"/>
  <c r="E1954" i="5"/>
  <c r="E1953" i="5"/>
  <c r="E1952" i="5"/>
  <c r="E1951" i="5"/>
  <c r="E1950" i="5"/>
  <c r="E1949" i="5"/>
  <c r="E1948" i="5"/>
  <c r="E1947" i="5"/>
  <c r="E1946" i="5"/>
  <c r="E1945" i="5"/>
  <c r="E1944" i="5"/>
  <c r="E1943" i="5"/>
  <c r="E1942" i="5"/>
  <c r="E1941" i="5"/>
  <c r="E1940" i="5"/>
  <c r="E1939" i="5"/>
  <c r="E1938" i="5"/>
  <c r="E1937" i="5"/>
  <c r="E1936" i="5"/>
  <c r="E1935" i="5"/>
  <c r="E1934" i="5"/>
  <c r="E1933" i="5"/>
  <c r="E1932" i="5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7" i="5"/>
  <c r="E1906" i="5"/>
  <c r="E1905" i="5"/>
  <c r="E1904" i="5"/>
  <c r="E1903" i="5"/>
  <c r="E1902" i="5"/>
  <c r="E1901" i="5"/>
  <c r="E1900" i="5"/>
  <c r="E1899" i="5"/>
  <c r="E1898" i="5"/>
  <c r="E1897" i="5"/>
  <c r="E1896" i="5"/>
  <c r="E1895" i="5"/>
  <c r="E1894" i="5"/>
  <c r="E1893" i="5"/>
  <c r="E1892" i="5"/>
  <c r="E1891" i="5"/>
  <c r="E1890" i="5"/>
  <c r="E1889" i="5"/>
  <c r="E1888" i="5"/>
  <c r="E1887" i="5"/>
  <c r="E1886" i="5"/>
  <c r="E1885" i="5"/>
  <c r="E1884" i="5"/>
  <c r="E1883" i="5"/>
  <c r="E1882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5" i="5"/>
  <c r="E1864" i="5"/>
  <c r="E1863" i="5"/>
  <c r="E1862" i="5"/>
  <c r="E1861" i="5"/>
  <c r="E1860" i="5"/>
  <c r="E1859" i="5"/>
  <c r="E1858" i="5"/>
  <c r="E1857" i="5"/>
  <c r="E1856" i="5"/>
  <c r="E1855" i="5"/>
  <c r="E1854" i="5"/>
  <c r="E1853" i="5"/>
  <c r="E1852" i="5"/>
  <c r="E1851" i="5"/>
  <c r="E1850" i="5"/>
  <c r="E1849" i="5"/>
  <c r="E1848" i="5"/>
  <c r="E1847" i="5"/>
  <c r="E1846" i="5"/>
  <c r="E1845" i="5"/>
  <c r="E1844" i="5"/>
  <c r="E1843" i="5"/>
  <c r="E1842" i="5"/>
  <c r="E1841" i="5"/>
  <c r="E1840" i="5"/>
  <c r="E1839" i="5"/>
  <c r="E1838" i="5"/>
  <c r="E1837" i="5"/>
  <c r="E1836" i="5"/>
  <c r="E1835" i="5"/>
  <c r="E1834" i="5"/>
  <c r="E1833" i="5"/>
  <c r="E1832" i="5"/>
  <c r="E1831" i="5"/>
  <c r="E1830" i="5"/>
  <c r="E1829" i="5"/>
  <c r="E1828" i="5"/>
  <c r="E1827" i="5"/>
  <c r="E1826" i="5"/>
  <c r="E1825" i="5"/>
  <c r="E1824" i="5"/>
  <c r="E1823" i="5"/>
  <c r="E1822" i="5"/>
  <c r="E1821" i="5"/>
  <c r="E1820" i="5"/>
  <c r="E1819" i="5"/>
  <c r="E1818" i="5"/>
  <c r="E1817" i="5"/>
  <c r="E1816" i="5"/>
  <c r="E1815" i="5"/>
  <c r="E1814" i="5"/>
  <c r="E1813" i="5"/>
  <c r="E1812" i="5"/>
  <c r="E1811" i="5"/>
  <c r="E1810" i="5"/>
  <c r="E1809" i="5"/>
  <c r="E1808" i="5"/>
  <c r="E1807" i="5"/>
  <c r="E1806" i="5"/>
  <c r="E1805" i="5"/>
  <c r="E1804" i="5"/>
  <c r="E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6" i="5"/>
  <c r="E1785" i="5"/>
  <c r="E1784" i="5"/>
  <c r="E1783" i="5"/>
  <c r="E1782" i="5"/>
  <c r="E1781" i="5"/>
  <c r="E1780" i="5"/>
  <c r="E1779" i="5"/>
  <c r="E1778" i="5"/>
  <c r="E1777" i="5"/>
  <c r="E1776" i="5"/>
  <c r="E1775" i="5"/>
  <c r="E1774" i="5"/>
  <c r="E1773" i="5"/>
  <c r="E1772" i="5"/>
  <c r="E1771" i="5"/>
  <c r="E1770" i="5"/>
  <c r="E1769" i="5"/>
  <c r="E1768" i="5"/>
  <c r="E1767" i="5"/>
  <c r="E1766" i="5"/>
  <c r="E1765" i="5"/>
  <c r="E1764" i="5"/>
  <c r="E1763" i="5"/>
  <c r="E1762" i="5"/>
  <c r="E1761" i="5"/>
  <c r="E1760" i="5"/>
  <c r="E1759" i="5"/>
  <c r="E1758" i="5"/>
  <c r="E1757" i="5"/>
  <c r="E1756" i="5"/>
  <c r="E1755" i="5"/>
  <c r="E1754" i="5"/>
  <c r="E1753" i="5"/>
  <c r="E1752" i="5"/>
  <c r="E1751" i="5"/>
  <c r="E1750" i="5"/>
  <c r="E1749" i="5"/>
  <c r="E1748" i="5"/>
  <c r="E1747" i="5"/>
  <c r="E1746" i="5"/>
  <c r="E1745" i="5"/>
  <c r="E1744" i="5"/>
  <c r="E1743" i="5"/>
  <c r="E1742" i="5"/>
  <c r="E1741" i="5"/>
  <c r="E1740" i="5"/>
  <c r="E1739" i="5"/>
  <c r="E1738" i="5"/>
  <c r="E1737" i="5"/>
  <c r="E1736" i="5"/>
  <c r="E1735" i="5"/>
  <c r="E1734" i="5"/>
  <c r="E1733" i="5"/>
  <c r="E1732" i="5"/>
  <c r="E1731" i="5"/>
  <c r="E1730" i="5"/>
  <c r="E1729" i="5"/>
  <c r="E1728" i="5"/>
  <c r="E1727" i="5"/>
  <c r="E1726" i="5"/>
  <c r="E1725" i="5"/>
  <c r="E1724" i="5"/>
  <c r="E1723" i="5"/>
  <c r="E1722" i="5"/>
  <c r="E1721" i="5"/>
  <c r="E1720" i="5"/>
  <c r="E1719" i="5"/>
  <c r="E1718" i="5"/>
  <c r="E1717" i="5"/>
  <c r="E1716" i="5"/>
  <c r="E1715" i="5"/>
  <c r="E1714" i="5"/>
  <c r="E1713" i="5"/>
  <c r="E1712" i="5"/>
  <c r="E1711" i="5"/>
  <c r="E1710" i="5"/>
  <c r="E1709" i="5"/>
  <c r="E1708" i="5"/>
  <c r="E1707" i="5"/>
  <c r="E1706" i="5"/>
  <c r="E1705" i="5"/>
  <c r="E1704" i="5"/>
  <c r="E1703" i="5"/>
  <c r="E1702" i="5"/>
  <c r="E1701" i="5"/>
  <c r="E1700" i="5"/>
  <c r="E1699" i="5"/>
  <c r="E1698" i="5"/>
  <c r="E1697" i="5"/>
  <c r="E1696" i="5"/>
  <c r="E1695" i="5"/>
  <c r="E1694" i="5"/>
  <c r="E1693" i="5"/>
  <c r="E1692" i="5"/>
  <c r="E1691" i="5"/>
  <c r="E1690" i="5"/>
  <c r="E1689" i="5"/>
  <c r="E1688" i="5"/>
  <c r="E1687" i="5"/>
  <c r="E1686" i="5"/>
  <c r="E1685" i="5"/>
  <c r="E1684" i="5"/>
  <c r="E1683" i="5"/>
  <c r="E1682" i="5"/>
  <c r="E1681" i="5"/>
  <c r="E1680" i="5"/>
  <c r="E1679" i="5"/>
  <c r="E1678" i="5"/>
  <c r="E1677" i="5"/>
  <c r="E1676" i="5"/>
  <c r="E1675" i="5"/>
  <c r="E1674" i="5"/>
  <c r="E1673" i="5"/>
  <c r="E1672" i="5"/>
  <c r="E1671" i="5"/>
  <c r="E1670" i="5"/>
  <c r="E1669" i="5"/>
  <c r="E1668" i="5"/>
  <c r="E1667" i="5"/>
  <c r="E1666" i="5"/>
  <c r="E1665" i="5"/>
  <c r="E1664" i="5"/>
  <c r="E1663" i="5"/>
  <c r="E1662" i="5"/>
  <c r="E1661" i="5"/>
  <c r="E1660" i="5"/>
  <c r="E1659" i="5"/>
  <c r="E1658" i="5"/>
  <c r="E1657" i="5"/>
  <c r="E1656" i="5"/>
  <c r="E1655" i="5"/>
  <c r="E1654" i="5"/>
  <c r="E1653" i="5"/>
  <c r="E1652" i="5"/>
  <c r="E1651" i="5"/>
  <c r="E1650" i="5"/>
  <c r="E1649" i="5"/>
  <c r="E1648" i="5"/>
  <c r="E1647" i="5"/>
  <c r="E1646" i="5"/>
  <c r="E1645" i="5"/>
  <c r="E1644" i="5"/>
  <c r="E1643" i="5"/>
  <c r="E1642" i="5"/>
  <c r="E1641" i="5"/>
  <c r="E1640" i="5"/>
  <c r="E1639" i="5"/>
  <c r="E1638" i="5"/>
  <c r="E1637" i="5"/>
  <c r="E1636" i="5"/>
  <c r="E1635" i="5"/>
  <c r="E1634" i="5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602" i="5"/>
  <c r="E1601" i="5"/>
  <c r="E1600" i="5"/>
  <c r="E1599" i="5"/>
  <c r="E1598" i="5"/>
  <c r="E1597" i="5"/>
  <c r="E1596" i="5"/>
  <c r="E1595" i="5"/>
  <c r="E1594" i="5"/>
  <c r="E1593" i="5"/>
  <c r="E1592" i="5"/>
  <c r="E1591" i="5"/>
  <c r="E1590" i="5"/>
  <c r="E1589" i="5"/>
  <c r="E1588" i="5"/>
  <c r="E1587" i="5"/>
  <c r="E1586" i="5"/>
  <c r="E1585" i="5"/>
  <c r="E1584" i="5"/>
  <c r="E1583" i="5"/>
  <c r="E1582" i="5"/>
  <c r="E1581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3" i="5"/>
  <c r="E1562" i="5"/>
  <c r="E1561" i="5"/>
  <c r="E1560" i="5"/>
  <c r="E1559" i="5"/>
  <c r="E1558" i="5"/>
  <c r="E1557" i="5"/>
  <c r="E1556" i="5"/>
  <c r="E1555" i="5"/>
  <c r="E1554" i="5"/>
  <c r="E1553" i="5"/>
  <c r="E1552" i="5"/>
  <c r="E1551" i="5"/>
  <c r="E1550" i="5"/>
  <c r="E1549" i="5"/>
  <c r="E1548" i="5"/>
  <c r="E1547" i="5"/>
  <c r="E1546" i="5"/>
  <c r="E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20" i="5"/>
  <c r="E1519" i="5"/>
  <c r="E1518" i="5"/>
  <c r="E1517" i="5"/>
  <c r="E1516" i="5"/>
  <c r="E1515" i="5"/>
  <c r="E1514" i="5"/>
  <c r="E1513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J17" i="5"/>
  <c r="E17" i="5"/>
  <c r="J16" i="5"/>
  <c r="E16" i="5"/>
  <c r="J15" i="5"/>
  <c r="E15" i="5"/>
  <c r="J14" i="5"/>
  <c r="E14" i="5"/>
  <c r="J13" i="5"/>
  <c r="E13" i="5"/>
  <c r="J12" i="5"/>
  <c r="E12" i="5"/>
  <c r="J11" i="5"/>
  <c r="E11" i="5"/>
  <c r="J10" i="5"/>
  <c r="E10" i="5"/>
  <c r="J9" i="5"/>
  <c r="E9" i="5"/>
  <c r="J8" i="5"/>
  <c r="E8" i="5"/>
  <c r="E7" i="5"/>
  <c r="J17" i="4"/>
  <c r="E17" i="4"/>
  <c r="J16" i="4"/>
  <c r="E16" i="4"/>
  <c r="J15" i="4"/>
  <c r="E15" i="4"/>
  <c r="J14" i="4"/>
  <c r="E14" i="4"/>
  <c r="J13" i="4"/>
  <c r="E13" i="4"/>
  <c r="J12" i="4"/>
  <c r="E12" i="4"/>
  <c r="J11" i="4"/>
  <c r="E11" i="4"/>
  <c r="J10" i="4"/>
  <c r="E10" i="4"/>
  <c r="J9" i="4"/>
  <c r="E9" i="4"/>
  <c r="J8" i="4"/>
  <c r="E8" i="4"/>
  <c r="J7" i="4"/>
  <c r="E7" i="4"/>
  <c r="J4" i="4" l="1"/>
  <c r="J4" i="5"/>
  <c r="E17" i="1"/>
  <c r="E16" i="1"/>
  <c r="E15" i="1"/>
  <c r="E14" i="1"/>
  <c r="E13" i="1"/>
  <c r="E12" i="1"/>
  <c r="E11" i="1"/>
  <c r="E10" i="1"/>
  <c r="E9" i="1"/>
  <c r="E8" i="1"/>
  <c r="E7" i="1"/>
  <c r="J17" i="1"/>
  <c r="J16" i="1"/>
  <c r="J15" i="1"/>
  <c r="J14" i="1"/>
  <c r="J13" i="1"/>
  <c r="J12" i="1"/>
  <c r="J11" i="1"/>
  <c r="J10" i="1"/>
  <c r="J9" i="1"/>
  <c r="J8" i="1"/>
  <c r="J7" i="1"/>
  <c r="D54" i="1"/>
  <c r="D49" i="1"/>
  <c r="D44" i="1"/>
  <c r="D43" i="1"/>
  <c r="D40" i="1"/>
  <c r="D30" i="1"/>
  <c r="D1097" i="4"/>
  <c r="D797" i="4"/>
  <c r="D1437" i="4"/>
  <c r="D1387" i="4"/>
  <c r="D1337" i="4"/>
  <c r="D1287" i="4"/>
  <c r="D1237" i="4"/>
  <c r="D1182" i="4"/>
  <c r="D1117" i="4"/>
  <c r="D1042" i="4"/>
  <c r="D992" i="4"/>
  <c r="D942" i="4"/>
  <c r="D892" i="4"/>
  <c r="D812" i="4"/>
  <c r="D752" i="4"/>
  <c r="D1311" i="4"/>
  <c r="D1256" i="4"/>
  <c r="D1406" i="4"/>
  <c r="D1356" i="4"/>
  <c r="D1221" i="4"/>
  <c r="D1240" i="4"/>
  <c r="D1170" i="4"/>
  <c r="D1405" i="4"/>
  <c r="D1355" i="4"/>
  <c r="D1305" i="4"/>
  <c r="D1250" i="4"/>
  <c r="D1244" i="4"/>
  <c r="D1109" i="4"/>
  <c r="D1399" i="4"/>
  <c r="D1349" i="4"/>
  <c r="D1299" i="4"/>
  <c r="D1204" i="4"/>
  <c r="D1129" i="4"/>
  <c r="D1378" i="4"/>
  <c r="D1313" i="4"/>
  <c r="D1263" i="4"/>
  <c r="D1398" i="4"/>
  <c r="D1193" i="4"/>
  <c r="D1023" i="4"/>
  <c r="D895" i="4"/>
  <c r="D773" i="4"/>
  <c r="D658" i="4"/>
  <c r="D608" i="4"/>
  <c r="D558" i="4"/>
  <c r="D508" i="4"/>
  <c r="D363" i="4"/>
  <c r="D303" i="4"/>
  <c r="D1028" i="4"/>
  <c r="D900" i="4"/>
  <c r="D778" i="4"/>
  <c r="D983" i="4"/>
  <c r="D694" i="4"/>
  <c r="D1208" i="4"/>
  <c r="D1066" i="4"/>
  <c r="D844" i="4"/>
  <c r="D683" i="4"/>
  <c r="D617" i="4"/>
  <c r="D1010" i="4"/>
  <c r="D888" i="4"/>
  <c r="D760" i="4"/>
  <c r="D666" i="4"/>
  <c r="D606" i="4"/>
  <c r="D551" i="4"/>
  <c r="D501" i="4"/>
  <c r="D276" i="4"/>
  <c r="D181" i="4"/>
  <c r="D1115" i="4"/>
  <c r="D993" i="4"/>
  <c r="D865" i="4"/>
  <c r="D726" i="4"/>
  <c r="D481" i="4"/>
  <c r="D401" i="4"/>
  <c r="D341" i="4"/>
  <c r="D291" i="4"/>
  <c r="D216" i="4"/>
  <c r="D1020" i="4"/>
  <c r="D898" i="4"/>
  <c r="D770" i="4"/>
  <c r="D645" i="4"/>
  <c r="D555" i="4"/>
  <c r="D470" i="4"/>
  <c r="D250" i="4"/>
  <c r="D120" i="4"/>
  <c r="D1151" i="4"/>
  <c r="D1036" i="4"/>
  <c r="D914" i="4"/>
  <c r="D786" i="4"/>
  <c r="D665" i="4"/>
  <c r="D565" i="4"/>
  <c r="D440" i="4"/>
  <c r="D390" i="4"/>
  <c r="D335" i="4"/>
  <c r="D260" i="4"/>
  <c r="D185" i="4"/>
  <c r="D105" i="4"/>
  <c r="D55" i="4"/>
  <c r="D1008" i="4"/>
  <c r="D880" i="4"/>
  <c r="D758" i="4"/>
  <c r="D474" i="4"/>
  <c r="D414" i="4"/>
  <c r="D309" i="4"/>
  <c r="D254" i="4"/>
  <c r="D119" i="4"/>
  <c r="D64" i="4"/>
  <c r="D1228" i="4"/>
  <c r="D1075" i="4"/>
  <c r="D946" i="4"/>
  <c r="D824" i="4"/>
  <c r="D696" i="4"/>
  <c r="D629" i="4"/>
  <c r="D579" i="4"/>
  <c r="D524" i="4"/>
  <c r="D449" i="4"/>
  <c r="D324" i="4"/>
  <c r="D199" i="4"/>
  <c r="D99" i="4"/>
  <c r="D1018" i="4"/>
  <c r="D890" i="4"/>
  <c r="D768" i="4"/>
  <c r="D478" i="4"/>
  <c r="D413" i="4"/>
  <c r="D572" i="4"/>
  <c r="D39" i="1"/>
  <c r="D34" i="1"/>
  <c r="D29" i="1"/>
  <c r="D24" i="1"/>
  <c r="D19" i="1"/>
  <c r="D32" i="1"/>
  <c r="D37" i="1"/>
  <c r="D27" i="1"/>
  <c r="D22" i="1"/>
  <c r="D35" i="1"/>
  <c r="D1092" i="4"/>
  <c r="D717" i="4"/>
  <c r="D1422" i="4"/>
  <c r="D1367" i="4"/>
  <c r="D1312" i="4"/>
  <c r="D1257" i="4"/>
  <c r="D1197" i="4"/>
  <c r="D1137" i="4"/>
  <c r="D1047" i="4"/>
  <c r="D987" i="4"/>
  <c r="D932" i="4"/>
  <c r="D877" i="4"/>
  <c r="D782" i="4"/>
  <c r="D727" i="4"/>
  <c r="D1276" i="4"/>
  <c r="D1421" i="4"/>
  <c r="D1366" i="4"/>
  <c r="D1226" i="4"/>
  <c r="D1215" i="4"/>
  <c r="D1160" i="4"/>
  <c r="D1390" i="4"/>
  <c r="D1335" i="4"/>
  <c r="D1275" i="4"/>
  <c r="D1269" i="4"/>
  <c r="D1149" i="4"/>
  <c r="D1409" i="4"/>
  <c r="D1354" i="4"/>
  <c r="D1294" i="4"/>
  <c r="D1189" i="4"/>
  <c r="D1114" i="4"/>
  <c r="D1358" i="4"/>
  <c r="D1288" i="4"/>
  <c r="D1418" i="4"/>
  <c r="D1258" i="4"/>
  <c r="D1045" i="4"/>
  <c r="D906" i="4"/>
  <c r="D756" i="4"/>
  <c r="D648" i="4"/>
  <c r="D593" i="4"/>
  <c r="D538" i="4"/>
  <c r="D473" i="4"/>
  <c r="D323" i="4"/>
  <c r="D1061" i="4"/>
  <c r="D928" i="4"/>
  <c r="D789" i="4"/>
  <c r="D966" i="4"/>
  <c r="D612" i="4"/>
  <c r="D1161" i="4"/>
  <c r="D1016" i="4"/>
  <c r="D783" i="4"/>
  <c r="D642" i="4"/>
  <c r="D1049" i="4"/>
  <c r="D910" i="4"/>
  <c r="D771" i="4"/>
  <c r="D661" i="4"/>
  <c r="D596" i="4"/>
  <c r="D536" i="4"/>
  <c r="D431" i="4"/>
  <c r="D206" i="4"/>
  <c r="D1198" i="4"/>
  <c r="D1026" i="4"/>
  <c r="D893" i="4"/>
  <c r="D743" i="4"/>
  <c r="D476" i="4"/>
  <c r="D391" i="4"/>
  <c r="D326" i="4"/>
  <c r="D256" i="4"/>
  <c r="D1108" i="4"/>
  <c r="D948" i="4"/>
  <c r="D809" i="4"/>
  <c r="D676" i="4"/>
  <c r="D560" i="4"/>
  <c r="D460" i="4"/>
  <c r="D240" i="4"/>
  <c r="D30" i="4"/>
  <c r="D1101" i="4"/>
  <c r="D975" i="4"/>
  <c r="D836" i="4"/>
  <c r="D703" i="4"/>
  <c r="D580" i="4"/>
  <c r="D445" i="4"/>
  <c r="D385" i="4"/>
  <c r="D320" i="4"/>
  <c r="D220" i="4"/>
  <c r="D160" i="4"/>
  <c r="D80" i="4"/>
  <c r="D1058" i="4"/>
  <c r="D919" i="4"/>
  <c r="D780" i="4"/>
  <c r="D479" i="4"/>
  <c r="D409" i="4"/>
  <c r="D299" i="4"/>
  <c r="D234" i="4"/>
  <c r="D94" i="4"/>
  <c r="D39" i="4"/>
  <c r="D1125" i="4"/>
  <c r="D985" i="4"/>
  <c r="D846" i="4"/>
  <c r="D713" i="4"/>
  <c r="D624" i="4"/>
  <c r="D569" i="4"/>
  <c r="D509" i="4"/>
  <c r="D384" i="4"/>
  <c r="D224" i="4"/>
  <c r="D149" i="4"/>
  <c r="D1051" i="4"/>
  <c r="D918" i="4"/>
  <c r="D779" i="4"/>
  <c r="D468" i="4"/>
  <c r="D53" i="1"/>
  <c r="D52" i="1"/>
  <c r="D25" i="1"/>
  <c r="D1087" i="4"/>
  <c r="D712" i="4"/>
  <c r="D1417" i="4"/>
  <c r="D1362" i="4"/>
  <c r="D1307" i="4"/>
  <c r="D1252" i="4"/>
  <c r="D1192" i="4"/>
  <c r="D1127" i="4"/>
  <c r="D1037" i="4"/>
  <c r="D982" i="4"/>
  <c r="D927" i="4"/>
  <c r="D872" i="4"/>
  <c r="D777" i="4"/>
  <c r="D697" i="4"/>
  <c r="D1271" i="4"/>
  <c r="D1416" i="4"/>
  <c r="D1361" i="4"/>
  <c r="D1216" i="4"/>
  <c r="D1210" i="4"/>
  <c r="D1155" i="4"/>
  <c r="D1385" i="4"/>
  <c r="D1330" i="4"/>
  <c r="D1270" i="4"/>
  <c r="D1259" i="4"/>
  <c r="D1144" i="4"/>
  <c r="D1404" i="4"/>
  <c r="D1344" i="4"/>
  <c r="D1289" i="4"/>
  <c r="D1184" i="4"/>
  <c r="D1099" i="4"/>
  <c r="D1353" i="4"/>
  <c r="D1283" i="4"/>
  <c r="D1413" i="4"/>
  <c r="D1243" i="4"/>
  <c r="D1034" i="4"/>
  <c r="D884" i="4"/>
  <c r="D745" i="4"/>
  <c r="D643" i="4"/>
  <c r="D588" i="4"/>
  <c r="D533" i="4"/>
  <c r="D423" i="4"/>
  <c r="D318" i="4"/>
  <c r="D1050" i="4"/>
  <c r="D911" i="4"/>
  <c r="D761" i="4"/>
  <c r="D955" i="4"/>
  <c r="D602" i="4"/>
  <c r="D1141" i="4"/>
  <c r="D1005" i="4"/>
  <c r="D766" i="4"/>
  <c r="D637" i="4"/>
  <c r="D1038" i="4"/>
  <c r="D899" i="4"/>
  <c r="D749" i="4"/>
  <c r="D656" i="4"/>
  <c r="D591" i="4"/>
  <c r="D531" i="4"/>
  <c r="D426" i="4"/>
  <c r="D201" i="4"/>
  <c r="D1146" i="4"/>
  <c r="D1015" i="4"/>
  <c r="D876" i="4"/>
  <c r="D715" i="4"/>
  <c r="D461" i="4"/>
  <c r="D386" i="4"/>
  <c r="D321" i="4"/>
  <c r="D246" i="4"/>
  <c r="D1083" i="4"/>
  <c r="D931" i="4"/>
  <c r="D798" i="4"/>
  <c r="D650" i="4"/>
  <c r="D550" i="4"/>
  <c r="D455" i="4"/>
  <c r="D235" i="4"/>
  <c r="D25" i="4"/>
  <c r="D1095" i="4"/>
  <c r="D964" i="4"/>
  <c r="D825" i="4"/>
  <c r="D686" i="4"/>
  <c r="D570" i="4"/>
  <c r="D435" i="4"/>
  <c r="D380" i="4"/>
  <c r="D310" i="4"/>
  <c r="D215" i="4"/>
  <c r="D140" i="4"/>
  <c r="D48" i="1"/>
  <c r="D51" i="1"/>
  <c r="D20" i="1"/>
  <c r="D867" i="4"/>
  <c r="D707" i="4"/>
  <c r="D1412" i="4"/>
  <c r="D1357" i="4"/>
  <c r="D1302" i="4"/>
  <c r="D1247" i="4"/>
  <c r="D1187" i="4"/>
  <c r="D1107" i="4"/>
  <c r="D1032" i="4"/>
  <c r="D977" i="4"/>
  <c r="D922" i="4"/>
  <c r="D862" i="4"/>
  <c r="D772" i="4"/>
  <c r="D1346" i="4"/>
  <c r="D1266" i="4"/>
  <c r="D1411" i="4"/>
  <c r="D1351" i="4"/>
  <c r="D1211" i="4"/>
  <c r="D1205" i="4"/>
  <c r="D1435" i="4"/>
  <c r="D1380" i="4"/>
  <c r="D1325" i="4"/>
  <c r="D1265" i="4"/>
  <c r="D1254" i="4"/>
  <c r="D1139" i="4"/>
  <c r="D1394" i="4"/>
  <c r="D1339" i="4"/>
  <c r="D1284" i="4"/>
  <c r="D1179" i="4"/>
  <c r="D1094" i="4"/>
  <c r="D1348" i="4"/>
  <c r="D1278" i="4"/>
  <c r="D1408" i="4"/>
  <c r="D1218" i="4"/>
  <c r="D1006" i="4"/>
  <c r="D873" i="4"/>
  <c r="D734" i="4"/>
  <c r="D638" i="4"/>
  <c r="D583" i="4"/>
  <c r="D528" i="4"/>
  <c r="D418" i="4"/>
  <c r="D313" i="4"/>
  <c r="D1039" i="4"/>
  <c r="D889" i="4"/>
  <c r="D750" i="4"/>
  <c r="D944" i="4"/>
  <c r="D597" i="4"/>
  <c r="D1135" i="4"/>
  <c r="D994" i="4"/>
  <c r="D755" i="4"/>
  <c r="D632" i="4"/>
  <c r="D1021" i="4"/>
  <c r="D871" i="4"/>
  <c r="D738" i="4"/>
  <c r="D651" i="4"/>
  <c r="D586" i="4"/>
  <c r="D526" i="4"/>
  <c r="D421" i="4"/>
  <c r="D196" i="4"/>
  <c r="D1140" i="4"/>
  <c r="D1004" i="4"/>
  <c r="D854" i="4"/>
  <c r="D704" i="4"/>
  <c r="D451" i="4"/>
  <c r="D381" i="4"/>
  <c r="D316" i="4"/>
  <c r="D236" i="4"/>
  <c r="D1059" i="4"/>
  <c r="D920" i="4"/>
  <c r="D781" i="4"/>
  <c r="D640" i="4"/>
  <c r="D545" i="4"/>
  <c r="D450" i="4"/>
  <c r="D230" i="4"/>
  <c r="D20" i="4"/>
  <c r="D1076" i="4"/>
  <c r="D953" i="4"/>
  <c r="D814" i="4"/>
  <c r="D670" i="4"/>
  <c r="D540" i="4"/>
  <c r="D430" i="4"/>
  <c r="D375" i="4"/>
  <c r="D300" i="4"/>
  <c r="D210" i="4"/>
  <c r="D130" i="4"/>
  <c r="D70" i="4"/>
  <c r="D1030" i="4"/>
  <c r="D891" i="4"/>
  <c r="D741" i="4"/>
  <c r="D464" i="4"/>
  <c r="D379" i="4"/>
  <c r="D289" i="4"/>
  <c r="D179" i="4"/>
  <c r="D84" i="4"/>
  <c r="D29" i="4"/>
  <c r="D1100" i="4"/>
  <c r="D963" i="4"/>
  <c r="D813" i="4"/>
  <c r="D669" i="4"/>
  <c r="D614" i="4"/>
  <c r="D559" i="4"/>
  <c r="D499" i="4"/>
  <c r="D38" i="1"/>
  <c r="D46" i="1"/>
  <c r="D50" i="1"/>
  <c r="D857" i="4"/>
  <c r="D702" i="4"/>
  <c r="D1407" i="4"/>
  <c r="D1352" i="4"/>
  <c r="D1297" i="4"/>
  <c r="D1242" i="4"/>
  <c r="D1177" i="4"/>
  <c r="D1082" i="4"/>
  <c r="D1027" i="4"/>
  <c r="D972" i="4"/>
  <c r="D917" i="4"/>
  <c r="D852" i="4"/>
  <c r="D767" i="4"/>
  <c r="D1336" i="4"/>
  <c r="D1261" i="4"/>
  <c r="D1401" i="4"/>
  <c r="D1341" i="4"/>
  <c r="D1206" i="4"/>
  <c r="D1200" i="4"/>
  <c r="D1430" i="4"/>
  <c r="D1375" i="4"/>
  <c r="D1320" i="4"/>
  <c r="D1260" i="4"/>
  <c r="D1249" i="4"/>
  <c r="D1104" i="4"/>
  <c r="D1389" i="4"/>
  <c r="D1334" i="4"/>
  <c r="D1279" i="4"/>
  <c r="D1174" i="4"/>
  <c r="D1089" i="4"/>
  <c r="D1328" i="4"/>
  <c r="D1273" i="4"/>
  <c r="D1403" i="4"/>
  <c r="D1136" i="4"/>
  <c r="D995" i="4"/>
  <c r="D856" i="4"/>
  <c r="D723" i="4"/>
  <c r="D633" i="4"/>
  <c r="D578" i="4"/>
  <c r="D523" i="4"/>
  <c r="D388" i="4"/>
  <c r="D308" i="4"/>
  <c r="D1011" i="4"/>
  <c r="D878" i="4"/>
  <c r="D739" i="4"/>
  <c r="D933" i="4"/>
  <c r="D592" i="4"/>
  <c r="D1116" i="4"/>
  <c r="D883" i="4"/>
  <c r="D733" i="4"/>
  <c r="D627" i="4"/>
  <c r="D999" i="4"/>
  <c r="D860" i="4"/>
  <c r="D721" i="4"/>
  <c r="D646" i="4"/>
  <c r="D581" i="4"/>
  <c r="D521" i="4"/>
  <c r="D376" i="4"/>
  <c r="D191" i="4"/>
  <c r="D1121" i="4"/>
  <c r="D976" i="4"/>
  <c r="D843" i="4"/>
  <c r="D693" i="4"/>
  <c r="D446" i="4"/>
  <c r="D371" i="4"/>
  <c r="D311" i="4"/>
  <c r="D231" i="4"/>
  <c r="D1048" i="4"/>
  <c r="D909" i="4"/>
  <c r="D759" i="4"/>
  <c r="D635" i="4"/>
  <c r="D535" i="4"/>
  <c r="D350" i="4"/>
  <c r="D165" i="4"/>
  <c r="D1238" i="4"/>
  <c r="D33" i="1"/>
  <c r="D41" i="1"/>
  <c r="D1227" i="4"/>
  <c r="D847" i="4"/>
  <c r="D692" i="4"/>
  <c r="D1402" i="4"/>
  <c r="D1347" i="4"/>
  <c r="D1292" i="4"/>
  <c r="D1232" i="4"/>
  <c r="D1172" i="4"/>
  <c r="D1077" i="4"/>
  <c r="D1022" i="4"/>
  <c r="D967" i="4"/>
  <c r="D912" i="4"/>
  <c r="D837" i="4"/>
  <c r="D762" i="4"/>
  <c r="D1316" i="4"/>
  <c r="D1251" i="4"/>
  <c r="D1396" i="4"/>
  <c r="D1331" i="4"/>
  <c r="D1201" i="4"/>
  <c r="D1195" i="4"/>
  <c r="D1425" i="4"/>
  <c r="D1370" i="4"/>
  <c r="D1315" i="4"/>
  <c r="D1255" i="4"/>
  <c r="D1239" i="4"/>
  <c r="D1069" i="4"/>
  <c r="D1384" i="4"/>
  <c r="D1329" i="4"/>
  <c r="D1274" i="4"/>
  <c r="D1169" i="4"/>
  <c r="D1084" i="4"/>
  <c r="D1323" i="4"/>
  <c r="D1268" i="4"/>
  <c r="D1393" i="4"/>
  <c r="D1130" i="4"/>
  <c r="D984" i="4"/>
  <c r="D845" i="4"/>
  <c r="D706" i="4"/>
  <c r="D628" i="4"/>
  <c r="D573" i="4"/>
  <c r="D518" i="4"/>
  <c r="D373" i="4"/>
  <c r="D298" i="4"/>
  <c r="D1000" i="4"/>
  <c r="D861" i="4"/>
  <c r="D728" i="4"/>
  <c r="D916" i="4"/>
  <c r="D587" i="4"/>
  <c r="D1110" i="4"/>
  <c r="D866" i="4"/>
  <c r="D705" i="4"/>
  <c r="D607" i="4"/>
  <c r="D988" i="4"/>
  <c r="D849" i="4"/>
  <c r="D710" i="4"/>
  <c r="D636" i="4"/>
  <c r="D576" i="4"/>
  <c r="D516" i="4"/>
  <c r="D366" i="4"/>
  <c r="D186" i="4"/>
  <c r="D1096" i="4"/>
  <c r="D965" i="4"/>
  <c r="D826" i="4"/>
  <c r="D641" i="4"/>
  <c r="D441" i="4"/>
  <c r="D361" i="4"/>
  <c r="D306" i="4"/>
  <c r="D226" i="4"/>
  <c r="D1031" i="4"/>
  <c r="D881" i="4"/>
  <c r="D748" i="4"/>
  <c r="D630" i="4"/>
  <c r="D525" i="4"/>
  <c r="D325" i="4"/>
  <c r="D155" i="4"/>
  <c r="D1213" i="4"/>
  <c r="D1064" i="4"/>
  <c r="D925" i="4"/>
  <c r="D775" i="4"/>
  <c r="D655" i="4"/>
  <c r="D520" i="4"/>
  <c r="D420" i="4"/>
  <c r="D365" i="4"/>
  <c r="D290" i="4"/>
  <c r="D200" i="4"/>
  <c r="D115" i="4"/>
  <c r="D60" i="4"/>
  <c r="D991" i="4"/>
  <c r="D858" i="4"/>
  <c r="D719" i="4"/>
  <c r="D444" i="4"/>
  <c r="D369" i="4"/>
  <c r="D279" i="4"/>
  <c r="D164" i="4"/>
  <c r="D74" i="4"/>
  <c r="D19" i="4"/>
  <c r="D1063" i="4"/>
  <c r="D924" i="4"/>
  <c r="D785" i="4"/>
  <c r="D659" i="4"/>
  <c r="D604" i="4"/>
  <c r="D549" i="4"/>
  <c r="D489" i="4"/>
  <c r="D334" i="4"/>
  <c r="D204" i="4"/>
  <c r="D1163" i="4"/>
  <c r="D990" i="4"/>
  <c r="D851" i="4"/>
  <c r="D718" i="4"/>
  <c r="D448" i="4"/>
  <c r="D378" i="4"/>
  <c r="D397" i="4"/>
  <c r="D72" i="4"/>
  <c r="D147" i="4"/>
  <c r="D47" i="4"/>
  <c r="D462" i="4"/>
  <c r="D173" i="4"/>
  <c r="D77" i="4"/>
  <c r="D527" i="4"/>
  <c r="D28" i="1"/>
  <c r="D36" i="1"/>
  <c r="D1147" i="4"/>
  <c r="D842" i="4"/>
  <c r="D687" i="4"/>
  <c r="D1397" i="4"/>
  <c r="D1342" i="4"/>
  <c r="D1282" i="4"/>
  <c r="D1222" i="4"/>
  <c r="D1167" i="4"/>
  <c r="D1072" i="4"/>
  <c r="D1017" i="4"/>
  <c r="D962" i="4"/>
  <c r="D907" i="4"/>
  <c r="D832" i="4"/>
  <c r="D757" i="4"/>
  <c r="D1306" i="4"/>
  <c r="D1246" i="4"/>
  <c r="D1391" i="4"/>
  <c r="D1326" i="4"/>
  <c r="D1196" i="4"/>
  <c r="D1190" i="4"/>
  <c r="D1420" i="4"/>
  <c r="D1365" i="4"/>
  <c r="D1310" i="4"/>
  <c r="D1245" i="4"/>
  <c r="D1234" i="4"/>
  <c r="D1434" i="4"/>
  <c r="D1379" i="4"/>
  <c r="D1324" i="4"/>
  <c r="D1264" i="4"/>
  <c r="D1164" i="4"/>
  <c r="D1079" i="4"/>
  <c r="D1318" i="4"/>
  <c r="D1253" i="4"/>
  <c r="D1388" i="4"/>
  <c r="D1111" i="4"/>
  <c r="D973" i="4"/>
  <c r="D834" i="4"/>
  <c r="D695" i="4"/>
  <c r="D623" i="4"/>
  <c r="D568" i="4"/>
  <c r="D513" i="4"/>
  <c r="D348" i="4"/>
  <c r="D1176" i="4"/>
  <c r="D989" i="4"/>
  <c r="D850" i="4"/>
  <c r="D711" i="4"/>
  <c r="D905" i="4"/>
  <c r="D582" i="4"/>
  <c r="D1091" i="4"/>
  <c r="D855" i="4"/>
  <c r="D667" i="4"/>
  <c r="D1153" i="4"/>
  <c r="D971" i="4"/>
  <c r="D838" i="4"/>
  <c r="D699" i="4"/>
  <c r="D631" i="4"/>
  <c r="D571" i="4"/>
  <c r="D511" i="4"/>
  <c r="D286" i="4"/>
  <c r="D176" i="4"/>
  <c r="D1090" i="4"/>
  <c r="D954" i="4"/>
  <c r="D804" i="4"/>
  <c r="D611" i="4"/>
  <c r="D436" i="4"/>
  <c r="D356" i="4"/>
  <c r="D301" i="4"/>
  <c r="D221" i="4"/>
  <c r="D1009" i="4"/>
  <c r="D870" i="4"/>
  <c r="D731" i="4"/>
  <c r="D625" i="4"/>
  <c r="D515" i="4"/>
  <c r="D315" i="4"/>
  <c r="D150" i="4"/>
  <c r="D1188" i="4"/>
  <c r="D1053" i="4"/>
  <c r="D23" i="1"/>
  <c r="D31" i="1"/>
  <c r="D1132" i="4"/>
  <c r="D827" i="4"/>
  <c r="D682" i="4"/>
  <c r="D1392" i="4"/>
  <c r="D1332" i="4"/>
  <c r="D1277" i="4"/>
  <c r="D1217" i="4"/>
  <c r="D1162" i="4"/>
  <c r="D1067" i="4"/>
  <c r="D1012" i="4"/>
  <c r="D957" i="4"/>
  <c r="D902" i="4"/>
  <c r="D822" i="4"/>
  <c r="D747" i="4"/>
  <c r="D1301" i="4"/>
  <c r="D1241" i="4"/>
  <c r="D1386" i="4"/>
  <c r="D1321" i="4"/>
  <c r="D1191" i="4"/>
  <c r="D1185" i="4"/>
  <c r="D1415" i="4"/>
  <c r="D1360" i="4"/>
  <c r="D1300" i="4"/>
  <c r="D1235" i="4"/>
  <c r="D1229" i="4"/>
  <c r="D1429" i="4"/>
  <c r="D1374" i="4"/>
  <c r="D1319" i="4"/>
  <c r="D1219" i="4"/>
  <c r="D1159" i="4"/>
  <c r="D1074" i="4"/>
  <c r="D1308" i="4"/>
  <c r="D1248" i="4"/>
  <c r="D1383" i="4"/>
  <c r="D1105" i="4"/>
  <c r="D956" i="4"/>
  <c r="D823" i="4"/>
  <c r="D684" i="4"/>
  <c r="D618" i="4"/>
  <c r="D563" i="4"/>
  <c r="D503" i="4"/>
  <c r="D343" i="4"/>
  <c r="D1148" i="4"/>
  <c r="D978" i="4"/>
  <c r="D839" i="4"/>
  <c r="D700" i="4"/>
  <c r="D894" i="4"/>
  <c r="D577" i="4"/>
  <c r="D1085" i="4"/>
  <c r="D833" i="4"/>
  <c r="D662" i="4"/>
  <c r="D1128" i="4"/>
  <c r="D960" i="4"/>
  <c r="D821" i="4"/>
  <c r="D688" i="4"/>
  <c r="D626" i="4"/>
  <c r="D566" i="4"/>
  <c r="D506" i="4"/>
  <c r="D261" i="4"/>
  <c r="D171" i="4"/>
  <c r="D1071" i="4"/>
  <c r="D943" i="4"/>
  <c r="D793" i="4"/>
  <c r="D561" i="4"/>
  <c r="D416" i="4"/>
  <c r="D351" i="4"/>
  <c r="D296" i="4"/>
  <c r="D156" i="4"/>
  <c r="D998" i="4"/>
  <c r="D859" i="4"/>
  <c r="D720" i="4"/>
  <c r="D620" i="4"/>
  <c r="D505" i="4"/>
  <c r="D305" i="4"/>
  <c r="D145" i="4"/>
  <c r="D1158" i="4"/>
  <c r="D1025" i="4"/>
  <c r="D886" i="4"/>
  <c r="D753" i="4"/>
  <c r="D600" i="4"/>
  <c r="D495" i="4"/>
  <c r="D410" i="4"/>
  <c r="D355" i="4"/>
  <c r="D280" i="4"/>
  <c r="D190" i="4"/>
  <c r="D100" i="4"/>
  <c r="D35" i="4"/>
  <c r="D969" i="4"/>
  <c r="D830" i="4"/>
  <c r="D691" i="4"/>
  <c r="D434" i="4"/>
  <c r="D359" i="4"/>
  <c r="D269" i="4"/>
  <c r="D124" i="4"/>
  <c r="D59" i="4"/>
  <c r="D1178" i="4"/>
  <c r="D1035" i="4"/>
  <c r="D896" i="4"/>
  <c r="D763" i="4"/>
  <c r="D649" i="4"/>
  <c r="D594" i="4"/>
  <c r="D539" i="4"/>
  <c r="D454" i="4"/>
  <c r="D314" i="4"/>
  <c r="D189" i="4"/>
  <c r="D1143" i="4"/>
  <c r="D968" i="4"/>
  <c r="D829" i="4"/>
  <c r="D690" i="4"/>
  <c r="D438" i="4"/>
  <c r="D358" i="4"/>
  <c r="D347" i="4"/>
  <c r="D41" i="4"/>
  <c r="D128" i="4"/>
  <c r="D22" i="4"/>
  <c r="D412" i="4"/>
  <c r="D146" i="4"/>
  <c r="D58" i="4"/>
  <c r="D477" i="4"/>
  <c r="D208" i="4"/>
  <c r="D138" i="4"/>
  <c r="D57" i="4"/>
  <c r="D442" i="4"/>
  <c r="D178" i="4"/>
  <c r="D131" i="4"/>
  <c r="D18" i="1"/>
  <c r="D26" i="1"/>
  <c r="D1122" i="4"/>
  <c r="D817" i="4"/>
  <c r="D672" i="4"/>
  <c r="D1382" i="4"/>
  <c r="D1327" i="4"/>
  <c r="D1272" i="4"/>
  <c r="D1212" i="4"/>
  <c r="D1157" i="4"/>
  <c r="D1062" i="4"/>
  <c r="D1007" i="4"/>
  <c r="D952" i="4"/>
  <c r="D897" i="4"/>
  <c r="D807" i="4"/>
  <c r="D742" i="4"/>
  <c r="D1296" i="4"/>
  <c r="D1436" i="4"/>
  <c r="D1381" i="4"/>
  <c r="D1286" i="4"/>
  <c r="D1186" i="4"/>
  <c r="D1180" i="4"/>
  <c r="D1410" i="4"/>
  <c r="D1350" i="4"/>
  <c r="D1295" i="4"/>
  <c r="D1230" i="4"/>
  <c r="D1224" i="4"/>
  <c r="D1424" i="4"/>
  <c r="D1369" i="4"/>
  <c r="D1314" i="4"/>
  <c r="D1214" i="4"/>
  <c r="D1134" i="4"/>
  <c r="D1373" i="4"/>
  <c r="D1303" i="4"/>
  <c r="D1433" i="4"/>
  <c r="D1343" i="4"/>
  <c r="D1086" i="4"/>
  <c r="D945" i="4"/>
  <c r="D806" i="4"/>
  <c r="D668" i="4"/>
  <c r="D613" i="4"/>
  <c r="D553" i="4"/>
  <c r="D498" i="4"/>
  <c r="D338" i="4"/>
  <c r="D1123" i="4"/>
  <c r="D961" i="4"/>
  <c r="D828" i="4"/>
  <c r="D689" i="4"/>
  <c r="D744" i="4"/>
  <c r="D1233" i="4"/>
  <c r="D1055" i="4"/>
  <c r="D816" i="4"/>
  <c r="D657" i="4"/>
  <c r="D1103" i="4"/>
  <c r="D949" i="4"/>
  <c r="D810" i="4"/>
  <c r="D677" i="4"/>
  <c r="D621" i="4"/>
  <c r="D556" i="4"/>
  <c r="D471" i="4"/>
  <c r="D251" i="4"/>
  <c r="D166" i="4"/>
  <c r="D1065" i="4"/>
  <c r="D926" i="4"/>
  <c r="D776" i="4"/>
  <c r="D496" i="4"/>
  <c r="D411" i="4"/>
  <c r="D346" i="4"/>
  <c r="D281" i="4"/>
  <c r="D1173" i="4"/>
  <c r="D981" i="4"/>
  <c r="D848" i="4"/>
  <c r="D709" i="4"/>
  <c r="D615" i="4"/>
  <c r="D500" i="4"/>
  <c r="D270" i="4"/>
  <c r="D135" i="4"/>
  <c r="D1145" i="4"/>
  <c r="D1014" i="4"/>
  <c r="D875" i="4"/>
  <c r="D736" i="4"/>
  <c r="D595" i="4"/>
  <c r="D490" i="4"/>
  <c r="D405" i="4"/>
  <c r="D345" i="4"/>
  <c r="D275" i="4"/>
  <c r="D180" i="4"/>
  <c r="D95" i="4"/>
  <c r="D42" i="1"/>
  <c r="D21" i="1"/>
  <c r="D1112" i="4"/>
  <c r="D802" i="4"/>
  <c r="D1432" i="4"/>
  <c r="D1377" i="4"/>
  <c r="D1322" i="4"/>
  <c r="D1267" i="4"/>
  <c r="D1207" i="4"/>
  <c r="D1152" i="4"/>
  <c r="D1057" i="4"/>
  <c r="D1002" i="4"/>
  <c r="D947" i="4"/>
  <c r="D887" i="4"/>
  <c r="D792" i="4"/>
  <c r="D737" i="4"/>
  <c r="D1291" i="4"/>
  <c r="D1431" i="4"/>
  <c r="D1376" i="4"/>
  <c r="D1236" i="4"/>
  <c r="D1181" i="4"/>
  <c r="D1175" i="4"/>
  <c r="D1400" i="4"/>
  <c r="D1345" i="4"/>
  <c r="D1285" i="4"/>
  <c r="D1225" i="4"/>
  <c r="D1199" i="4"/>
  <c r="D1419" i="4"/>
  <c r="D1364" i="4"/>
  <c r="D1309" i="4"/>
  <c r="D1209" i="4"/>
  <c r="D1124" i="4"/>
  <c r="D1368" i="4"/>
  <c r="D1298" i="4"/>
  <c r="D1428" i="4"/>
  <c r="D1338" i="4"/>
  <c r="D1080" i="4"/>
  <c r="D934" i="4"/>
  <c r="D795" i="4"/>
  <c r="D663" i="4"/>
  <c r="D603" i="4"/>
  <c r="D548" i="4"/>
  <c r="D493" i="4"/>
  <c r="D333" i="4"/>
  <c r="D1098" i="4"/>
  <c r="D950" i="4"/>
  <c r="D811" i="4"/>
  <c r="D678" i="4"/>
  <c r="D716" i="4"/>
  <c r="D1183" i="4"/>
  <c r="D1044" i="4"/>
  <c r="D805" i="4"/>
  <c r="D652" i="4"/>
  <c r="D1078" i="4"/>
  <c r="D938" i="4"/>
  <c r="D799" i="4"/>
  <c r="D815" i="4"/>
  <c r="D616" i="4"/>
  <c r="D546" i="4"/>
  <c r="D466" i="4"/>
  <c r="D241" i="4"/>
  <c r="D161" i="4"/>
  <c r="D1054" i="4"/>
  <c r="D915" i="4"/>
  <c r="D765" i="4"/>
  <c r="D491" i="4"/>
  <c r="D406" i="4"/>
  <c r="D336" i="4"/>
  <c r="D271" i="4"/>
  <c r="D1166" i="4"/>
  <c r="D970" i="4"/>
  <c r="D831" i="4"/>
  <c r="D698" i="4"/>
  <c r="D605" i="4"/>
  <c r="D485" i="4"/>
  <c r="D265" i="4"/>
  <c r="D47" i="1"/>
  <c r="D45" i="1"/>
  <c r="D1102" i="4"/>
  <c r="D722" i="4"/>
  <c r="D1427" i="4"/>
  <c r="D1372" i="4"/>
  <c r="D1317" i="4"/>
  <c r="D1262" i="4"/>
  <c r="D1202" i="4"/>
  <c r="D1142" i="4"/>
  <c r="D1052" i="4"/>
  <c r="D997" i="4"/>
  <c r="D937" i="4"/>
  <c r="D882" i="4"/>
  <c r="D787" i="4"/>
  <c r="D732" i="4"/>
  <c r="D1281" i="4"/>
  <c r="D1426" i="4"/>
  <c r="D1371" i="4"/>
  <c r="D1231" i="4"/>
  <c r="D1290" i="4"/>
  <c r="D1165" i="4"/>
  <c r="D1395" i="4"/>
  <c r="D1340" i="4"/>
  <c r="D1280" i="4"/>
  <c r="D1220" i="4"/>
  <c r="D1154" i="4"/>
  <c r="D1414" i="4"/>
  <c r="D1359" i="4"/>
  <c r="D1304" i="4"/>
  <c r="D1194" i="4"/>
  <c r="D1119" i="4"/>
  <c r="D1363" i="4"/>
  <c r="D1293" i="4"/>
  <c r="D1423" i="4"/>
  <c r="D1333" i="4"/>
  <c r="D1056" i="4"/>
  <c r="D923" i="4"/>
  <c r="D784" i="4"/>
  <c r="D653" i="4"/>
  <c r="D598" i="4"/>
  <c r="D543" i="4"/>
  <c r="D488" i="4"/>
  <c r="D328" i="4"/>
  <c r="D1073" i="4"/>
  <c r="D939" i="4"/>
  <c r="D800" i="4"/>
  <c r="D673" i="4"/>
  <c r="D622" i="4"/>
  <c r="D1168" i="4"/>
  <c r="D1033" i="4"/>
  <c r="D794" i="4"/>
  <c r="D647" i="4"/>
  <c r="D1060" i="4"/>
  <c r="D921" i="4"/>
  <c r="D788" i="4"/>
  <c r="D671" i="4"/>
  <c r="D601" i="4"/>
  <c r="D541" i="4"/>
  <c r="D456" i="4"/>
  <c r="D211" i="4"/>
  <c r="D1223" i="4"/>
  <c r="D1043" i="4"/>
  <c r="D904" i="4"/>
  <c r="D754" i="4"/>
  <c r="D486" i="4"/>
  <c r="D396" i="4"/>
  <c r="D331" i="4"/>
  <c r="D266" i="4"/>
  <c r="D1133" i="4"/>
  <c r="D959" i="4"/>
  <c r="D820" i="4"/>
  <c r="D681" i="4"/>
  <c r="D575" i="4"/>
  <c r="D480" i="4"/>
  <c r="D245" i="4"/>
  <c r="D45" i="4"/>
  <c r="D853" i="4"/>
  <c r="D510" i="4"/>
  <c r="D330" i="4"/>
  <c r="D110" i="4"/>
  <c r="D1019" i="4"/>
  <c r="D791" i="4"/>
  <c r="D429" i="4"/>
  <c r="D284" i="4"/>
  <c r="D104" i="4"/>
  <c r="D1171" i="4"/>
  <c r="D935" i="4"/>
  <c r="D724" i="4"/>
  <c r="D589" i="4"/>
  <c r="D494" i="4"/>
  <c r="D244" i="4"/>
  <c r="D139" i="4"/>
  <c r="D951" i="4"/>
  <c r="D751" i="4"/>
  <c r="D443" i="4"/>
  <c r="D547" i="4"/>
  <c r="D247" i="4"/>
  <c r="D182" i="4"/>
  <c r="D28" i="4"/>
  <c r="D362" i="4"/>
  <c r="D108" i="4"/>
  <c r="D402" i="4"/>
  <c r="D258" i="4"/>
  <c r="D151" i="4"/>
  <c r="D51" i="4"/>
  <c r="D392" i="4"/>
  <c r="D263" i="4"/>
  <c r="D93" i="4"/>
  <c r="D198" i="4"/>
  <c r="D357" i="4"/>
  <c r="D183" i="4"/>
  <c r="D86" i="4"/>
  <c r="D188" i="4"/>
  <c r="D1307" i="5"/>
  <c r="D1472" i="5"/>
  <c r="D1905" i="5"/>
  <c r="D1789" i="5"/>
  <c r="D1445" i="5"/>
  <c r="D1922" i="5"/>
  <c r="D1422" i="5"/>
  <c r="D1855" i="5"/>
  <c r="D1729" i="5"/>
  <c r="D1323" i="5"/>
  <c r="D1872" i="5"/>
  <c r="D1332" i="5"/>
  <c r="D1805" i="5"/>
  <c r="D1888" i="5"/>
  <c r="D1099" i="5"/>
  <c r="D1796" i="5"/>
  <c r="D1750" i="5"/>
  <c r="D994" i="5"/>
  <c r="D1772" i="5"/>
  <c r="D1670" i="5"/>
  <c r="D1822" i="5"/>
  <c r="D1743" i="5"/>
  <c r="D1823" i="5"/>
  <c r="D1746" i="5"/>
  <c r="D944" i="5"/>
  <c r="D1722" i="5"/>
  <c r="D1931" i="5"/>
  <c r="D1610" i="5"/>
  <c r="D894" i="5"/>
  <c r="D1881" i="5"/>
  <c r="D1908" i="5"/>
  <c r="D1939" i="5"/>
  <c r="D1663" i="5"/>
  <c r="D1622" i="5"/>
  <c r="D1889" i="5"/>
  <c r="D1572" i="5"/>
  <c r="D1710" i="5"/>
  <c r="D1522" i="5"/>
  <c r="D1955" i="5"/>
  <c r="D1839" i="5"/>
  <c r="D1569" i="5"/>
  <c r="D1958" i="5"/>
  <c r="D1672" i="5"/>
  <c r="D1684" i="5"/>
  <c r="D1831" i="5"/>
  <c r="D1763" i="5"/>
  <c r="D40" i="4"/>
  <c r="D803" i="4"/>
  <c r="D475" i="4"/>
  <c r="D295" i="4"/>
  <c r="D90" i="4"/>
  <c r="D980" i="4"/>
  <c r="D769" i="4"/>
  <c r="D424" i="4"/>
  <c r="D274" i="4"/>
  <c r="D89" i="4"/>
  <c r="D1150" i="4"/>
  <c r="D913" i="4"/>
  <c r="D685" i="4"/>
  <c r="D584" i="4"/>
  <c r="D484" i="4"/>
  <c r="D229" i="4"/>
  <c r="D134" i="4"/>
  <c r="D940" i="4"/>
  <c r="D740" i="4"/>
  <c r="D433" i="4"/>
  <c r="D522" i="4"/>
  <c r="D218" i="4"/>
  <c r="D153" i="4"/>
  <c r="D267" i="4"/>
  <c r="D337" i="4"/>
  <c r="D102" i="4"/>
  <c r="D552" i="4"/>
  <c r="D237" i="4"/>
  <c r="D132" i="4"/>
  <c r="D38" i="4"/>
  <c r="D367" i="4"/>
  <c r="D242" i="4"/>
  <c r="D87" i="4"/>
  <c r="D177" i="4"/>
  <c r="D332" i="4"/>
  <c r="D162" i="4"/>
  <c r="D73" i="4"/>
  <c r="D1397" i="5"/>
  <c r="D1517" i="5"/>
  <c r="D1950" i="5"/>
  <c r="D1834" i="5"/>
  <c r="D574" i="5"/>
  <c r="D1434" i="5"/>
  <c r="D1198" i="5"/>
  <c r="D1321" i="5"/>
  <c r="D412" i="5"/>
  <c r="D1967" i="5"/>
  <c r="D1467" i="5"/>
  <c r="D1900" i="5"/>
  <c r="D1784" i="5"/>
  <c r="D1500" i="5"/>
  <c r="D1248" i="5"/>
  <c r="D527" i="5"/>
  <c r="D1917" i="5"/>
  <c r="D1417" i="5"/>
  <c r="D1850" i="5"/>
  <c r="D1724" i="5"/>
  <c r="D1306" i="5"/>
  <c r="D1378" i="5"/>
  <c r="D1867" i="5"/>
  <c r="D1327" i="5"/>
  <c r="D1800" i="5"/>
  <c r="D1873" i="5"/>
  <c r="D1094" i="5"/>
  <c r="D1173" i="5"/>
  <c r="D1043" i="5"/>
  <c r="D1282" i="5"/>
  <c r="D1629" i="5"/>
  <c r="D1817" i="5"/>
  <c r="D1791" i="5"/>
  <c r="D1745" i="5"/>
  <c r="D1818" i="5"/>
  <c r="D989" i="5"/>
  <c r="D1108" i="5"/>
  <c r="D988" i="5"/>
  <c r="D1232" i="5"/>
  <c r="D1504" i="5"/>
  <c r="D1376" i="5"/>
  <c r="D733" i="5"/>
  <c r="D1002" i="5"/>
  <c r="D1449" i="5"/>
  <c r="D1767" i="5"/>
  <c r="D1741" i="5"/>
  <c r="D1665" i="5"/>
  <c r="D1733" i="5"/>
  <c r="D939" i="5"/>
  <c r="D973" i="5"/>
  <c r="D878" i="5"/>
  <c r="D1182" i="5"/>
  <c r="D972" i="5"/>
  <c r="D683" i="5"/>
  <c r="D1717" i="5"/>
  <c r="D1926" i="5"/>
  <c r="D1605" i="5"/>
  <c r="D1953" i="5"/>
  <c r="D889" i="5"/>
  <c r="D918" i="5"/>
  <c r="D783" i="5"/>
  <c r="D1127" i="5"/>
  <c r="D1067" i="5"/>
  <c r="D1903" i="5"/>
  <c r="D834" i="5"/>
  <c r="D788" i="5"/>
  <c r="D817" i="5"/>
  <c r="D1586" i="5"/>
  <c r="D1667" i="5"/>
  <c r="D1876" i="5"/>
  <c r="D1679" i="5"/>
  <c r="D1316" i="5"/>
  <c r="D1617" i="5"/>
  <c r="D1826" i="5"/>
  <c r="D1934" i="5"/>
  <c r="D1758" i="5"/>
  <c r="D779" i="5"/>
  <c r="D1574" i="5"/>
  <c r="D922" i="5"/>
  <c r="D722" i="5"/>
  <c r="D1567" i="5"/>
  <c r="D1705" i="5"/>
  <c r="D1884" i="5"/>
  <c r="D1731" i="5"/>
  <c r="D624" i="5"/>
  <c r="D1444" i="5"/>
  <c r="D633" i="5"/>
  <c r="D852" i="5"/>
  <c r="D767" i="5"/>
  <c r="D1563" i="5"/>
  <c r="D1126" i="4"/>
  <c r="D764" i="4"/>
  <c r="D465" i="4"/>
  <c r="D285" i="4"/>
  <c r="D85" i="4"/>
  <c r="D958" i="4"/>
  <c r="D730" i="4"/>
  <c r="D419" i="4"/>
  <c r="D264" i="4"/>
  <c r="D79" i="4"/>
  <c r="D1131" i="4"/>
  <c r="D885" i="4"/>
  <c r="D664" i="4"/>
  <c r="D574" i="4"/>
  <c r="D399" i="4"/>
  <c r="D219" i="4"/>
  <c r="D1156" i="4"/>
  <c r="D929" i="4"/>
  <c r="D729" i="4"/>
  <c r="D428" i="4"/>
  <c r="D497" i="4"/>
  <c r="D197" i="4"/>
  <c r="D141" i="4"/>
  <c r="D217" i="4"/>
  <c r="D273" i="4"/>
  <c r="D96" i="4"/>
  <c r="D502" i="4"/>
  <c r="D187" i="4"/>
  <c r="D126" i="4"/>
  <c r="D32" i="4"/>
  <c r="D342" i="4"/>
  <c r="D213" i="4"/>
  <c r="D81" i="4"/>
  <c r="D557" i="4"/>
  <c r="D307" i="4"/>
  <c r="D148" i="4"/>
  <c r="D67" i="4"/>
  <c r="D1382" i="5"/>
  <c r="D1512" i="5"/>
  <c r="D1945" i="5"/>
  <c r="D1829" i="5"/>
  <c r="D1545" i="5"/>
  <c r="D1962" i="5"/>
  <c r="D1462" i="5"/>
  <c r="D1895" i="5"/>
  <c r="D1779" i="5"/>
  <c r="D1423" i="5"/>
  <c r="D1912" i="5"/>
  <c r="D1412" i="5"/>
  <c r="D1845" i="5"/>
  <c r="D1719" i="5"/>
  <c r="D1295" i="5"/>
  <c r="D1862" i="5"/>
  <c r="D1322" i="5"/>
  <c r="D1795" i="5"/>
  <c r="D1034" i="5"/>
  <c r="D1812" i="5"/>
  <c r="D1740" i="5"/>
  <c r="D1736" i="5"/>
  <c r="D1728" i="5"/>
  <c r="D884" i="5"/>
  <c r="D1871" i="5"/>
  <c r="D1898" i="5"/>
  <c r="D1753" i="5"/>
  <c r="D1660" i="5"/>
  <c r="D1863" i="5"/>
  <c r="D1786" i="5"/>
  <c r="D984" i="5"/>
  <c r="D1762" i="5"/>
  <c r="D1650" i="5"/>
  <c r="D1921" i="5"/>
  <c r="D1600" i="5"/>
  <c r="D1706" i="5"/>
  <c r="D1813" i="5"/>
  <c r="D934" i="5"/>
  <c r="D1712" i="5"/>
  <c r="D1948" i="5"/>
  <c r="D1662" i="5"/>
  <c r="D1674" i="5"/>
  <c r="D1929" i="5"/>
  <c r="D1562" i="5"/>
  <c r="D1879" i="5"/>
  <c r="D1612" i="5"/>
  <c r="D1821" i="5"/>
  <c r="D1120" i="4"/>
  <c r="D725" i="4"/>
  <c r="D425" i="4"/>
  <c r="D255" i="4"/>
  <c r="D75" i="4"/>
  <c r="D941" i="4"/>
  <c r="D708" i="4"/>
  <c r="D404" i="4"/>
  <c r="D249" i="4"/>
  <c r="D69" i="4"/>
  <c r="D1106" i="4"/>
  <c r="D874" i="4"/>
  <c r="D654" i="4"/>
  <c r="D564" i="4"/>
  <c r="D394" i="4"/>
  <c r="D214" i="4"/>
  <c r="D1118" i="4"/>
  <c r="D901" i="4"/>
  <c r="D701" i="4"/>
  <c r="D408" i="4"/>
  <c r="D472" i="4"/>
  <c r="D168" i="4"/>
  <c r="D122" i="4"/>
  <c r="D167" i="4"/>
  <c r="D252" i="4"/>
  <c r="D83" i="4"/>
  <c r="D452" i="4"/>
  <c r="D158" i="4"/>
  <c r="D113" i="4"/>
  <c r="D26" i="4"/>
  <c r="D317" i="4"/>
  <c r="D192" i="4"/>
  <c r="D68" i="4"/>
  <c r="D532" i="4"/>
  <c r="D277" i="4"/>
  <c r="D142" i="4"/>
  <c r="D61" i="4"/>
  <c r="D1372" i="5"/>
  <c r="D1507" i="5"/>
  <c r="D1940" i="5"/>
  <c r="D1824" i="5"/>
  <c r="D1534" i="5"/>
  <c r="D1957" i="5"/>
  <c r="D1457" i="5"/>
  <c r="D1890" i="5"/>
  <c r="D1769" i="5"/>
  <c r="D1406" i="5"/>
  <c r="D1907" i="5"/>
  <c r="D1407" i="5"/>
  <c r="D1840" i="5"/>
  <c r="D1714" i="5"/>
  <c r="D1274" i="5"/>
  <c r="D1317" i="5"/>
  <c r="D1858" i="5"/>
  <c r="D1029" i="5"/>
  <c r="D1808" i="5"/>
  <c r="D1757" i="5"/>
  <c r="D1723" i="5"/>
  <c r="D1943" i="5"/>
  <c r="D1790" i="5"/>
  <c r="D1725" i="5"/>
  <c r="D979" i="5"/>
  <c r="D1645" i="5"/>
  <c r="D1707" i="5"/>
  <c r="D879" i="5"/>
  <c r="D819" i="5"/>
  <c r="D1738" i="5"/>
  <c r="D1781" i="5"/>
  <c r="D929" i="5"/>
  <c r="D1857" i="5"/>
  <c r="D1807" i="5"/>
  <c r="D1966" i="5"/>
  <c r="D1916" i="5"/>
  <c r="D1595" i="5"/>
  <c r="D769" i="5"/>
  <c r="D1874" i="5"/>
  <c r="D1681" i="5"/>
  <c r="D614" i="5"/>
  <c r="D1657" i="5"/>
  <c r="D1866" i="5"/>
  <c r="D1669" i="5"/>
  <c r="D1893" i="5"/>
  <c r="D1607" i="5"/>
  <c r="D1811" i="5"/>
  <c r="D1924" i="5"/>
  <c r="D1557" i="5"/>
  <c r="D1655" i="5"/>
  <c r="D1070" i="4"/>
  <c r="D714" i="4"/>
  <c r="D415" i="4"/>
  <c r="D225" i="4"/>
  <c r="D65" i="4"/>
  <c r="D930" i="4"/>
  <c r="D680" i="4"/>
  <c r="D374" i="4"/>
  <c r="D239" i="4"/>
  <c r="D54" i="4"/>
  <c r="D1081" i="4"/>
  <c r="D863" i="4"/>
  <c r="D644" i="4"/>
  <c r="D554" i="4"/>
  <c r="D389" i="4"/>
  <c r="D209" i="4"/>
  <c r="D1093" i="4"/>
  <c r="D879" i="4"/>
  <c r="D679" i="4"/>
  <c r="D403" i="4"/>
  <c r="D447" i="4"/>
  <c r="D53" i="4"/>
  <c r="D116" i="4"/>
  <c r="D562" i="4"/>
  <c r="D223" i="4"/>
  <c r="D71" i="4"/>
  <c r="D427" i="4"/>
  <c r="D293" i="4"/>
  <c r="D107" i="4"/>
  <c r="D567" i="4"/>
  <c r="D278" i="4"/>
  <c r="D163" i="4"/>
  <c r="D62" i="4"/>
  <c r="D507" i="4"/>
  <c r="D248" i="4"/>
  <c r="D136" i="4"/>
  <c r="D48" i="4"/>
  <c r="D1367" i="5"/>
  <c r="D1502" i="5"/>
  <c r="D1935" i="5"/>
  <c r="D1819" i="5"/>
  <c r="D1523" i="5"/>
  <c r="D1606" i="5"/>
  <c r="D1952" i="5"/>
  <c r="D1452" i="5"/>
  <c r="D1885" i="5"/>
  <c r="D1764" i="5"/>
  <c r="D1395" i="5"/>
  <c r="D1461" i="5"/>
  <c r="D1835" i="5"/>
  <c r="D1269" i="5"/>
  <c r="D1803" i="5"/>
  <c r="D974" i="5"/>
  <c r="D814" i="5"/>
  <c r="D1919" i="5"/>
  <c r="D1693" i="5"/>
  <c r="D764" i="5"/>
  <c r="D1902" i="5"/>
  <c r="D1402" i="5"/>
  <c r="D1709" i="5"/>
  <c r="D1852" i="5"/>
  <c r="D1302" i="5"/>
  <c r="D1780" i="5"/>
  <c r="D1853" i="5"/>
  <c r="D1024" i="5"/>
  <c r="D1776" i="5"/>
  <c r="D1802" i="5"/>
  <c r="D1700" i="5"/>
  <c r="D1752" i="5"/>
  <c r="D1961" i="5"/>
  <c r="D1640" i="5"/>
  <c r="D1718" i="5"/>
  <c r="D924" i="5"/>
  <c r="D1911" i="5"/>
  <c r="D1590" i="5"/>
  <c r="D1938" i="5"/>
  <c r="D874" i="5"/>
  <c r="D1883" i="5"/>
  <c r="D1806" i="5"/>
  <c r="D1702" i="5"/>
  <c r="D1652" i="5"/>
  <c r="D1861" i="5"/>
  <c r="D1659" i="5"/>
  <c r="D1602" i="5"/>
  <c r="D1552" i="5"/>
  <c r="D1570" i="5"/>
  <c r="D1869" i="5"/>
  <c r="D1644" i="5"/>
  <c r="D609" i="5"/>
  <c r="D1003" i="4"/>
  <c r="D660" i="4"/>
  <c r="D400" i="4"/>
  <c r="D205" i="4"/>
  <c r="D50" i="4"/>
  <c r="D908" i="4"/>
  <c r="D675" i="4"/>
  <c r="D364" i="4"/>
  <c r="D184" i="4"/>
  <c r="D49" i="4"/>
  <c r="D1046" i="4"/>
  <c r="D835" i="4"/>
  <c r="D639" i="4"/>
  <c r="D544" i="4"/>
  <c r="D349" i="4"/>
  <c r="D194" i="4"/>
  <c r="D1068" i="4"/>
  <c r="D868" i="4"/>
  <c r="D674" i="4"/>
  <c r="D398" i="4"/>
  <c r="D422" i="4"/>
  <c r="D312" i="4"/>
  <c r="D103" i="4"/>
  <c r="D537" i="4"/>
  <c r="D202" i="4"/>
  <c r="D52" i="4"/>
  <c r="D377" i="4"/>
  <c r="D272" i="4"/>
  <c r="D101" i="4"/>
  <c r="D542" i="4"/>
  <c r="D257" i="4"/>
  <c r="D143" i="4"/>
  <c r="D56" i="4"/>
  <c r="D482" i="4"/>
  <c r="D227" i="4"/>
  <c r="D123" i="4"/>
  <c r="D42" i="4"/>
  <c r="D1352" i="5"/>
  <c r="D1497" i="5"/>
  <c r="D1930" i="5"/>
  <c r="D1814" i="5"/>
  <c r="D1506" i="5"/>
  <c r="D1581" i="5"/>
  <c r="D1278" i="5"/>
  <c r="D1521" i="5"/>
  <c r="D1947" i="5"/>
  <c r="D1447" i="5"/>
  <c r="D1880" i="5"/>
  <c r="D1759" i="5"/>
  <c r="D1384" i="5"/>
  <c r="D1450" i="5"/>
  <c r="D1228" i="5"/>
  <c r="D1399" i="5"/>
  <c r="D1704" i="5"/>
  <c r="D1328" i="5"/>
  <c r="D1365" i="5"/>
  <c r="D763" i="5"/>
  <c r="D1516" i="5"/>
  <c r="D1897" i="5"/>
  <c r="D1392" i="5"/>
  <c r="D1830" i="5"/>
  <c r="D1264" i="5"/>
  <c r="D1123" i="5"/>
  <c r="D1019" i="5"/>
  <c r="D969" i="5"/>
  <c r="D1073" i="5"/>
  <c r="D908" i="5"/>
  <c r="D1212" i="5"/>
  <c r="D1635" i="5"/>
  <c r="D1713" i="5"/>
  <c r="D919" i="5"/>
  <c r="D953" i="5"/>
  <c r="D858" i="5"/>
  <c r="D809" i="5"/>
  <c r="D1847" i="5"/>
  <c r="D1297" i="5"/>
  <c r="D1775" i="5"/>
  <c r="D1848" i="5"/>
  <c r="D663" i="5"/>
  <c r="D1797" i="5"/>
  <c r="D1649" i="5"/>
  <c r="D1747" i="5"/>
  <c r="D1956" i="5"/>
  <c r="D1697" i="5"/>
  <c r="D1906" i="5"/>
  <c r="D1585" i="5"/>
  <c r="D1933" i="5"/>
  <c r="D869" i="5"/>
  <c r="D833" i="5"/>
  <c r="D713" i="5"/>
  <c r="D759" i="5"/>
  <c r="D1647" i="5"/>
  <c r="D1856" i="5"/>
  <c r="D1964" i="5"/>
  <c r="D1878" i="5"/>
  <c r="D1597" i="5"/>
  <c r="D1785" i="5"/>
  <c r="D1914" i="5"/>
  <c r="D1688" i="5"/>
  <c r="D1547" i="5"/>
  <c r="D1565" i="5"/>
  <c r="D1864" i="5"/>
  <c r="D1638" i="5"/>
  <c r="D604" i="5"/>
  <c r="D1394" i="5"/>
  <c r="D613" i="5"/>
  <c r="D1153" i="5"/>
  <c r="D1023" i="5"/>
  <c r="D1262" i="5"/>
  <c r="D1771" i="5"/>
  <c r="D1695" i="5"/>
  <c r="D1798" i="5"/>
  <c r="D986" i="4"/>
  <c r="D610" i="4"/>
  <c r="D395" i="4"/>
  <c r="D195" i="4"/>
  <c r="D1138" i="4"/>
  <c r="D869" i="4"/>
  <c r="D534" i="4"/>
  <c r="D354" i="4"/>
  <c r="D174" i="4"/>
  <c r="D44" i="4"/>
  <c r="D1024" i="4"/>
  <c r="D796" i="4"/>
  <c r="D634" i="4"/>
  <c r="D529" i="4"/>
  <c r="D344" i="4"/>
  <c r="D169" i="4"/>
  <c r="D1040" i="4"/>
  <c r="D840" i="4"/>
  <c r="D483" i="4"/>
  <c r="D393" i="4"/>
  <c r="D372" i="4"/>
  <c r="D282" i="4"/>
  <c r="D97" i="4"/>
  <c r="D512" i="4"/>
  <c r="D152" i="4"/>
  <c r="D46" i="4"/>
  <c r="D352" i="4"/>
  <c r="D243" i="4"/>
  <c r="D88" i="4"/>
  <c r="D517" i="4"/>
  <c r="D228" i="4"/>
  <c r="D137" i="4"/>
  <c r="D43" i="4"/>
  <c r="D457" i="4"/>
  <c r="D283" i="4"/>
  <c r="D117" i="4"/>
  <c r="D36" i="4"/>
  <c r="D1347" i="5"/>
  <c r="D1492" i="5"/>
  <c r="D1925" i="5"/>
  <c r="D1809" i="5"/>
  <c r="D1495" i="5"/>
  <c r="D1556" i="5"/>
  <c r="D1273" i="5"/>
  <c r="D1510" i="5"/>
  <c r="D577" i="5"/>
  <c r="D657" i="5"/>
  <c r="D831" i="5"/>
  <c r="D951" i="5"/>
  <c r="D1223" i="5"/>
  <c r="D502" i="5"/>
  <c r="D736" i="5"/>
  <c r="D881" i="5"/>
  <c r="D1113" i="5"/>
  <c r="D1343" i="5"/>
  <c r="D1711" i="5"/>
  <c r="D467" i="5"/>
  <c r="D606" i="5"/>
  <c r="D796" i="5"/>
  <c r="D1257" i="5"/>
  <c r="D1573" i="5"/>
  <c r="D964" i="5"/>
  <c r="D1942" i="5"/>
  <c r="D1442" i="5"/>
  <c r="D1875" i="5"/>
  <c r="D1749" i="5"/>
  <c r="D1373" i="5"/>
  <c r="D1439" i="5"/>
  <c r="D1388" i="5"/>
  <c r="D607" i="5"/>
  <c r="D417" i="5"/>
  <c r="D1726" i="5"/>
  <c r="D691" i="5"/>
  <c r="D1793" i="5"/>
  <c r="D1443" i="5"/>
  <c r="D914" i="5"/>
  <c r="D1892" i="5"/>
  <c r="D1387" i="5"/>
  <c r="D1825" i="5"/>
  <c r="D1699" i="5"/>
  <c r="D1249" i="5"/>
  <c r="D1311" i="5"/>
  <c r="D1591" i="5"/>
  <c r="D1107" i="5"/>
  <c r="D1842" i="5"/>
  <c r="D1292" i="5"/>
  <c r="D1770" i="5"/>
  <c r="D1843" i="5"/>
  <c r="D1014" i="5"/>
  <c r="D1148" i="5"/>
  <c r="D1018" i="5"/>
  <c r="D1792" i="5"/>
  <c r="D1766" i="5"/>
  <c r="D1690" i="5"/>
  <c r="D1068" i="5"/>
  <c r="D903" i="5"/>
  <c r="D1207" i="5"/>
  <c r="D948" i="5"/>
  <c r="D1742" i="5"/>
  <c r="D1951" i="5"/>
  <c r="D1692" i="5"/>
  <c r="D1901" i="5"/>
  <c r="D1580" i="5"/>
  <c r="D1928" i="5"/>
  <c r="D864" i="5"/>
  <c r="D828" i="5"/>
  <c r="D758" i="5"/>
  <c r="D1062" i="5"/>
  <c r="D1027" i="5"/>
  <c r="D1320" i="5"/>
  <c r="D1241" i="5"/>
  <c r="D1358" i="5"/>
  <c r="D804" i="5"/>
  <c r="D1643" i="5"/>
  <c r="D708" i="5"/>
  <c r="D947" i="5"/>
  <c r="D887" i="5"/>
  <c r="D1303" i="5"/>
  <c r="D1176" i="5"/>
  <c r="D1245" i="5"/>
  <c r="D754" i="5"/>
  <c r="D1505" i="5"/>
  <c r="D658" i="5"/>
  <c r="D897" i="5"/>
  <c r="D792" i="5"/>
  <c r="D1126" i="5"/>
  <c r="D712" i="5"/>
  <c r="D621" i="5"/>
  <c r="D1708" i="5"/>
  <c r="D1448" i="5"/>
  <c r="D1480" i="5"/>
  <c r="D1642" i="5"/>
  <c r="D1851" i="5"/>
  <c r="D1959" i="5"/>
  <c r="D1868" i="5"/>
  <c r="D1559" i="5"/>
  <c r="D1630" i="5"/>
  <c r="D853" i="5"/>
  <c r="D1436" i="5"/>
  <c r="D1592" i="5"/>
  <c r="D1735" i="5"/>
  <c r="D1909" i="5"/>
  <c r="D1683" i="5"/>
  <c r="D1091" i="5"/>
  <c r="D966" i="5"/>
  <c r="D1157" i="5"/>
  <c r="D1542" i="5"/>
  <c r="D1560" i="5"/>
  <c r="D1859" i="5"/>
  <c r="D1619" i="5"/>
  <c r="D599" i="5"/>
  <c r="D1383" i="5"/>
  <c r="D608" i="5"/>
  <c r="D757" i="5"/>
  <c r="D1041" i="5"/>
  <c r="D936" i="4"/>
  <c r="D590" i="4"/>
  <c r="D370" i="4"/>
  <c r="D175" i="4"/>
  <c r="D1113" i="4"/>
  <c r="D841" i="4"/>
  <c r="D469" i="4"/>
  <c r="D319" i="4"/>
  <c r="D129" i="4"/>
  <c r="D34" i="4"/>
  <c r="D1013" i="4"/>
  <c r="D774" i="4"/>
  <c r="D619" i="4"/>
  <c r="D519" i="4"/>
  <c r="D339" i="4"/>
  <c r="D159" i="4"/>
  <c r="D1029" i="4"/>
  <c r="D818" i="4"/>
  <c r="D463" i="4"/>
  <c r="D383" i="4"/>
  <c r="D322" i="4"/>
  <c r="D253" i="4"/>
  <c r="D91" i="4"/>
  <c r="D487" i="4"/>
  <c r="D133" i="4"/>
  <c r="D33" i="4"/>
  <c r="D327" i="4"/>
  <c r="D222" i="4"/>
  <c r="D82" i="4"/>
  <c r="D492" i="4"/>
  <c r="D207" i="4"/>
  <c r="D118" i="4"/>
  <c r="D37" i="4"/>
  <c r="D432" i="4"/>
  <c r="D262" i="4"/>
  <c r="D111" i="4"/>
  <c r="D23" i="4"/>
  <c r="D1342" i="5"/>
  <c r="D1487" i="5"/>
  <c r="D1920" i="5"/>
  <c r="D1804" i="5"/>
  <c r="D1484" i="5"/>
  <c r="D1550" i="5"/>
  <c r="D1268" i="5"/>
  <c r="D1499" i="5"/>
  <c r="D567" i="5"/>
  <c r="D1428" i="5"/>
  <c r="D1218" i="5"/>
  <c r="D1371" i="5"/>
  <c r="D497" i="5"/>
  <c r="D1300" i="5"/>
  <c r="D1103" i="5"/>
  <c r="D1326" i="5"/>
  <c r="D1686" i="5"/>
  <c r="D1009" i="5"/>
  <c r="D1143" i="5"/>
  <c r="D1008" i="5"/>
  <c r="D1252" i="5"/>
  <c r="D1937" i="5"/>
  <c r="D1437" i="5"/>
  <c r="D1870" i="5"/>
  <c r="D1744" i="5"/>
  <c r="D1356" i="5"/>
  <c r="D1887" i="5"/>
  <c r="D1377" i="5"/>
  <c r="D1820" i="5"/>
  <c r="D1694" i="5"/>
  <c r="D1239" i="5"/>
  <c r="D1554" i="5"/>
  <c r="D1854" i="5"/>
  <c r="D1613" i="5"/>
  <c r="D1366" i="5"/>
  <c r="D1837" i="5"/>
  <c r="D1287" i="5"/>
  <c r="D1765" i="5"/>
  <c r="D1838" i="5"/>
  <c r="D1787" i="5"/>
  <c r="D1761" i="5"/>
  <c r="D1685" i="5"/>
  <c r="D1788" i="5"/>
  <c r="D959" i="5"/>
  <c r="D1063" i="5"/>
  <c r="D898" i="5"/>
  <c r="D1202" i="5"/>
  <c r="D1625" i="5"/>
  <c r="D1703" i="5"/>
  <c r="D909" i="5"/>
  <c r="D943" i="5"/>
  <c r="D843" i="5"/>
  <c r="D1152" i="5"/>
  <c r="D1923" i="5"/>
  <c r="D859" i="5"/>
  <c r="D823" i="5"/>
  <c r="D753" i="5"/>
  <c r="D1057" i="5"/>
  <c r="D1846" i="5"/>
  <c r="D1954" i="5"/>
  <c r="D1778" i="5"/>
  <c r="D799" i="5"/>
  <c r="D1624" i="5"/>
  <c r="D703" i="5"/>
  <c r="D1737" i="5"/>
  <c r="D1946" i="5"/>
  <c r="D1494" i="5"/>
  <c r="D872" i="5"/>
  <c r="D1687" i="5"/>
  <c r="D1896" i="5"/>
  <c r="D1575" i="5"/>
  <c r="D1637" i="5"/>
  <c r="D942" i="5"/>
  <c r="D653" i="5"/>
  <c r="D1555" i="5"/>
  <c r="D1587" i="5"/>
  <c r="D1730" i="5"/>
  <c r="D1904" i="5"/>
  <c r="D1678" i="5"/>
  <c r="D744" i="5"/>
  <c r="D1537" i="5"/>
  <c r="D594" i="5"/>
  <c r="D603" i="5"/>
  <c r="D747" i="5"/>
  <c r="D903" i="4"/>
  <c r="D585" i="4"/>
  <c r="D360" i="4"/>
  <c r="D170" i="4"/>
  <c r="D1088" i="4"/>
  <c r="D819" i="4"/>
  <c r="D459" i="4"/>
  <c r="D304" i="4"/>
  <c r="D114" i="4"/>
  <c r="D24" i="4"/>
  <c r="D996" i="4"/>
  <c r="D746" i="4"/>
  <c r="D609" i="4"/>
  <c r="D514" i="4"/>
  <c r="D329" i="4"/>
  <c r="D154" i="4"/>
  <c r="D1001" i="4"/>
  <c r="D801" i="4"/>
  <c r="D458" i="4"/>
  <c r="D368" i="4"/>
  <c r="D297" i="4"/>
  <c r="D232" i="4"/>
  <c r="D78" i="4"/>
  <c r="D437" i="4"/>
  <c r="D127" i="4"/>
  <c r="D27" i="4"/>
  <c r="D302" i="4"/>
  <c r="D193" i="4"/>
  <c r="D76" i="4"/>
  <c r="D467" i="4"/>
  <c r="D157" i="4"/>
  <c r="D112" i="4"/>
  <c r="D31" i="4"/>
  <c r="D407" i="4"/>
  <c r="D233" i="4"/>
  <c r="D98" i="4"/>
  <c r="D288" i="4"/>
  <c r="D1337" i="5"/>
  <c r="D1482" i="5"/>
  <c r="D1915" i="5"/>
  <c r="D1799" i="5"/>
  <c r="D1473" i="5"/>
  <c r="D1539" i="5"/>
  <c r="D1263" i="5"/>
  <c r="D1488" i="5"/>
  <c r="D562" i="5"/>
  <c r="D1932" i="5"/>
  <c r="D1432" i="5"/>
  <c r="D1865" i="5"/>
  <c r="D1739" i="5"/>
  <c r="D1345" i="5"/>
  <c r="D1411" i="5"/>
  <c r="D1213" i="5"/>
  <c r="D1360" i="5"/>
  <c r="D1234" i="5"/>
  <c r="D1289" i="5"/>
  <c r="D1093" i="5"/>
  <c r="D1315" i="5"/>
  <c r="D1197" i="5"/>
  <c r="D1882" i="5"/>
  <c r="D1362" i="5"/>
  <c r="D1815" i="5"/>
  <c r="D1689" i="5"/>
  <c r="D1918" i="5"/>
  <c r="D854" i="5"/>
  <c r="D818" i="5"/>
  <c r="D1042" i="5"/>
  <c r="D1618" i="5"/>
  <c r="D698" i="5"/>
  <c r="D937" i="5"/>
  <c r="D1832" i="5"/>
  <c r="D1816" i="5"/>
  <c r="D1760" i="5"/>
  <c r="D1833" i="5"/>
  <c r="D1004" i="5"/>
  <c r="D1138" i="5"/>
  <c r="D1003" i="5"/>
  <c r="D1247" i="5"/>
  <c r="D1783" i="5"/>
  <c r="D954" i="5"/>
  <c r="D1058" i="5"/>
  <c r="D1782" i="5"/>
  <c r="D1756" i="5"/>
  <c r="D1680" i="5"/>
  <c r="D893" i="5"/>
  <c r="D1732" i="5"/>
  <c r="D1941" i="5"/>
  <c r="D1620" i="5"/>
  <c r="D1698" i="5"/>
  <c r="D904" i="5"/>
  <c r="D938" i="5"/>
  <c r="D808" i="5"/>
  <c r="D1147" i="5"/>
  <c r="D1774" i="5"/>
  <c r="D1682" i="5"/>
  <c r="D1891" i="5"/>
  <c r="D1632" i="5"/>
  <c r="D1841" i="5"/>
  <c r="D1949" i="5"/>
  <c r="D1773" i="5"/>
  <c r="D1582" i="5"/>
  <c r="D1720" i="5"/>
  <c r="D1899" i="5"/>
  <c r="D1673" i="5"/>
  <c r="D734" i="5"/>
  <c r="D1483" i="5"/>
  <c r="D648" i="5"/>
  <c r="D867" i="5"/>
  <c r="D589" i="5"/>
  <c r="D1355" i="5"/>
  <c r="D598" i="5"/>
  <c r="D742" i="5"/>
  <c r="D748" i="5"/>
  <c r="D794" i="5"/>
  <c r="D1532" i="5"/>
  <c r="D1965" i="5"/>
  <c r="D1849" i="5"/>
  <c r="D1594" i="5"/>
  <c r="D864" i="4"/>
  <c r="D530" i="4"/>
  <c r="D340" i="4"/>
  <c r="D125" i="4"/>
  <c r="D1041" i="4"/>
  <c r="D808" i="4"/>
  <c r="D439" i="4"/>
  <c r="D294" i="4"/>
  <c r="D109" i="4"/>
  <c r="D1203" i="4"/>
  <c r="D974" i="4"/>
  <c r="D735" i="4"/>
  <c r="D599" i="4"/>
  <c r="D504" i="4"/>
  <c r="D259" i="4"/>
  <c r="D144" i="4"/>
  <c r="D979" i="4"/>
  <c r="D790" i="4"/>
  <c r="D453" i="4"/>
  <c r="D353" i="4"/>
  <c r="D268" i="4"/>
  <c r="D203" i="4"/>
  <c r="D66" i="4"/>
  <c r="D387" i="4"/>
  <c r="D121" i="4"/>
  <c r="D21" i="4"/>
  <c r="D287" i="4"/>
  <c r="D172" i="4"/>
  <c r="D63" i="4"/>
  <c r="D417" i="4"/>
  <c r="D292" i="4"/>
  <c r="D106" i="4"/>
  <c r="D18" i="4"/>
  <c r="D382" i="4"/>
  <c r="D212" i="4"/>
  <c r="D92" i="4"/>
  <c r="D238" i="4"/>
  <c r="D1312" i="5"/>
  <c r="D1477" i="5"/>
  <c r="D1910" i="5"/>
  <c r="D1794" i="5"/>
  <c r="D1456" i="5"/>
  <c r="D1528" i="5"/>
  <c r="D1258" i="5"/>
  <c r="D1471" i="5"/>
  <c r="D557" i="5"/>
  <c r="D1455" i="5"/>
  <c r="D482" i="5"/>
  <c r="D1566" i="5"/>
  <c r="D1414" i="5"/>
  <c r="D1319" i="5"/>
  <c r="D410" i="5"/>
  <c r="D595" i="5"/>
  <c r="D639" i="5"/>
  <c r="D404" i="5"/>
  <c r="D369" i="5"/>
  <c r="D395" i="5"/>
  <c r="D215" i="5"/>
  <c r="D272" i="5"/>
  <c r="D321" i="5"/>
  <c r="D1927" i="5"/>
  <c r="D1427" i="5"/>
  <c r="D1860" i="5"/>
  <c r="D1734" i="5"/>
  <c r="D1334" i="5"/>
  <c r="D1400" i="5"/>
  <c r="D1208" i="5"/>
  <c r="D1349" i="5"/>
  <c r="D487" i="5"/>
  <c r="D1238" i="5"/>
  <c r="D1579" i="5"/>
  <c r="D1420" i="5"/>
  <c r="D1211" i="5"/>
  <c r="D1225" i="5"/>
  <c r="D1608" i="5"/>
  <c r="D530" i="5"/>
  <c r="D393" i="5"/>
  <c r="D343" i="5"/>
  <c r="D165" i="5"/>
  <c r="D1877" i="5"/>
  <c r="D1357" i="5"/>
  <c r="D1810" i="5"/>
  <c r="D1664" i="5"/>
  <c r="D1229" i="5"/>
  <c r="D1193" i="5"/>
  <c r="D1083" i="5"/>
  <c r="D1304" i="5"/>
  <c r="D1654" i="5"/>
  <c r="D993" i="5"/>
  <c r="D1354" i="5"/>
  <c r="D1386" i="5"/>
  <c r="D1156" i="5"/>
  <c r="D1170" i="5"/>
  <c r="D1485" i="5"/>
  <c r="D1518" i="5"/>
  <c r="D319" i="5"/>
  <c r="D283" i="5"/>
  <c r="D132" i="5"/>
  <c r="D271" i="5"/>
  <c r="D75" i="5"/>
  <c r="D1526" i="5"/>
  <c r="D773" i="5"/>
  <c r="D1032" i="5"/>
  <c r="D1236" i="5"/>
  <c r="D1066" i="5"/>
  <c r="D1115" i="5"/>
  <c r="D1363" i="5"/>
  <c r="D1390" i="5"/>
  <c r="D269" i="5"/>
  <c r="D218" i="5"/>
  <c r="D421" i="5"/>
  <c r="D161" i="5"/>
  <c r="D96" i="5"/>
  <c r="D820" i="5"/>
  <c r="D1827" i="5"/>
  <c r="D1801" i="5"/>
  <c r="D1755" i="5"/>
  <c r="D1828" i="5"/>
  <c r="D999" i="5"/>
  <c r="D1128" i="5"/>
  <c r="D998" i="5"/>
  <c r="D1242" i="5"/>
  <c r="D1458" i="5"/>
  <c r="D529" i="5"/>
  <c r="D484" i="5"/>
  <c r="D1777" i="5"/>
  <c r="D1751" i="5"/>
  <c r="D1675" i="5"/>
  <c r="D1748" i="5"/>
  <c r="D949" i="5"/>
  <c r="D1048" i="5"/>
  <c r="D888" i="5"/>
  <c r="D1192" i="5"/>
  <c r="D1404" i="5"/>
  <c r="D638" i="5"/>
  <c r="D877" i="5"/>
  <c r="D996" i="5"/>
  <c r="D1006" i="5"/>
  <c r="D915" i="5"/>
  <c r="D1220" i="5"/>
  <c r="D1279" i="5"/>
  <c r="D219" i="5"/>
  <c r="D23" i="5"/>
  <c r="D322" i="5"/>
  <c r="D488" i="5"/>
  <c r="D474" i="5"/>
  <c r="D896" i="5"/>
  <c r="D850" i="5"/>
  <c r="D1030" i="5"/>
  <c r="D1194" i="5"/>
  <c r="D139" i="5"/>
  <c r="D541" i="5"/>
  <c r="D222" i="5"/>
  <c r="D150" i="5"/>
  <c r="D199" i="5"/>
  <c r="D127" i="5"/>
  <c r="D622" i="5"/>
  <c r="D616" i="5"/>
  <c r="D696" i="5"/>
  <c r="D640" i="5"/>
  <c r="D925" i="5"/>
  <c r="D1084" i="5"/>
  <c r="D849" i="5"/>
  <c r="D107" i="5"/>
  <c r="D83" i="5"/>
  <c r="D265" i="5"/>
  <c r="D12" i="5"/>
  <c r="D1727" i="5"/>
  <c r="D1936" i="5"/>
  <c r="D1615" i="5"/>
  <c r="D1963" i="5"/>
  <c r="D899" i="5"/>
  <c r="D933" i="5"/>
  <c r="D803" i="5"/>
  <c r="D1142" i="5"/>
  <c r="D1077" i="5"/>
  <c r="D1421" i="5"/>
  <c r="D772" i="5"/>
  <c r="D856" i="5"/>
  <c r="D558" i="5"/>
  <c r="D862" i="5"/>
  <c r="D1118" i="5"/>
  <c r="D433" i="5"/>
  <c r="D315" i="5"/>
  <c r="D21" i="5"/>
  <c r="D1636" i="5"/>
  <c r="D737" i="5"/>
  <c r="D848" i="5"/>
  <c r="D672" i="5"/>
  <c r="D460" i="5"/>
  <c r="D71" i="5"/>
  <c r="D1677" i="5"/>
  <c r="D1886" i="5"/>
  <c r="D1754" i="5"/>
  <c r="D1913" i="5"/>
  <c r="D844" i="5"/>
  <c r="D813" i="5"/>
  <c r="D743" i="5"/>
  <c r="D1012" i="5"/>
  <c r="D839" i="5"/>
  <c r="D1237" i="5"/>
  <c r="D682" i="5"/>
  <c r="D751" i="5"/>
  <c r="D811" i="5"/>
  <c r="D730" i="5"/>
  <c r="D975" i="5"/>
  <c r="D1144" i="5"/>
  <c r="D74" i="5"/>
  <c r="D228" i="5"/>
  <c r="D47" i="5"/>
  <c r="D578" i="5"/>
  <c r="D383" i="5"/>
  <c r="D917" i="5"/>
  <c r="D477" i="5"/>
  <c r="D561" i="5"/>
  <c r="D1646" i="5"/>
  <c r="D520" i="5"/>
  <c r="D422" i="5"/>
  <c r="D689" i="5"/>
  <c r="D1627" i="5"/>
  <c r="D1836" i="5"/>
  <c r="D1944" i="5"/>
  <c r="D1768" i="5"/>
  <c r="D789" i="5"/>
  <c r="D1599" i="5"/>
  <c r="D693" i="5"/>
  <c r="D932" i="5"/>
  <c r="D1489" i="5"/>
  <c r="D1122" i="5"/>
  <c r="D24" i="5"/>
  <c r="D138" i="5"/>
  <c r="D196" i="5"/>
  <c r="D1553" i="5"/>
  <c r="D705" i="5"/>
  <c r="D1577" i="5"/>
  <c r="D1715" i="5"/>
  <c r="D1894" i="5"/>
  <c r="D1668" i="5"/>
  <c r="D729" i="5"/>
  <c r="D1466" i="5"/>
  <c r="D643" i="5"/>
  <c r="D1527" i="5"/>
  <c r="D1960" i="5"/>
  <c r="D1844" i="5"/>
  <c r="D1588" i="5"/>
  <c r="D584" i="5"/>
  <c r="D1344" i="5"/>
  <c r="D9" i="4"/>
  <c r="D278" i="5"/>
  <c r="D628" i="5"/>
  <c r="D837" i="5"/>
  <c r="D991" i="5"/>
  <c r="D1001" i="5"/>
  <c r="D910" i="5"/>
  <c r="D1160" i="5"/>
  <c r="D1259" i="5"/>
  <c r="D214" i="5"/>
  <c r="D1088" i="5"/>
  <c r="D907" i="5"/>
  <c r="D462" i="5"/>
  <c r="D1676" i="5"/>
  <c r="D1596" i="5"/>
  <c r="D505" i="5"/>
  <c r="D810" i="5"/>
  <c r="D1310" i="5"/>
  <c r="D732" i="5"/>
  <c r="D836" i="5"/>
  <c r="D876" i="5"/>
  <c r="D780" i="5"/>
  <c r="D1010" i="5"/>
  <c r="D1179" i="5"/>
  <c r="D109" i="5"/>
  <c r="D968" i="5"/>
  <c r="D847" i="5"/>
  <c r="D447" i="5"/>
  <c r="D1628" i="5"/>
  <c r="D1530" i="5"/>
  <c r="D490" i="5"/>
  <c r="D790" i="5"/>
  <c r="D688" i="5"/>
  <c r="D962" i="5"/>
  <c r="D1121" i="5"/>
  <c r="D1031" i="5"/>
  <c r="D1085" i="5"/>
  <c r="D1168" i="5"/>
  <c r="D977" i="5"/>
  <c r="D542" i="5"/>
  <c r="D576" i="5"/>
  <c r="D651" i="5"/>
  <c r="D580" i="5"/>
  <c r="D835" i="5"/>
  <c r="D1272" i="5"/>
  <c r="D692" i="5"/>
  <c r="D766" i="5"/>
  <c r="D1267" i="5"/>
  <c r="D687" i="5"/>
  <c r="D756" i="5"/>
  <c r="D821" i="5"/>
  <c r="D735" i="5"/>
  <c r="D980" i="5"/>
  <c r="D1513" i="5"/>
  <c r="D629" i="5"/>
  <c r="D18" i="5"/>
  <c r="D182" i="5"/>
  <c r="D531" i="5"/>
  <c r="D156" i="5"/>
  <c r="D525" i="5"/>
  <c r="D1350" i="5"/>
  <c r="D85" i="5"/>
  <c r="D776" i="5"/>
  <c r="D661" i="5"/>
  <c r="D868" i="5"/>
  <c r="D1314" i="5"/>
  <c r="D213" i="5"/>
  <c r="D1410" i="5"/>
  <c r="D762" i="5"/>
  <c r="D851" i="5"/>
  <c r="D891" i="5"/>
  <c r="D795" i="5"/>
  <c r="D1025" i="5"/>
  <c r="D1189" i="5"/>
  <c r="D129" i="5"/>
  <c r="D798" i="5"/>
  <c r="D592" i="5"/>
  <c r="D402" i="5"/>
  <c r="D1525" i="5"/>
  <c r="D1430" i="5"/>
  <c r="D450" i="5"/>
  <c r="D774" i="5"/>
  <c r="D1217" i="5"/>
  <c r="D662" i="5"/>
  <c r="D731" i="5"/>
  <c r="D781" i="5"/>
  <c r="D715" i="5"/>
  <c r="D960" i="5"/>
  <c r="D1129" i="5"/>
  <c r="D59" i="5"/>
  <c r="D1671" i="5"/>
  <c r="D522" i="5"/>
  <c r="D367" i="5"/>
  <c r="D1486" i="5"/>
  <c r="D1391" i="5"/>
  <c r="D435" i="5"/>
  <c r="D670" i="5"/>
  <c r="D1549" i="5"/>
  <c r="D797" i="5"/>
  <c r="D946" i="5"/>
  <c r="D921" i="5"/>
  <c r="D880" i="5"/>
  <c r="D958" i="5"/>
  <c r="D832" i="5"/>
  <c r="D437" i="5"/>
  <c r="D1603" i="5"/>
  <c r="D1508" i="5"/>
  <c r="D475" i="5"/>
  <c r="D1631" i="5"/>
  <c r="D1162" i="5"/>
  <c r="D632" i="5"/>
  <c r="D1511" i="5"/>
  <c r="D1137" i="5"/>
  <c r="D627" i="5"/>
  <c r="D631" i="5"/>
  <c r="D701" i="5"/>
  <c r="D645" i="5"/>
  <c r="D930" i="5"/>
  <c r="D1005" i="5"/>
  <c r="D339" i="5"/>
  <c r="D491" i="5"/>
  <c r="D32" i="5"/>
  <c r="D345" i="5"/>
  <c r="D17" i="5"/>
  <c r="D508" i="5"/>
  <c r="D290" i="5"/>
  <c r="D656" i="5"/>
  <c r="D585" i="5"/>
  <c r="D1426" i="5"/>
  <c r="D1331" i="5"/>
  <c r="D1171" i="5"/>
  <c r="D1185" i="5"/>
  <c r="D1524" i="5"/>
  <c r="D507" i="5"/>
  <c r="D1533" i="5"/>
  <c r="D180" i="5"/>
  <c r="D829" i="5"/>
  <c r="D1227" i="5"/>
  <c r="D677" i="5"/>
  <c r="D746" i="5"/>
  <c r="D801" i="5"/>
  <c r="D725" i="5"/>
  <c r="D970" i="5"/>
  <c r="D1139" i="5"/>
  <c r="D69" i="5"/>
  <c r="D1416" i="5"/>
  <c r="D392" i="5"/>
  <c r="D1531" i="5"/>
  <c r="D1276" i="5"/>
  <c r="D1291" i="5"/>
  <c r="D400" i="5"/>
  <c r="D1361" i="5"/>
  <c r="D1082" i="5"/>
  <c r="D602" i="5"/>
  <c r="D596" i="5"/>
  <c r="D671" i="5"/>
  <c r="D610" i="5"/>
  <c r="D875" i="5"/>
  <c r="D1069" i="5"/>
  <c r="D73" i="5"/>
  <c r="D1305" i="5"/>
  <c r="D1661" i="5"/>
  <c r="D1498" i="5"/>
  <c r="D1261" i="5"/>
  <c r="D1255" i="5"/>
  <c r="D1666" i="5"/>
  <c r="D555" i="5"/>
  <c r="D1293" i="5"/>
  <c r="D702" i="5"/>
  <c r="D786" i="5"/>
  <c r="D861" i="5"/>
  <c r="D750" i="5"/>
  <c r="D1568" i="5"/>
  <c r="D512" i="5"/>
  <c r="D357" i="5"/>
  <c r="D1464" i="5"/>
  <c r="D1369" i="5"/>
  <c r="D425" i="5"/>
  <c r="D1163" i="5"/>
  <c r="D952" i="5"/>
  <c r="D537" i="5"/>
  <c r="D1158" i="5"/>
  <c r="D927" i="5"/>
  <c r="D532" i="5"/>
  <c r="D566" i="5"/>
  <c r="D626" i="5"/>
  <c r="D800" i="5"/>
  <c r="D274" i="5"/>
  <c r="D198" i="5"/>
  <c r="D1641" i="5"/>
  <c r="D582" i="5"/>
  <c r="D68" i="5"/>
  <c r="D409" i="5"/>
  <c r="D336" i="5"/>
  <c r="D446" i="5"/>
  <c r="D469" i="5"/>
  <c r="D169" i="5"/>
  <c r="D1244" i="5"/>
  <c r="D292" i="5"/>
  <c r="D67" i="5"/>
  <c r="D1478" i="5"/>
  <c r="D1102" i="5"/>
  <c r="D617" i="5"/>
  <c r="D611" i="5"/>
  <c r="D686" i="5"/>
  <c r="D635" i="5"/>
  <c r="D920" i="5"/>
  <c r="D1079" i="5"/>
  <c r="D19" i="5"/>
  <c r="D1203" i="5"/>
  <c r="D1515" i="5"/>
  <c r="D1398" i="5"/>
  <c r="D1201" i="5"/>
  <c r="D1210" i="5"/>
  <c r="D1583" i="5"/>
  <c r="D1078" i="5"/>
  <c r="D902" i="5"/>
  <c r="D457" i="5"/>
  <c r="D1653" i="5"/>
  <c r="D1571" i="5"/>
  <c r="D500" i="5"/>
  <c r="D805" i="5"/>
  <c r="D739" i="5"/>
  <c r="D77" i="5"/>
  <c r="D1133" i="5"/>
  <c r="D1465" i="5"/>
  <c r="D1359" i="5"/>
  <c r="D1186" i="5"/>
  <c r="D1195" i="5"/>
  <c r="D1546" i="5"/>
  <c r="D579" i="5"/>
  <c r="D1172" i="5"/>
  <c r="D642" i="5"/>
  <c r="D676" i="5"/>
  <c r="D716" i="5"/>
  <c r="D660" i="5"/>
  <c r="D1283" i="5"/>
  <c r="D1623" i="5"/>
  <c r="D1470" i="5"/>
  <c r="D1246" i="5"/>
  <c r="D1240" i="5"/>
  <c r="D1639" i="5"/>
  <c r="D928" i="5"/>
  <c r="D822" i="5"/>
  <c r="D432" i="5"/>
  <c r="D913" i="5"/>
  <c r="D727" i="5"/>
  <c r="D427" i="5"/>
  <c r="D1578" i="5"/>
  <c r="D1469" i="5"/>
  <c r="D465" i="5"/>
  <c r="D1007" i="5"/>
  <c r="D615" i="5"/>
  <c r="D189" i="5"/>
  <c r="D118" i="5"/>
  <c r="D368" i="5"/>
  <c r="D235" i="5"/>
  <c r="D1701" i="5"/>
  <c r="D515" i="5"/>
  <c r="D1117" i="5"/>
  <c r="D1364" i="5"/>
  <c r="D1146" i="5"/>
  <c r="D1155" i="5"/>
  <c r="D1463" i="5"/>
  <c r="D1721" i="5"/>
  <c r="D587" i="5"/>
  <c r="D377" i="5"/>
  <c r="D1514" i="5"/>
  <c r="D1419" i="5"/>
  <c r="D873" i="5"/>
  <c r="D1087" i="5"/>
  <c r="D1325" i="5"/>
  <c r="D1096" i="5"/>
  <c r="D1424" i="5"/>
  <c r="D1183" i="5"/>
  <c r="D1038" i="5"/>
  <c r="D84" i="5"/>
  <c r="D553" i="5"/>
  <c r="D476" i="5"/>
  <c r="D1098" i="5"/>
  <c r="D912" i="5"/>
  <c r="D472" i="5"/>
  <c r="D1621" i="5"/>
  <c r="D815" i="5"/>
  <c r="D824" i="5"/>
  <c r="D102" i="5"/>
  <c r="D978" i="5"/>
  <c r="D445" i="5"/>
  <c r="D690" i="5"/>
  <c r="D674" i="5"/>
  <c r="D498" i="5"/>
  <c r="D1140" i="5"/>
  <c r="D992" i="5"/>
  <c r="D547" i="5"/>
  <c r="D581" i="5"/>
  <c r="D1544" i="5"/>
  <c r="D492" i="5"/>
  <c r="D1616" i="5"/>
  <c r="D1425" i="5"/>
  <c r="D1330" i="5"/>
  <c r="D415" i="5"/>
  <c r="D1576" i="5"/>
  <c r="D838" i="5"/>
  <c r="D597" i="5"/>
  <c r="D407" i="5"/>
  <c r="D1536" i="5"/>
  <c r="D1441" i="5"/>
  <c r="D455" i="5"/>
  <c r="D700" i="5"/>
  <c r="D684" i="5"/>
  <c r="D523" i="5"/>
  <c r="D738" i="5"/>
  <c r="D1017" i="5"/>
  <c r="D1221" i="5"/>
  <c r="D1056" i="5"/>
  <c r="D1105" i="5"/>
  <c r="D1335" i="5"/>
  <c r="D1405" i="5"/>
  <c r="D387" i="5"/>
  <c r="D1520" i="5"/>
  <c r="D1271" i="5"/>
  <c r="D1265" i="5"/>
  <c r="D1716" i="5"/>
  <c r="D565" i="5"/>
  <c r="D593" i="5"/>
  <c r="D370" i="5"/>
  <c r="D718" i="5"/>
  <c r="D967" i="5"/>
  <c r="D1131" i="5"/>
  <c r="D1036" i="5"/>
  <c r="D1090" i="5"/>
  <c r="D1296" i="5"/>
  <c r="D963" i="5"/>
  <c r="D842" i="5"/>
  <c r="D442" i="5"/>
  <c r="D1609" i="5"/>
  <c r="D1519" i="5"/>
  <c r="D480" i="5"/>
  <c r="D863" i="5"/>
  <c r="D1052" i="5"/>
  <c r="D1286" i="5"/>
  <c r="D1081" i="5"/>
  <c r="D1130" i="5"/>
  <c r="D1396" i="5"/>
  <c r="D1253" i="5"/>
  <c r="D1604" i="5"/>
  <c r="D1459" i="5"/>
  <c r="D1243" i="5"/>
  <c r="D1598" i="5"/>
  <c r="D1431" i="5"/>
  <c r="D1216" i="5"/>
  <c r="D1230" i="5"/>
  <c r="D1614" i="5"/>
  <c r="D636" i="5"/>
  <c r="D1401" i="5"/>
  <c r="D1433" i="5"/>
  <c r="D397" i="5"/>
  <c r="D1548" i="5"/>
  <c r="D1403" i="5"/>
  <c r="D1308" i="5"/>
  <c r="D405" i="5"/>
  <c r="D590" i="5"/>
  <c r="D634" i="5"/>
  <c r="D398" i="5"/>
  <c r="D623" i="5"/>
  <c r="D827" i="5"/>
  <c r="D986" i="5"/>
  <c r="D971" i="5"/>
  <c r="D905" i="5"/>
  <c r="D1070" i="5"/>
  <c r="D1188" i="5"/>
  <c r="D1493" i="5"/>
  <c r="D1381" i="5"/>
  <c r="D1196" i="5"/>
  <c r="D1205" i="5"/>
  <c r="D1564" i="5"/>
  <c r="D1651" i="5"/>
  <c r="D354" i="5"/>
  <c r="D328" i="5"/>
  <c r="D1561" i="5"/>
  <c r="D802" i="5"/>
  <c r="D956" i="5"/>
  <c r="D931" i="5"/>
  <c r="D890" i="5"/>
  <c r="D1055" i="5"/>
  <c r="D1593" i="5"/>
  <c r="D517" i="5"/>
  <c r="D362" i="5"/>
  <c r="D1475" i="5"/>
  <c r="D1380" i="5"/>
  <c r="D430" i="5"/>
  <c r="D678" i="5"/>
  <c r="D957" i="5"/>
  <c r="D1116" i="5"/>
  <c r="D1026" i="5"/>
  <c r="D1080" i="5"/>
  <c r="D1280" i="5"/>
  <c r="D1033" i="5"/>
  <c r="D1415" i="5"/>
  <c r="D1309" i="5"/>
  <c r="D1028" i="5"/>
  <c r="D1393" i="5"/>
  <c r="D1298" i="5"/>
  <c r="D1161" i="5"/>
  <c r="D1175" i="5"/>
  <c r="D1496" i="5"/>
  <c r="D1166" i="5"/>
  <c r="D1219" i="5"/>
  <c r="D568" i="5"/>
  <c r="D297" i="5"/>
  <c r="D281" i="5"/>
  <c r="D20" i="5"/>
  <c r="D1250" i="5"/>
  <c r="D1658" i="5"/>
  <c r="D1538" i="5"/>
  <c r="D787" i="5"/>
  <c r="D936" i="5"/>
  <c r="D911" i="5"/>
  <c r="D870" i="5"/>
  <c r="D1045" i="5"/>
  <c r="D793" i="5"/>
  <c r="D1047" i="5"/>
  <c r="D1281" i="5"/>
  <c r="D778" i="5"/>
  <c r="D1037" i="5"/>
  <c r="D1256" i="5"/>
  <c r="D1071" i="5"/>
  <c r="D1120" i="5"/>
  <c r="D1374" i="5"/>
  <c r="D706" i="5"/>
  <c r="D1154" i="5"/>
  <c r="D381" i="5"/>
  <c r="D187" i="5"/>
  <c r="D181" i="5"/>
  <c r="D468" i="5"/>
  <c r="D846" i="5"/>
  <c r="D745" i="5"/>
  <c r="D990" i="5"/>
  <c r="D673" i="5"/>
  <c r="D892" i="5"/>
  <c r="D1111" i="5"/>
  <c r="D668" i="5"/>
  <c r="D882" i="5"/>
  <c r="D1016" i="5"/>
  <c r="D1011" i="5"/>
  <c r="D1020" i="5"/>
  <c r="D1270" i="5"/>
  <c r="D1180" i="5"/>
  <c r="D1064" i="5"/>
  <c r="D313" i="5"/>
  <c r="D1086" i="5"/>
  <c r="D1135" i="5"/>
  <c r="D1656" i="5"/>
  <c r="D1167" i="5"/>
  <c r="D641" i="5"/>
  <c r="D711" i="5"/>
  <c r="D940" i="5"/>
  <c r="D782" i="5"/>
  <c r="D1438" i="5"/>
  <c r="D916" i="5"/>
  <c r="D860" i="5"/>
  <c r="D709" i="5"/>
  <c r="D1233" i="5"/>
  <c r="D1543" i="5"/>
  <c r="D1409" i="5"/>
  <c r="D1206" i="5"/>
  <c r="D1215" i="5"/>
  <c r="D1589" i="5"/>
  <c r="D510" i="5"/>
  <c r="D376" i="5"/>
  <c r="D338" i="5"/>
  <c r="D1338" i="5"/>
  <c r="D752" i="5"/>
  <c r="D841" i="5"/>
  <c r="D886" i="5"/>
  <c r="D785" i="5"/>
  <c r="D1015" i="5"/>
  <c r="D923" i="5"/>
  <c r="D1112" i="5"/>
  <c r="D1353" i="5"/>
  <c r="D1106" i="5"/>
  <c r="D1150" i="5"/>
  <c r="D1446" i="5"/>
  <c r="D1479" i="5"/>
  <c r="D304" i="5"/>
  <c r="D699" i="5"/>
  <c r="D1288" i="5"/>
  <c r="D707" i="5"/>
  <c r="D806" i="5"/>
  <c r="D866" i="5"/>
  <c r="D755" i="5"/>
  <c r="D1000" i="5"/>
  <c r="D1294" i="5"/>
  <c r="D1648" i="5"/>
  <c r="D1481" i="5"/>
  <c r="D1251" i="5"/>
  <c r="D637" i="5"/>
  <c r="D655" i="5"/>
  <c r="D1460" i="5"/>
  <c r="D926" i="5"/>
  <c r="D777" i="5"/>
  <c r="D901" i="5"/>
  <c r="D650" i="5"/>
  <c r="D983" i="5"/>
  <c r="D1132" i="5"/>
  <c r="D1375" i="5"/>
  <c r="D1151" i="5"/>
  <c r="D1165" i="5"/>
  <c r="D1474" i="5"/>
  <c r="D1501" i="5"/>
  <c r="D314" i="5"/>
  <c r="D784" i="5"/>
  <c r="D1222" i="5"/>
  <c r="D667" i="5"/>
  <c r="D741" i="5"/>
  <c r="D791" i="5"/>
  <c r="D720" i="5"/>
  <c r="D965" i="5"/>
  <c r="D728" i="5"/>
  <c r="D987" i="5"/>
  <c r="D1141" i="5"/>
  <c r="D1051" i="5"/>
  <c r="D1100" i="5"/>
  <c r="D1324" i="5"/>
  <c r="D1351" i="5"/>
  <c r="D254" i="5"/>
  <c r="D619" i="5"/>
  <c r="D1177" i="5"/>
  <c r="D647" i="5"/>
  <c r="D721" i="5"/>
  <c r="D761" i="5"/>
  <c r="D675" i="5"/>
  <c r="D950" i="5"/>
  <c r="D1053" i="5"/>
  <c r="D1454" i="5"/>
  <c r="D1348" i="5"/>
  <c r="D1181" i="5"/>
  <c r="D1190" i="5"/>
  <c r="D1535" i="5"/>
  <c r="D1277" i="5"/>
  <c r="D697" i="5"/>
  <c r="D768" i="5"/>
  <c r="D1022" i="5"/>
  <c r="D1226" i="5"/>
  <c r="D1061" i="5"/>
  <c r="D1110" i="5"/>
  <c r="D1346" i="5"/>
  <c r="D1379" i="5"/>
  <c r="D264" i="5"/>
  <c r="D1389" i="5"/>
  <c r="D1097" i="5"/>
  <c r="D612" i="5"/>
  <c r="D601" i="5"/>
  <c r="D681" i="5"/>
  <c r="D630" i="5"/>
  <c r="D885" i="5"/>
  <c r="D618" i="5"/>
  <c r="D812" i="5"/>
  <c r="D981" i="5"/>
  <c r="D961" i="5"/>
  <c r="D900" i="5"/>
  <c r="D1065" i="5"/>
  <c r="D204" i="5"/>
  <c r="D1339" i="5"/>
  <c r="D997" i="5"/>
  <c r="D572" i="5"/>
  <c r="D586" i="5"/>
  <c r="D600" i="5"/>
  <c r="D845" i="5"/>
  <c r="D1072" i="5"/>
  <c r="D1035" i="5"/>
  <c r="D238" i="5"/>
  <c r="D140" i="5"/>
  <c r="D10" i="4"/>
  <c r="D1551" i="5"/>
  <c r="D79" i="5"/>
  <c r="D534" i="5"/>
  <c r="D331" i="5"/>
  <c r="D1368" i="5"/>
  <c r="D63" i="5"/>
  <c r="D403" i="5"/>
  <c r="D276" i="5"/>
  <c r="D1214" i="5"/>
  <c r="D554" i="5"/>
  <c r="D282" i="5"/>
  <c r="D463" i="5"/>
  <c r="D359" i="5"/>
  <c r="D66" i="5"/>
  <c r="D308" i="5"/>
  <c r="D449" i="5"/>
  <c r="D287" i="5"/>
  <c r="D177" i="5"/>
  <c r="D1059" i="5"/>
  <c r="D396" i="5"/>
  <c r="D704" i="5"/>
  <c r="D13" i="5"/>
  <c r="D157" i="5"/>
  <c r="D1149" i="5"/>
  <c r="D147" i="5"/>
  <c r="D223" i="5"/>
  <c r="D536" i="5"/>
  <c r="D188" i="5"/>
  <c r="D489" i="5"/>
  <c r="D334" i="5"/>
  <c r="D466" i="5"/>
  <c r="D27" i="5"/>
  <c r="D259" i="5"/>
  <c r="D184" i="5"/>
  <c r="D113" i="5"/>
  <c r="D266" i="5"/>
  <c r="D13" i="4"/>
  <c r="D257" i="5"/>
  <c r="D146" i="5"/>
  <c r="D483" i="5"/>
  <c r="D426" i="5"/>
  <c r="D280" i="5"/>
  <c r="D443" i="5"/>
  <c r="D385" i="5"/>
  <c r="D12" i="4"/>
  <c r="D399" i="5"/>
  <c r="D605" i="5"/>
  <c r="D285" i="5"/>
  <c r="D149" i="5"/>
  <c r="D408" i="5"/>
  <c r="D1435" i="5"/>
  <c r="D230" i="5"/>
  <c r="D221" i="5"/>
  <c r="D245" i="5"/>
  <c r="D995" i="5"/>
  <c r="D175" i="5"/>
  <c r="D86" i="5"/>
  <c r="D1013" i="5"/>
  <c r="D80" i="5"/>
  <c r="D9" i="5"/>
  <c r="D857" i="5"/>
  <c r="D570" i="5"/>
  <c r="D159" i="5"/>
  <c r="D124" i="5"/>
  <c r="D452" i="5"/>
  <c r="D22" i="5"/>
  <c r="D206" i="5"/>
  <c r="D591" i="5"/>
  <c r="D451" i="5"/>
  <c r="D151" i="5"/>
  <c r="D106" i="5"/>
  <c r="D8" i="5"/>
  <c r="D135" i="5"/>
  <c r="D225" i="5"/>
  <c r="D775" i="5"/>
  <c r="D506" i="5"/>
  <c r="D170" i="5"/>
  <c r="D340" i="5"/>
  <c r="D1101" i="5"/>
  <c r="D666" i="5"/>
  <c r="D1145" i="5"/>
  <c r="D70" i="5"/>
  <c r="D8" i="4"/>
  <c r="D551" i="5"/>
  <c r="D1413" i="5"/>
  <c r="D511" i="5"/>
  <c r="D152" i="5"/>
  <c r="D326" i="5"/>
  <c r="D459" i="5"/>
  <c r="D300" i="5"/>
  <c r="D985" i="5"/>
  <c r="D386" i="5"/>
  <c r="D261" i="5"/>
  <c r="D317" i="5"/>
  <c r="D770" i="5"/>
  <c r="D183" i="5"/>
  <c r="D329" i="5"/>
  <c r="D249" i="5"/>
  <c r="D64" i="5"/>
  <c r="D1696" i="5"/>
  <c r="D481" i="5"/>
  <c r="D552" i="5"/>
  <c r="D560" i="5"/>
  <c r="D174" i="5"/>
  <c r="D58" i="5"/>
  <c r="D360" i="5"/>
  <c r="D372" i="5"/>
  <c r="D1540" i="5"/>
  <c r="D571" i="5"/>
  <c r="D1340" i="5"/>
  <c r="D1076" i="5"/>
  <c r="D1209" i="5"/>
  <c r="D548" i="5"/>
  <c r="D277" i="5"/>
  <c r="D335" i="5"/>
  <c r="D186" i="5"/>
  <c r="D51" i="5"/>
  <c r="D543" i="5"/>
  <c r="D130" i="5"/>
  <c r="D646" i="5"/>
  <c r="D1134" i="5"/>
  <c r="D441" i="5"/>
  <c r="D46" i="5"/>
  <c r="D1125" i="5"/>
  <c r="D1054" i="5"/>
  <c r="D303" i="5"/>
  <c r="D172" i="5"/>
  <c r="D528" i="5"/>
  <c r="D575" i="5"/>
  <c r="D694" i="5"/>
  <c r="D193" i="5"/>
  <c r="D166" i="5"/>
  <c r="D78" i="5"/>
  <c r="D141" i="5"/>
  <c r="D207" i="5"/>
  <c r="D108" i="5"/>
  <c r="D444" i="5"/>
  <c r="D347" i="5"/>
  <c r="D564" i="5"/>
  <c r="D391" i="5"/>
  <c r="D7" i="4"/>
  <c r="D1333" i="5"/>
  <c r="D765" i="5"/>
  <c r="D244" i="5"/>
  <c r="D173" i="5"/>
  <c r="D464" i="5"/>
  <c r="D275" i="5"/>
  <c r="D382" i="5"/>
  <c r="D550" i="5"/>
  <c r="D164" i="5"/>
  <c r="D103" i="5"/>
  <c r="D136" i="5"/>
  <c r="D220" i="5"/>
  <c r="D1509" i="5"/>
  <c r="D1529" i="5"/>
  <c r="D54" i="5"/>
  <c r="D509" i="5"/>
  <c r="D401" i="5"/>
  <c r="D15" i="5"/>
  <c r="D316" i="5"/>
  <c r="D1204" i="5"/>
  <c r="D256" i="5"/>
  <c r="D160" i="5"/>
  <c r="D60" i="5"/>
  <c r="D504" i="5"/>
  <c r="D569" i="5"/>
  <c r="D121" i="5"/>
  <c r="D1049" i="5"/>
  <c r="D293" i="5"/>
  <c r="D374" i="5"/>
  <c r="D438" i="5"/>
  <c r="D1634" i="5"/>
  <c r="D1329" i="5"/>
  <c r="D48" i="5"/>
  <c r="D380" i="5"/>
  <c r="D1046" i="5"/>
  <c r="D267" i="5"/>
  <c r="D61" i="5"/>
  <c r="D1541" i="5"/>
  <c r="D1124" i="5"/>
  <c r="D416" i="5"/>
  <c r="D36" i="5"/>
  <c r="D424" i="5"/>
  <c r="D456" i="5"/>
  <c r="D1095" i="5"/>
  <c r="D144" i="5"/>
  <c r="D495" i="5"/>
  <c r="D679" i="5"/>
  <c r="D178" i="5"/>
  <c r="D252" i="5"/>
  <c r="D125" i="5"/>
  <c r="D216" i="5"/>
  <c r="D167" i="5"/>
  <c r="D375" i="5"/>
  <c r="D126" i="5"/>
  <c r="D1385" i="5"/>
  <c r="D486" i="5"/>
  <c r="D142" i="5"/>
  <c r="D324" i="5"/>
  <c r="D330" i="5"/>
  <c r="D955" i="5"/>
  <c r="D16" i="4"/>
  <c r="D115" i="5"/>
  <c r="D366" i="5"/>
  <c r="D45" i="5"/>
  <c r="D305" i="5"/>
  <c r="D31" i="5"/>
  <c r="D250" i="5"/>
  <c r="D57" i="5"/>
  <c r="D195" i="5"/>
  <c r="D105" i="5"/>
  <c r="D33" i="5"/>
  <c r="D35" i="5"/>
  <c r="D378" i="5"/>
  <c r="D453" i="5"/>
  <c r="D55" i="5"/>
  <c r="D202" i="5"/>
  <c r="D538" i="5"/>
  <c r="D7" i="5"/>
  <c r="D361" i="5"/>
  <c r="D470" i="5"/>
  <c r="D669" i="5"/>
  <c r="D168" i="5"/>
  <c r="D247" i="5"/>
  <c r="D120" i="5"/>
  <c r="D211" i="5"/>
  <c r="D355" i="5"/>
  <c r="D1313" i="5"/>
  <c r="D461" i="5"/>
  <c r="D112" i="5"/>
  <c r="D162" i="5"/>
  <c r="D431" i="5"/>
  <c r="D41" i="5"/>
  <c r="D101" i="5"/>
  <c r="D325" i="5"/>
  <c r="D16" i="5"/>
  <c r="D418" i="5"/>
  <c r="D419" i="5"/>
  <c r="D945" i="5"/>
  <c r="D309" i="5"/>
  <c r="D298" i="5"/>
  <c r="D30" i="5"/>
  <c r="D1178" i="5"/>
  <c r="D710" i="5"/>
  <c r="D239" i="5"/>
  <c r="D163" i="5"/>
  <c r="D458" i="5"/>
  <c r="D270" i="5"/>
  <c r="D545" i="5"/>
  <c r="D1476" i="5"/>
  <c r="D154" i="5"/>
  <c r="D98" i="5"/>
  <c r="D111" i="5"/>
  <c r="D210" i="5"/>
  <c r="D122" i="5"/>
  <c r="D311" i="5"/>
  <c r="D251" i="5"/>
  <c r="D549" i="5"/>
  <c r="D273" i="5"/>
  <c r="D1370" i="5"/>
  <c r="D1490" i="5"/>
  <c r="D49" i="5"/>
  <c r="D503" i="5"/>
  <c r="D384" i="5"/>
  <c r="D155" i="5"/>
  <c r="D1318" i="5"/>
  <c r="D358" i="5"/>
  <c r="D50" i="5"/>
  <c r="D262" i="5"/>
  <c r="D91" i="5"/>
  <c r="D363" i="5"/>
  <c r="D1584" i="5"/>
  <c r="D1021" i="5"/>
  <c r="D1199" i="5"/>
  <c r="D479" i="5"/>
  <c r="D1491" i="5"/>
  <c r="D1119" i="5"/>
  <c r="D364" i="5"/>
  <c r="D26" i="5"/>
  <c r="D134" i="5"/>
  <c r="D1075" i="5"/>
  <c r="D1044" i="5"/>
  <c r="D15" i="4"/>
  <c r="D119" i="5"/>
  <c r="D478" i="5"/>
  <c r="D373" i="5"/>
  <c r="D237" i="5"/>
  <c r="D440" i="5"/>
  <c r="D664" i="5"/>
  <c r="D65" i="5"/>
  <c r="D865" i="5"/>
  <c r="D749" i="5"/>
  <c r="D263" i="5"/>
  <c r="D388" i="5"/>
  <c r="D117" i="5"/>
  <c r="D306" i="5"/>
  <c r="D1285" i="5"/>
  <c r="D436" i="5"/>
  <c r="D310" i="5"/>
  <c r="D420" i="5"/>
  <c r="D659" i="5"/>
  <c r="D327" i="5"/>
  <c r="D56" i="5"/>
  <c r="D143" i="5"/>
  <c r="D114" i="5"/>
  <c r="D246" i="5"/>
  <c r="D236" i="5"/>
  <c r="D935" i="5"/>
  <c r="D299" i="5"/>
  <c r="D110" i="5"/>
  <c r="D1275" i="5"/>
  <c r="D411" i="5"/>
  <c r="D389" i="5"/>
  <c r="D1503" i="5"/>
  <c r="D473" i="5"/>
  <c r="D212" i="5"/>
  <c r="D546" i="5"/>
  <c r="D535" i="5"/>
  <c r="D104" i="5"/>
  <c r="D406" i="5"/>
  <c r="D353" i="5"/>
  <c r="D573" i="5"/>
  <c r="D544" i="5"/>
  <c r="D883" i="5"/>
  <c r="D695" i="5"/>
  <c r="D234" i="5"/>
  <c r="D524" i="5"/>
  <c r="D855" i="5"/>
  <c r="D294" i="5"/>
  <c r="D243" i="5"/>
  <c r="D11" i="5"/>
  <c r="D1092" i="5"/>
  <c r="D268" i="5"/>
  <c r="D352" i="5"/>
  <c r="D413" i="5"/>
  <c r="D153" i="5"/>
  <c r="D242" i="5"/>
  <c r="D982" i="5"/>
  <c r="D137" i="5"/>
  <c r="D1301" i="5"/>
  <c r="D414" i="5"/>
  <c r="D1136" i="5"/>
  <c r="D1451" i="5"/>
  <c r="D39" i="5"/>
  <c r="D394" i="5"/>
  <c r="D97" i="5"/>
  <c r="D288" i="5"/>
  <c r="D81" i="5"/>
  <c r="D320" i="5"/>
  <c r="D941" i="5"/>
  <c r="D1184" i="5"/>
  <c r="D356" i="5"/>
  <c r="D1453" i="5"/>
  <c r="D1290" i="5"/>
  <c r="D87" i="5"/>
  <c r="D255" i="5"/>
  <c r="D439" i="5"/>
  <c r="D1039" i="5"/>
  <c r="D241" i="5"/>
  <c r="D1341" i="5"/>
  <c r="D1109" i="5"/>
  <c r="D40" i="5"/>
  <c r="D201" i="5"/>
  <c r="D44" i="5"/>
  <c r="D680" i="5"/>
  <c r="D148" i="5"/>
  <c r="D158" i="5"/>
  <c r="D260" i="5"/>
  <c r="D1408" i="5"/>
  <c r="D1114" i="5"/>
  <c r="D301" i="5"/>
  <c r="D906" i="5"/>
  <c r="D1174" i="5"/>
  <c r="D454" i="5"/>
  <c r="D200" i="5"/>
  <c r="D93" i="5"/>
  <c r="D588" i="5"/>
  <c r="D205" i="5"/>
  <c r="D895" i="5"/>
  <c r="D348" i="5"/>
  <c r="D92" i="5"/>
  <c r="D540" i="5"/>
  <c r="D723" i="5"/>
  <c r="D229" i="5"/>
  <c r="D90" i="5"/>
  <c r="D1336" i="5"/>
  <c r="D1468" i="5"/>
  <c r="D11" i="4"/>
  <c r="D521" i="5"/>
  <c r="D296" i="5"/>
  <c r="D519" i="5"/>
  <c r="D518" i="5"/>
  <c r="D371" i="5"/>
  <c r="D38" i="5"/>
  <c r="D191" i="5"/>
  <c r="D14" i="4"/>
  <c r="D563" i="5"/>
  <c r="D840" i="5"/>
  <c r="D289" i="5"/>
  <c r="D233" i="5"/>
  <c r="D816" i="5"/>
  <c r="D1429" i="5"/>
  <c r="D29" i="5"/>
  <c r="D434" i="5"/>
  <c r="D346" i="5"/>
  <c r="D1191" i="5"/>
  <c r="D1224" i="5"/>
  <c r="D76" i="5"/>
  <c r="D302" i="5"/>
  <c r="D286" i="5"/>
  <c r="D25" i="5"/>
  <c r="D116" i="5"/>
  <c r="D307" i="5"/>
  <c r="D291" i="5"/>
  <c r="D771" i="5"/>
  <c r="D1159" i="5"/>
  <c r="D423" i="5"/>
  <c r="D192" i="5"/>
  <c r="D226" i="5"/>
  <c r="D493" i="5"/>
  <c r="D99" i="5"/>
  <c r="D312" i="5"/>
  <c r="D826" i="5"/>
  <c r="D1164" i="5"/>
  <c r="D429" i="5"/>
  <c r="D318" i="5"/>
  <c r="D179" i="5"/>
  <c r="D72" i="5"/>
  <c r="D1611" i="5"/>
  <c r="D665" i="5"/>
  <c r="D224" i="5"/>
  <c r="D133" i="5"/>
  <c r="D1231" i="5"/>
  <c r="D1254" i="5"/>
  <c r="D807" i="5"/>
  <c r="D485" i="5"/>
  <c r="D976" i="5"/>
  <c r="D1440" i="5"/>
  <c r="D34" i="5"/>
  <c r="D342" i="5"/>
  <c r="D1235" i="5"/>
  <c r="D1089" i="5"/>
  <c r="D323" i="5"/>
  <c r="D496" i="5"/>
  <c r="D513" i="5"/>
  <c r="D685" i="5"/>
  <c r="D714" i="5"/>
  <c r="D248" i="5"/>
  <c r="D332" i="5"/>
  <c r="D1266" i="5"/>
  <c r="D1284" i="5"/>
  <c r="D62" i="5"/>
  <c r="D232" i="5"/>
  <c r="D740" i="5"/>
  <c r="D719" i="5"/>
  <c r="D253" i="5"/>
  <c r="D337" i="5"/>
  <c r="D499" i="5"/>
  <c r="D1558" i="5"/>
  <c r="D644" i="5"/>
  <c r="D28" i="5"/>
  <c r="D217" i="5"/>
  <c r="D556" i="5"/>
  <c r="D176" i="5"/>
  <c r="D1626" i="5"/>
  <c r="D94" i="5"/>
  <c r="D131" i="5"/>
  <c r="D526" i="5"/>
  <c r="D726" i="5"/>
  <c r="D1418" i="5"/>
  <c r="D871" i="5"/>
  <c r="D1169" i="5"/>
  <c r="D448" i="5"/>
  <c r="D52" i="5"/>
  <c r="D1633" i="5"/>
  <c r="D649" i="5"/>
  <c r="D43" i="5"/>
  <c r="D227" i="5"/>
  <c r="D82" i="5"/>
  <c r="D1040" i="5"/>
  <c r="D344" i="5"/>
  <c r="D516" i="5"/>
  <c r="D37" i="5"/>
  <c r="D350" i="5"/>
  <c r="D14" i="5"/>
  <c r="D171" i="5"/>
  <c r="D341" i="5"/>
  <c r="D95" i="5"/>
  <c r="D1260" i="5"/>
  <c r="D1104" i="5"/>
  <c r="D333" i="5"/>
  <c r="D539" i="5"/>
  <c r="D1050" i="5"/>
  <c r="D349" i="5"/>
  <c r="D583" i="5"/>
  <c r="D42" i="5"/>
  <c r="D10" i="5"/>
  <c r="D825" i="5"/>
  <c r="D279" i="5"/>
  <c r="D203" i="5"/>
  <c r="D514" i="5"/>
  <c r="D295" i="5"/>
  <c r="D724" i="5"/>
  <c r="D258" i="5"/>
  <c r="D100" i="5"/>
  <c r="D830" i="5"/>
  <c r="D284" i="5"/>
  <c r="D208" i="5"/>
  <c r="D533" i="5"/>
  <c r="D1187" i="5"/>
  <c r="D620" i="5"/>
  <c r="D194" i="5"/>
  <c r="D123" i="5"/>
  <c r="D379" i="5"/>
  <c r="D240" i="5"/>
  <c r="D652" i="5"/>
  <c r="D1601" i="5"/>
  <c r="D89" i="5"/>
  <c r="D559" i="5"/>
  <c r="D501" i="5"/>
  <c r="D185" i="5"/>
  <c r="D88" i="5"/>
  <c r="D760" i="5"/>
  <c r="D717" i="5"/>
  <c r="D1691" i="5"/>
  <c r="D654" i="5"/>
  <c r="D53" i="5"/>
  <c r="D1299" i="5"/>
  <c r="D625" i="5"/>
  <c r="D209" i="5"/>
  <c r="D128" i="5"/>
  <c r="D390" i="5"/>
  <c r="D428" i="5"/>
  <c r="D197" i="5"/>
  <c r="D231" i="5"/>
  <c r="D1200" i="5"/>
  <c r="D1074" i="5"/>
  <c r="D471" i="5"/>
  <c r="D494" i="5"/>
  <c r="D145" i="5"/>
  <c r="D1060" i="5"/>
  <c r="D365" i="5"/>
  <c r="D17" i="4"/>
  <c r="D351" i="5"/>
  <c r="D190" i="5"/>
  <c r="D7" i="1"/>
  <c r="D16" i="1"/>
  <c r="D14" i="1"/>
  <c r="D11" i="1"/>
  <c r="D9" i="1"/>
  <c r="D13" i="1"/>
  <c r="D15" i="1"/>
  <c r="D8" i="1"/>
  <c r="D17" i="1"/>
  <c r="D10" i="1"/>
  <c r="D12" i="1"/>
  <c r="J4" i="1" l="1"/>
  <c r="B2" i="5"/>
  <c r="B1" i="5"/>
  <c r="B2" i="4"/>
  <c r="B1" i="4"/>
  <c r="B2" i="1"/>
  <c r="B1" i="1"/>
</calcChain>
</file>

<file path=xl/sharedStrings.xml><?xml version="1.0" encoding="utf-8"?>
<sst xmlns="http://schemas.openxmlformats.org/spreadsheetml/2006/main" count="3800" uniqueCount="2360">
  <si>
    <t>program_name_and_version</t>
  </si>
  <si>
    <t>program_version_release_date</t>
  </si>
  <si>
    <t>program_name_short</t>
  </si>
  <si>
    <t>E+</t>
  </si>
  <si>
    <t>results_submission_date</t>
  </si>
  <si>
    <t>organization</t>
  </si>
  <si>
    <t>National Renewable Energy Laboratory</t>
  </si>
  <si>
    <t>organization_short</t>
  </si>
  <si>
    <t>NREL</t>
  </si>
  <si>
    <t>Total Furnace Load HE100: 100% eff.</t>
  </si>
  <si>
    <t>Total Furnace Load HE110: 80% eff.</t>
  </si>
  <si>
    <t>Total Furnace Load HE120: 80% eff., PLR=0.4</t>
  </si>
  <si>
    <t>Total Furnace Load HE130: No Load</t>
  </si>
  <si>
    <t>Total Furnace Load HE140: Periodic PLR</t>
  </si>
  <si>
    <t>Total Furnace Load HE150: Continuous Circ. Fan</t>
  </si>
  <si>
    <t>Total Furnace Load HE160: Cycling Circ. Fan</t>
  </si>
  <si>
    <t>Total Furnace Load HE170: Draft Fan</t>
  </si>
  <si>
    <t>Total Furnace Load HE210: Realistic Weather</t>
  </si>
  <si>
    <t>Total Furnace Load HE220: Setback Thermostat</t>
  </si>
  <si>
    <t>Total Furnace Load HE230: Undersized Furnace</t>
  </si>
  <si>
    <t>Total Furnace Input HE100: 100% eff.</t>
  </si>
  <si>
    <t>Total Furnace Input HE110: 80% eff.</t>
  </si>
  <si>
    <t>Total Furnace Input HE120: 80% eff., PLR=0.4</t>
  </si>
  <si>
    <t>Total Furnace Input HE130: No Load</t>
  </si>
  <si>
    <t>Total Furnace Input HE140: Periodic PLR</t>
  </si>
  <si>
    <t>Total Furnace Input HE150: Continuous Circ. Fan</t>
  </si>
  <si>
    <t>Total Furnace Input HE160: Cycling Circ. Fan</t>
  </si>
  <si>
    <t>Total Furnace Input HE170: Draft Fan</t>
  </si>
  <si>
    <t>Total Furnace Input HE210: Realistic Weather</t>
  </si>
  <si>
    <t>Total Furnace Input HE220: Setback Thermostat</t>
  </si>
  <si>
    <t>Total Furnace Input HE230: Undersized Furnace</t>
  </si>
  <si>
    <t>Fuel Consumption HE100: 100% eff.</t>
  </si>
  <si>
    <t>Fuel Consumption HE110: 80% eff.</t>
  </si>
  <si>
    <t>Fuel Consumption HE120: 80% eff., PLR=0.4</t>
  </si>
  <si>
    <t>Fuel Consumption HE130: No Load</t>
  </si>
  <si>
    <t>Fuel Consumption HE140: Periodic PLR</t>
  </si>
  <si>
    <t>Fuel Consumption HE150: Continuous Circ. Fan</t>
  </si>
  <si>
    <t>Fuel Consumption HE160: Cycling Circ. Fan</t>
  </si>
  <si>
    <t>Fuel Consumption HE170: Draft Fan</t>
  </si>
  <si>
    <t>Fuel Consumption HE210: Realistic Weather</t>
  </si>
  <si>
    <t>Fuel Consumption HE220: Setback Thermostat</t>
  </si>
  <si>
    <t>Fuel Consumption HE230: Undersized Furnace</t>
  </si>
  <si>
    <t>Fan Energy HE150: Continuous Circ. Fan</t>
  </si>
  <si>
    <t>Fan Energy HE160: Cycling Circ. Fan</t>
  </si>
  <si>
    <t>Fan Energy HE170: Draft Fan</t>
  </si>
  <si>
    <t>Fan Energy HE210: Realistic Weather</t>
  </si>
  <si>
    <t>Fan Energy HE220: Setback Thermostat</t>
  </si>
  <si>
    <t>Fan Energy HE230: Undersized Furnace</t>
  </si>
  <si>
    <t>Mean Zone Temperature HE210: Realistic Weather</t>
  </si>
  <si>
    <t>Mean Zone Temperature HE220: Setback Thermostat</t>
  </si>
  <si>
    <t>Mean Zone Temperature HE230: Undersized Furnace</t>
  </si>
  <si>
    <t>Maximum Zone Temperature HE210: Realistic Weather</t>
  </si>
  <si>
    <t>Maximum Zone Temperature HE220: Setback Thermostat</t>
  </si>
  <si>
    <t>Maximum Zone Temperature HE230: Undersized Furnace</t>
  </si>
  <si>
    <t>Minimum Zone Temperature HE210: Realistic Weather</t>
  </si>
  <si>
    <t>Minimum Zone Temperature HE220: Setback Thermostat</t>
  </si>
  <si>
    <t>Minimum Zone Temperature HE230: Undersized Furnace</t>
  </si>
  <si>
    <t>A to B test</t>
  </si>
  <si>
    <t>Hourly Annual Zone Temperature Bin Data - Case 900FF 70</t>
  </si>
  <si>
    <t>Hourly Annual Zone Temperature Bin Data - Case 900FF 69</t>
  </si>
  <si>
    <t>Hourly Annual Zone Temperature Bin Data - Case 900FF 68</t>
  </si>
  <si>
    <t>Hourly Annual Zone Temperature Bin Data - Case 900FF 67</t>
  </si>
  <si>
    <t>Hourly Annual Zone Temperature Bin Data - Case 900FF 66</t>
  </si>
  <si>
    <t>Hourly Annual Zone Temperature Bin Data - Case 900FF 65</t>
  </si>
  <si>
    <t>Hourly Annual Zone Temperature Bin Data - Case 900FF 64</t>
  </si>
  <si>
    <t>Hourly Annual Zone Temperature Bin Data - Case 900FF 63</t>
  </si>
  <si>
    <t>Hourly Annual Zone Temperature Bin Data - Case 900FF 62</t>
  </si>
  <si>
    <t>Hourly Annual Zone Temperature Bin Data - Case 900FF 61</t>
  </si>
  <si>
    <t>Hourly Annual Zone Temperature Bin Data - Case 900FF 60</t>
  </si>
  <si>
    <t>Hourly Annual Zone Temperature Bin Data - Case 900FF 59</t>
  </si>
  <si>
    <t>Hourly Annual Zone Temperature Bin Data - Case 900FF 58</t>
  </si>
  <si>
    <t>Hourly Annual Zone Temperature Bin Data - Case 900FF 57</t>
  </si>
  <si>
    <t>Hourly Annual Zone Temperature Bin Data - Case 900FF 56</t>
  </si>
  <si>
    <t>Hourly Annual Zone Temperature Bin Data - Case 900FF 55</t>
  </si>
  <si>
    <t>Hourly Annual Zone Temperature Bin Data - Case 900FF 54</t>
  </si>
  <si>
    <t>Hourly Annual Zone Temperature Bin Data - Case 900FF 53</t>
  </si>
  <si>
    <t>Hourly Annual Zone Temperature Bin Data - Case 900FF 52</t>
  </si>
  <si>
    <t>Hourly Annual Zone Temperature Bin Data - Case 900FF 51</t>
  </si>
  <si>
    <t>Hourly Annual Zone Temperature Bin Data - Case 900FF 50</t>
  </si>
  <si>
    <t>Hourly Annual Zone Temperature Bin Data - Case 900FF 49</t>
  </si>
  <si>
    <t>Hourly Annual Zone Temperature Bin Data - Case 900FF 48</t>
  </si>
  <si>
    <t>Hourly Annual Zone Temperature Bin Data - Case 900FF 47</t>
  </si>
  <si>
    <t>Hourly Annual Zone Temperature Bin Data - Case 900FF 46</t>
  </si>
  <si>
    <t>Hourly Annual Zone Temperature Bin Data - Case 900FF 45</t>
  </si>
  <si>
    <t>Hourly Annual Zone Temperature Bin Data - Case 900FF 44</t>
  </si>
  <si>
    <t>Hourly Annual Zone Temperature Bin Data - Case 900FF 43</t>
  </si>
  <si>
    <t>Hourly Annual Zone Temperature Bin Data - Case 900FF 42</t>
  </si>
  <si>
    <t>Hourly Annual Zone Temperature Bin Data - Case 900FF 41</t>
  </si>
  <si>
    <t>Hourly Annual Zone Temperature Bin Data - Case 900FF 40</t>
  </si>
  <si>
    <t>Hourly Annual Zone Temperature Bin Data - Case 900FF 39</t>
  </si>
  <si>
    <t>Hourly Annual Zone Temperature Bin Data - Case 900FF 38</t>
  </si>
  <si>
    <t>Hourly Annual Zone Temperature Bin Data - Case 900FF 37</t>
  </si>
  <si>
    <t>Hourly Annual Zone Temperature Bin Data - Case 900FF 36</t>
  </si>
  <si>
    <t>Hourly Annual Zone Temperature Bin Data - Case 900FF 35</t>
  </si>
  <si>
    <t>Hourly Annual Zone Temperature Bin Data - Case 900FF 34</t>
  </si>
  <si>
    <t>Hourly Annual Zone Temperature Bin Data - Case 900FF 33</t>
  </si>
  <si>
    <t>Hourly Annual Zone Temperature Bin Data - Case 900FF 32</t>
  </si>
  <si>
    <t>Hourly Annual Zone Temperature Bin Data - Case 900FF 31</t>
  </si>
  <si>
    <t>Hourly Annual Zone Temperature Bin Data - Case 900FF 30</t>
  </si>
  <si>
    <t>Hourly Annual Zone Temperature Bin Data - Case 900FF 29</t>
  </si>
  <si>
    <t>Hourly Annual Zone Temperature Bin Data - Case 900FF 28</t>
  </si>
  <si>
    <t>Hourly Annual Zone Temperature Bin Data - Case 900FF 27</t>
  </si>
  <si>
    <t>Hourly Annual Zone Temperature Bin Data - Case 900FF 26</t>
  </si>
  <si>
    <t>Hourly Annual Zone Temperature Bin Data - Case 900FF 25</t>
  </si>
  <si>
    <t>Hourly Annual Zone Temperature Bin Data - Case 900FF 24</t>
  </si>
  <si>
    <t>Hourly Annual Zone Temperature Bin Data - Case 900FF 23</t>
  </si>
  <si>
    <t>Hourly Annual Zone Temperature Bin Data - Case 900FF 22</t>
  </si>
  <si>
    <t>Hourly Annual Zone Temperature Bin Data - Case 900FF 21</t>
  </si>
  <si>
    <t>Hourly Annual Zone Temperature Bin Data - Case 900FF 20</t>
  </si>
  <si>
    <t>Hourly Annual Zone Temperature Bin Data - Case 900FF 19</t>
  </si>
  <si>
    <t>Hourly Annual Zone Temperature Bin Data - Case 900FF 18</t>
  </si>
  <si>
    <t>Hourly Annual Zone Temperature Bin Data - Case 900FF 17</t>
  </si>
  <si>
    <t>Hourly Annual Zone Temperature Bin Data - Case 900FF 16</t>
  </si>
  <si>
    <t>Hourly Annual Zone Temperature Bin Data - Case 900FF 15</t>
  </si>
  <si>
    <t>Hourly Annual Zone Temperature Bin Data - Case 900FF 14</t>
  </si>
  <si>
    <t>Hourly Annual Zone Temperature Bin Data - Case 900FF 13</t>
  </si>
  <si>
    <t>Hourly Annual Zone Temperature Bin Data - Case 900FF 12</t>
  </si>
  <si>
    <t>Hourly Annual Zone Temperature Bin Data - Case 900FF 11</t>
  </si>
  <si>
    <t>Hourly Annual Zone Temperature Bin Data - Case 900FF 10</t>
  </si>
  <si>
    <t>Hourly Annual Zone Temperature Bin Data - Case 900FF 9</t>
  </si>
  <si>
    <t>Hourly Annual Zone Temperature Bin Data - Case 900FF 8</t>
  </si>
  <si>
    <t>Hourly Annual Zone Temperature Bin Data - Case 900FF 7</t>
  </si>
  <si>
    <t>Hourly Annual Zone Temperature Bin Data - Case 900FF 6</t>
  </si>
  <si>
    <t>Hourly Annual Zone Temperature Bin Data - Case 900FF 5</t>
  </si>
  <si>
    <t>Hourly Annual Zone Temperature Bin Data - Case 900FF 4</t>
  </si>
  <si>
    <t>Hourly Annual Zone Temperature Bin Data - Case 900FF 3</t>
  </si>
  <si>
    <t>Hourly Annual Zone Temperature Bin Data - Case 900FF 2</t>
  </si>
  <si>
    <t>Hourly Annual Zone Temperature Bin Data - Case 900FF 1</t>
  </si>
  <si>
    <t>Hourly Annual Zone Temperature Bin Data - Case 900FF 0</t>
  </si>
  <si>
    <t>Hourly Annual Zone Temperature Bin Data - Case 900FF -1</t>
  </si>
  <si>
    <t>Hourly Annual Zone Temperature Bin Data - Case 900FF -2</t>
  </si>
  <si>
    <t>Hourly Annual Zone Temperature Bin Data - Case 900FF -3</t>
  </si>
  <si>
    <t>Hourly Annual Zone Temperature Bin Data - Case 900FF -4</t>
  </si>
  <si>
    <t>Hourly Annual Zone Temperature Bin Data - Case 900FF -5</t>
  </si>
  <si>
    <t>Hourly Annual Zone Temperature Bin Data - Case 900FF -6</t>
  </si>
  <si>
    <t>Hourly Annual Zone Temperature Bin Data - Case 900FF -7</t>
  </si>
  <si>
    <t>Hourly Annual Zone Temperature Bin Data - Case 900FF -8</t>
  </si>
  <si>
    <t>Hourly Annual Zone Temperature Bin Data - Case 900FF -9</t>
  </si>
  <si>
    <t>Hourly Annual Zone Temperature Bin Data - Case 900FF -10</t>
  </si>
  <si>
    <t>Hourly Annual Zone Temperature Bin Data - Case 900FF -11</t>
  </si>
  <si>
    <t>Hourly Annual Zone Temperature Bin Data - Case 900FF -12</t>
  </si>
  <si>
    <t>Hourly Annual Zone Temperature Bin Data - Case 900FF -13</t>
  </si>
  <si>
    <t>Hourly Annual Zone Temperature Bin Data - Case 900FF -14</t>
  </si>
  <si>
    <t>Hourly Annual Zone Temperature Bin Data - Case 900FF -15</t>
  </si>
  <si>
    <t>Hourly Annual Zone Temperature Bin Data - Case 900FF -16</t>
  </si>
  <si>
    <t>Hourly Annual Zone Temperature Bin Data - Case 900FF -17</t>
  </si>
  <si>
    <t>Hourly Annual Zone Temperature Bin Data - Case 900FF -18</t>
  </si>
  <si>
    <t>Hourly Annual Zone Temperature Bin Data - Case 900FF -19</t>
  </si>
  <si>
    <t>Annual Incident Total Case 600 600HORZ.</t>
  </si>
  <si>
    <t>Annual Incident Total Case 600 600SOUTH</t>
  </si>
  <si>
    <t>Annual Incident Total Case 600 600WEST</t>
  </si>
  <si>
    <t>Annual Incident Total Case 600 600EAST</t>
  </si>
  <si>
    <t>Annual Incident Total Case 600 600NORTH</t>
  </si>
  <si>
    <t>FF Average Hourly Zone Temperature 960</t>
  </si>
  <si>
    <t>FF Average Hourly Zone Temperature 950FF</t>
  </si>
  <si>
    <t>FF Average Hourly Zone Temperature 650FF</t>
  </si>
  <si>
    <t>FF Average Hourly Zone Temperature 900FF</t>
  </si>
  <si>
    <t>FF Average Hourly Zone Temperature 600FF</t>
  </si>
  <si>
    <t>FF Min Hourly Zone Temperature 960_DATE</t>
  </si>
  <si>
    <t>FF Min Hourly Zone Temperature 950FF_DATE</t>
  </si>
  <si>
    <t>FF Min Hourly Zone Temperature 650FF_DATE</t>
  </si>
  <si>
    <t>FF Min Hourly Zone Temperature 900FF_DATE</t>
  </si>
  <si>
    <t>FF Min Hourly Zone Temperature 600FF_DATE</t>
  </si>
  <si>
    <t>FF Max Hourly Zone Temperature 960_DATE</t>
  </si>
  <si>
    <t>FF Max Hourly Zone Temperature 950FF_DATE</t>
  </si>
  <si>
    <t>FF Max Hourly Zone Temperature 650FF_DATE</t>
  </si>
  <si>
    <t>FF Max Hourly Zone Temperature 900FF_DATE</t>
  </si>
  <si>
    <t>FF Max Hourly Zone Temperature 600FF_DATE</t>
  </si>
  <si>
    <t>Annual Cooling Loads 810</t>
  </si>
  <si>
    <t>Annual Cooling Loads 800</t>
  </si>
  <si>
    <t>Annual Cooling Loads 440</t>
  </si>
  <si>
    <t>Annual Cooling Loads 430</t>
  </si>
  <si>
    <t>Annual Cooling Loads 420</t>
  </si>
  <si>
    <t>Annual Cooling Loads 410</t>
  </si>
  <si>
    <t>Annual Cooling Loads 400</t>
  </si>
  <si>
    <t>Annual Cooling Loads 395</t>
  </si>
  <si>
    <t>Annual Cooling Loads 320</t>
  </si>
  <si>
    <t>Annual Cooling Loads 310</t>
  </si>
  <si>
    <t>Annual Cooling Loads 300</t>
  </si>
  <si>
    <t>Annual Cooling Loads 290</t>
  </si>
  <si>
    <t>Annual Cooling Loads 280</t>
  </si>
  <si>
    <t>Annual Cooling Loads 270</t>
  </si>
  <si>
    <t>Annual Cooling Loads 250</t>
  </si>
  <si>
    <t>Annual Cooling Loads 240</t>
  </si>
  <si>
    <t>Annual Cooling Loads 230</t>
  </si>
  <si>
    <t>Annual Cooling Loads 220</t>
  </si>
  <si>
    <t>Annual Cooling Loads 215</t>
  </si>
  <si>
    <t>Annual Cooling Loads 210</t>
  </si>
  <si>
    <t>Annual Cooling Loads 200</t>
  </si>
  <si>
    <t>Annual Cooling Loads 195</t>
  </si>
  <si>
    <t>Annual Cooling Loads 960</t>
  </si>
  <si>
    <t>Annual Cooling Loads 950</t>
  </si>
  <si>
    <t>Annual Cooling Loads 940</t>
  </si>
  <si>
    <t>Annual Cooling Loads 930</t>
  </si>
  <si>
    <t>Annual Cooling Loads 920</t>
  </si>
  <si>
    <t>Annual Cooling Loads 910</t>
  </si>
  <si>
    <t>Annual Cooling Loads 900</t>
  </si>
  <si>
    <t>Annual Cooling Loads 650</t>
  </si>
  <si>
    <t>Annual Cooling Loads 640</t>
  </si>
  <si>
    <t>Annual Cooling Loads 630</t>
  </si>
  <si>
    <t>Annual Cooling Loads 620</t>
  </si>
  <si>
    <t>Annual Cooling Loads 610</t>
  </si>
  <si>
    <t>Annual Cooling Loads 600</t>
  </si>
  <si>
    <t>Annual Heating Loads 810</t>
  </si>
  <si>
    <t>Annual Heating Loads 800</t>
  </si>
  <si>
    <t>Annual Heating Loads 440</t>
  </si>
  <si>
    <t>Annual Heating Loads 430</t>
  </si>
  <si>
    <t>Annual Heating Loads 420</t>
  </si>
  <si>
    <t>Annual Heating Loads 410</t>
  </si>
  <si>
    <t>Annual Heating Loads 400</t>
  </si>
  <si>
    <t>Annual Heating Loads 395</t>
  </si>
  <si>
    <t>Annual Heating Loads 320</t>
  </si>
  <si>
    <t>Annual Heating Loads 310</t>
  </si>
  <si>
    <t>Annual Heating Loads 300</t>
  </si>
  <si>
    <t>Annual Heating Loads 290</t>
  </si>
  <si>
    <t>Annual Heating Loads 280</t>
  </si>
  <si>
    <t>Annual Heating Loads 270</t>
  </si>
  <si>
    <t>Annual Heating Loads 250</t>
  </si>
  <si>
    <t>Annual Heating Loads 240</t>
  </si>
  <si>
    <t>Annual Heating Loads 230</t>
  </si>
  <si>
    <t>Annual Heating Loads 220</t>
  </si>
  <si>
    <t>Annual Heating Loads 215</t>
  </si>
  <si>
    <t>Annual Heating Loads 210</t>
  </si>
  <si>
    <t>Annual Heating Loads 200</t>
  </si>
  <si>
    <t>Annual Heating Loads 195</t>
  </si>
  <si>
    <t>Annual Heating Loads 960</t>
  </si>
  <si>
    <t>Annual Heating Loads 950</t>
  </si>
  <si>
    <t>Annual Heating Loads 940</t>
  </si>
  <si>
    <t>Annual Heating Loads 930</t>
  </si>
  <si>
    <t>Annual Heating Loads 920</t>
  </si>
  <si>
    <t>Annual Heating Loads 910</t>
  </si>
  <si>
    <t>Annual Heating Loads 900</t>
  </si>
  <si>
    <t>Annual Heating Loads 650</t>
  </si>
  <si>
    <t>Annual Heating Loads 640</t>
  </si>
  <si>
    <t>Annual Heating Loads 630</t>
  </si>
  <si>
    <t>Annual Heating Loads 620</t>
  </si>
  <si>
    <t>Annual Heating Loads 610</t>
  </si>
  <si>
    <t>Annual Heating Loads 600</t>
  </si>
  <si>
    <t>Case 500 and 530 Average Daily Outputs June 25 mmdd_0625_day_edb</t>
  </si>
  <si>
    <t>Case 500 and 530 Average Daily Outputs June 25 mmdd_0625_day_odb</t>
  </si>
  <si>
    <t>Case 500 and 530 Average Daily Outputs June 25 mmdd_0625_day_cop_2</t>
  </si>
  <si>
    <t>Case 500 and 530 Average Daily Outputs June 25 mmdd_0625_day_zone_humidity_ratio</t>
  </si>
  <si>
    <t>Case 500 and 530 Average Daily Outputs June 25 mmdd_0625_day_evaporator_coil_load_latent</t>
  </si>
  <si>
    <t>Case 500 and 530 Average Daily Outputs June 25 mmdd_0625_day_evaporator_coil_load_sensible</t>
  </si>
  <si>
    <t>Case 500 and 530 Average Daily Outputs June 25 mmdd_0625_day_evaporator_coil_load_total</t>
  </si>
  <si>
    <t>Case 500 and 530 Average Daily Outputs June 25 mmdd_0625_day_energy_consumption_supply_fan</t>
  </si>
  <si>
    <t>Case 500 and 530 Average Daily Outputs June 25 mmdd_0625_day_energy_consumption_total</t>
  </si>
  <si>
    <t>Case 500 and 530 Average Daily Outputs April 30 mmdd_0430_day_edb</t>
  </si>
  <si>
    <t>Case 500 and 530 Average Daily Outputs April 30 mmdd_0430_day_odb</t>
  </si>
  <si>
    <t>Case 500 and 530 Average Daily Outputs April 30 mmdd_0430_day_cop_2</t>
  </si>
  <si>
    <t>Case 500 and 530 Average Daily Outputs April 30 mmdd_0430_day_zone_humidity_ratio</t>
  </si>
  <si>
    <t>Case 500 and 530 Average Daily Outputs April 30 mmdd_0430_day_evaporator_coil_load_latent</t>
  </si>
  <si>
    <t>Case 500 and 530 Average Daily Outputs April 30 mmdd_0430_day_evaporator_coil_load_sensible</t>
  </si>
  <si>
    <t>Case 500 and 530 Average Daily Outputs April 30 mmdd_0430_day_evaporator_coil_load_total</t>
  </si>
  <si>
    <t>Case 500 and 530 Average Daily Outputs April 30 mmdd_0430_day_energy_consumption_supply_fan</t>
  </si>
  <si>
    <t>Case 500 and 530 Average Daily Outputs April 30 mmdd_0430_day_energy_consumption_total</t>
  </si>
  <si>
    <t>Case 300 June 28th Hourly Table 24 mmdd_0628_hourly_outdoor_humidity_ratio</t>
  </si>
  <si>
    <t>Case 300 June 28th Hourly Table 23 mmdd_0628_hourly_outdoor_humidity_ratio</t>
  </si>
  <si>
    <t>Case 300 June 28th Hourly Table 22 mmdd_0628_hourly_outdoor_humidity_ratio</t>
  </si>
  <si>
    <t>Case 300 June 28th Hourly Table 21 mmdd_0628_hourly_outdoor_humidity_ratio</t>
  </si>
  <si>
    <t>Case 300 June 28th Hourly Table 20 mmdd_0628_hourly_outdoor_humidity_ratio</t>
  </si>
  <si>
    <t>Case 300 June 28th Hourly Table 19 mmdd_0628_hourly_outdoor_humidity_ratio</t>
  </si>
  <si>
    <t>Case 300 June 28th Hourly Table 18 mmdd_0628_hourly_outdoor_humidity_ratio</t>
  </si>
  <si>
    <t>Case 300 June 28th Hourly Table 17 mmdd_0628_hourly_outdoor_humidity_ratio</t>
  </si>
  <si>
    <t>Case 300 June 28th Hourly Table 16 mmdd_0628_hourly_outdoor_humidity_ratio</t>
  </si>
  <si>
    <t>Case 300 June 28th Hourly Table 15 mmdd_0628_hourly_outdoor_humidity_ratio</t>
  </si>
  <si>
    <t>Case 300 June 28th Hourly Table 14 mmdd_0628_hourly_outdoor_humidity_ratio</t>
  </si>
  <si>
    <t>Case 300 June 28th Hourly Table 13 mmdd_0628_hourly_outdoor_humidity_ratio</t>
  </si>
  <si>
    <t>Case 300 June 28th Hourly Table 12 mmdd_0628_hourly_outdoor_humidity_ratio</t>
  </si>
  <si>
    <t>Case 300 June 28th Hourly Table 11 mmdd_0628_hourly_outdoor_humidity_ratio</t>
  </si>
  <si>
    <t>Case 300 June 28th Hourly Table 10 mmdd_0628_hourly_outdoor_humidity_ratio</t>
  </si>
  <si>
    <t>Case 300 June 28th Hourly Table 9 mmdd_0628_hourly_outdoor_humidity_ratio</t>
  </si>
  <si>
    <t>Case 300 June 28th Hourly Table 8 mmdd_0628_hourly_outdoor_humidity_ratio</t>
  </si>
  <si>
    <t>Case 300 June 28th Hourly Table 7 mmdd_0628_hourly_outdoor_humidity_ratio</t>
  </si>
  <si>
    <t>Case 300 June 28th Hourly Table 6 mmdd_0628_hourly_outdoor_humidity_ratio</t>
  </si>
  <si>
    <t>Case 300 June 28th Hourly Table 5 mmdd_0628_hourly_outdoor_humidity_ratio</t>
  </si>
  <si>
    <t>Case 300 June 28th Hourly Table 4 mmdd_0628_hourly_outdoor_humidity_ratio</t>
  </si>
  <si>
    <t>Case 300 June 28th Hourly Table 3 mmdd_0628_hourly_outdoor_humidity_ratio</t>
  </si>
  <si>
    <t>Case 300 June 28th Hourly Table 2 mmdd_0628_hourly_outdoor_humidity_ratio</t>
  </si>
  <si>
    <t>Case 300 June 28th Hourly Table 1 mmdd_0628_hourly_outdoor_humidity_ratio</t>
  </si>
  <si>
    <t>Case 300 June 28th Hourly Table 24 mmdd_0628_hourly_ewb</t>
  </si>
  <si>
    <t>Case 300 June 28th Hourly Table 23 mmdd_0628_hourly_ewb</t>
  </si>
  <si>
    <t>Case 300 June 28th Hourly Table 22 mmdd_0628_hourly_ewb</t>
  </si>
  <si>
    <t>Case 300 June 28th Hourly Table 21 mmdd_0628_hourly_ewb</t>
  </si>
  <si>
    <t>Case 300 June 28th Hourly Table 20 mmdd_0628_hourly_ewb</t>
  </si>
  <si>
    <t>Case 300 June 28th Hourly Table 19 mmdd_0628_hourly_ewb</t>
  </si>
  <si>
    <t>Case 300 June 28th Hourly Table 18 mmdd_0628_hourly_ewb</t>
  </si>
  <si>
    <t>Case 300 June 28th Hourly Table 17 mmdd_0628_hourly_ewb</t>
  </si>
  <si>
    <t>Case 300 June 28th Hourly Table 16 mmdd_0628_hourly_ewb</t>
  </si>
  <si>
    <t>Case 300 June 28th Hourly Table 15 mmdd_0628_hourly_ewb</t>
  </si>
  <si>
    <t>Case 300 June 28th Hourly Table 14 mmdd_0628_hourly_ewb</t>
  </si>
  <si>
    <t>Case 300 June 28th Hourly Table 13 mmdd_0628_hourly_ewb</t>
  </si>
  <si>
    <t>Case 300 June 28th Hourly Table 12 mmdd_0628_hourly_ewb</t>
  </si>
  <si>
    <t>Case 300 June 28th Hourly Table 11 mmdd_0628_hourly_ewb</t>
  </si>
  <si>
    <t>Case 300 June 28th Hourly Table 10 mmdd_0628_hourly_ewb</t>
  </si>
  <si>
    <t>Case 300 June 28th Hourly Table 9 mmdd_0628_hourly_ewb</t>
  </si>
  <si>
    <t>Case 300 June 28th Hourly Table 8 mmdd_0628_hourly_ewb</t>
  </si>
  <si>
    <t>Case 300 June 28th Hourly Table 7 mmdd_0628_hourly_ewb</t>
  </si>
  <si>
    <t>Case 300 June 28th Hourly Table 6 mmdd_0628_hourly_ewb</t>
  </si>
  <si>
    <t>Case 300 June 28th Hourly Table 5 mmdd_0628_hourly_ewb</t>
  </si>
  <si>
    <t>Case 300 June 28th Hourly Table 4 mmdd_0628_hourly_ewb</t>
  </si>
  <si>
    <t>Case 300 June 28th Hourly Table 3 mmdd_0628_hourly_ewb</t>
  </si>
  <si>
    <t>Case 300 June 28th Hourly Table 2 mmdd_0628_hourly_ewb</t>
  </si>
  <si>
    <t>Case 300 June 28th Hourly Table 1 mmdd_0628_hourly_ewb</t>
  </si>
  <si>
    <t>Case 300 June 28th Hourly Table 24 mmdd_0628_hourly_edb</t>
  </si>
  <si>
    <t>Case 300 June 28th Hourly Table 23 mmdd_0628_hourly_edb</t>
  </si>
  <si>
    <t>Case 300 June 28th Hourly Table 22 mmdd_0628_hourly_edb</t>
  </si>
  <si>
    <t>Case 300 June 28th Hourly Table 21 mmdd_0628_hourly_edb</t>
  </si>
  <si>
    <t>Case 300 June 28th Hourly Table 20 mmdd_0628_hourly_edb</t>
  </si>
  <si>
    <t>Case 300 June 28th Hourly Table 19 mmdd_0628_hourly_edb</t>
  </si>
  <si>
    <t>Case 300 June 28th Hourly Table 18 mmdd_0628_hourly_edb</t>
  </si>
  <si>
    <t>Case 300 June 28th Hourly Table 17 mmdd_0628_hourly_edb</t>
  </si>
  <si>
    <t>Case 300 June 28th Hourly Table 16 mmdd_0628_hourly_edb</t>
  </si>
  <si>
    <t>Case 300 June 28th Hourly Table 15 mmdd_0628_hourly_edb</t>
  </si>
  <si>
    <t>Case 300 June 28th Hourly Table 14 mmdd_0628_hourly_edb</t>
  </si>
  <si>
    <t>Case 300 June 28th Hourly Table 13 mmdd_0628_hourly_edb</t>
  </si>
  <si>
    <t>Case 300 June 28th Hourly Table 12 mmdd_0628_hourly_edb</t>
  </si>
  <si>
    <t>Case 300 June 28th Hourly Table 11 mmdd_0628_hourly_edb</t>
  </si>
  <si>
    <t>Case 300 June 28th Hourly Table 10 mmdd_0628_hourly_edb</t>
  </si>
  <si>
    <t>Case 300 June 28th Hourly Table 9 mmdd_0628_hourly_edb</t>
  </si>
  <si>
    <t>Case 300 June 28th Hourly Table 8 mmdd_0628_hourly_edb</t>
  </si>
  <si>
    <t>Case 300 June 28th Hourly Table 7 mmdd_0628_hourly_edb</t>
  </si>
  <si>
    <t>Case 300 June 28th Hourly Table 6 mmdd_0628_hourly_edb</t>
  </si>
  <si>
    <t>Case 300 June 28th Hourly Table 5 mmdd_0628_hourly_edb</t>
  </si>
  <si>
    <t>Case 300 June 28th Hourly Table 4 mmdd_0628_hourly_edb</t>
  </si>
  <si>
    <t>Case 300 June 28th Hourly Table 3 mmdd_0628_hourly_edb</t>
  </si>
  <si>
    <t>Case 300 June 28th Hourly Table 2 mmdd_0628_hourly_edb</t>
  </si>
  <si>
    <t>Case 300 June 28th Hourly Table 1 mmdd_0628_hourly_edb</t>
  </si>
  <si>
    <t>Case 300 June 28th Hourly Table 24 mmdd_0628_hourly_odb</t>
  </si>
  <si>
    <t>Case 300 June 28th Hourly Table 23 mmdd_0628_hourly_odb</t>
  </si>
  <si>
    <t>Case 300 June 28th Hourly Table 22 mmdd_0628_hourly_odb</t>
  </si>
  <si>
    <t>Case 300 June 28th Hourly Table 21 mmdd_0628_hourly_odb</t>
  </si>
  <si>
    <t>Case 300 June 28th Hourly Table 20 mmdd_0628_hourly_odb</t>
  </si>
  <si>
    <t>Case 300 June 28th Hourly Table 19 mmdd_0628_hourly_odb</t>
  </si>
  <si>
    <t>Case 300 June 28th Hourly Table 18 mmdd_0628_hourly_odb</t>
  </si>
  <si>
    <t>Case 300 June 28th Hourly Table 17 mmdd_0628_hourly_odb</t>
  </si>
  <si>
    <t>Case 300 June 28th Hourly Table 16 mmdd_0628_hourly_odb</t>
  </si>
  <si>
    <t>Case 300 June 28th Hourly Table 15 mmdd_0628_hourly_odb</t>
  </si>
  <si>
    <t>Case 300 June 28th Hourly Table 14 mmdd_0628_hourly_odb</t>
  </si>
  <si>
    <t>Case 300 June 28th Hourly Table 13 mmdd_0628_hourly_odb</t>
  </si>
  <si>
    <t>Case 300 June 28th Hourly Table 12 mmdd_0628_hourly_odb</t>
  </si>
  <si>
    <t>Case 300 June 28th Hourly Table 11 mmdd_0628_hourly_odb</t>
  </si>
  <si>
    <t>Case 300 June 28th Hourly Table 10 mmdd_0628_hourly_odb</t>
  </si>
  <si>
    <t>Case 300 June 28th Hourly Table 9 mmdd_0628_hourly_odb</t>
  </si>
  <si>
    <t>Case 300 June 28th Hourly Table 8 mmdd_0628_hourly_odb</t>
  </si>
  <si>
    <t>Case 300 June 28th Hourly Table 7 mmdd_0628_hourly_odb</t>
  </si>
  <si>
    <t>Case 300 June 28th Hourly Table 6 mmdd_0628_hourly_odb</t>
  </si>
  <si>
    <t>Case 300 June 28th Hourly Table 5 mmdd_0628_hourly_odb</t>
  </si>
  <si>
    <t>Case 300 June 28th Hourly Table 4 mmdd_0628_hourly_odb</t>
  </si>
  <si>
    <t>Case 300 June 28th Hourly Table 3 mmdd_0628_hourly_odb</t>
  </si>
  <si>
    <t>Case 300 June 28th Hourly Table 2 mmdd_0628_hourly_odb</t>
  </si>
  <si>
    <t>Case 300 June 28th Hourly Table 1 mmdd_0628_hourly_odb</t>
  </si>
  <si>
    <t>Case 300 June 28th Hourly Table 24 mmdd_0628_hourly_cop_2</t>
  </si>
  <si>
    <t>Case 300 June 28th Hourly Table 23 mmdd_0628_hourly_cop_2</t>
  </si>
  <si>
    <t>Case 300 June 28th Hourly Table 22 mmdd_0628_hourly_cop_2</t>
  </si>
  <si>
    <t>Case 300 June 28th Hourly Table 21 mmdd_0628_hourly_cop_2</t>
  </si>
  <si>
    <t>Case 300 June 28th Hourly Table 20 mmdd_0628_hourly_cop_2</t>
  </si>
  <si>
    <t>Case 300 June 28th Hourly Table 19 mmdd_0628_hourly_cop_2</t>
  </si>
  <si>
    <t>Case 300 June 28th Hourly Table 18 mmdd_0628_hourly_cop_2</t>
  </si>
  <si>
    <t>Case 300 June 28th Hourly Table 17 mmdd_0628_hourly_cop_2</t>
  </si>
  <si>
    <t>Case 300 June 28th Hourly Table 16 mmdd_0628_hourly_cop_2</t>
  </si>
  <si>
    <t>Case 300 June 28th Hourly Table 15 mmdd_0628_hourly_cop_2</t>
  </si>
  <si>
    <t>Case 300 June 28th Hourly Table 14 mmdd_0628_hourly_cop_2</t>
  </si>
  <si>
    <t>Case 300 June 28th Hourly Table 13 mmdd_0628_hourly_cop_2</t>
  </si>
  <si>
    <t>Case 300 June 28th Hourly Table 12 mmdd_0628_hourly_cop_2</t>
  </si>
  <si>
    <t>Case 300 June 28th Hourly Table 11 mmdd_0628_hourly_cop_2</t>
  </si>
  <si>
    <t>Case 300 June 28th Hourly Table 10 mmdd_0628_hourly_cop_2</t>
  </si>
  <si>
    <t>Case 300 June 28th Hourly Table 9 mmdd_0628_hourly_cop_2</t>
  </si>
  <si>
    <t>Case 300 June 28th Hourly Table 8 mmdd_0628_hourly_cop_2</t>
  </si>
  <si>
    <t>Case 300 June 28th Hourly Table 7 mmdd_0628_hourly_cop_2</t>
  </si>
  <si>
    <t>Case 300 June 28th Hourly Table 6 mmdd_0628_hourly_cop_2</t>
  </si>
  <si>
    <t>Case 300 June 28th Hourly Table 5 mmdd_0628_hourly_cop_2</t>
  </si>
  <si>
    <t>Case 300 June 28th Hourly Table 4 mmdd_0628_hourly_cop_2</t>
  </si>
  <si>
    <t>Case 300 June 28th Hourly Table 3 mmdd_0628_hourly_cop_2</t>
  </si>
  <si>
    <t>Case 300 June 28th Hourly Table 2 mmdd_0628_hourly_cop_2</t>
  </si>
  <si>
    <t>Case 300 June 28th Hourly Table 1 mmdd_0628_hourly_cop_2</t>
  </si>
  <si>
    <t>Case 300 June 28th Hourly Table 24 mmdd_0628_hourly_zone_humidity_ratio</t>
  </si>
  <si>
    <t>Case 300 June 28th Hourly Table 23 mmdd_0628_hourly_zone_humidity_ratio</t>
  </si>
  <si>
    <t>Case 300 June 28th Hourly Table 22 mmdd_0628_hourly_zone_humidity_ratio</t>
  </si>
  <si>
    <t>Case 300 June 28th Hourly Table 21 mmdd_0628_hourly_zone_humidity_ratio</t>
  </si>
  <si>
    <t>Case 300 June 28th Hourly Table 20 mmdd_0628_hourly_zone_humidity_ratio</t>
  </si>
  <si>
    <t>Case 300 June 28th Hourly Table 19 mmdd_0628_hourly_zone_humidity_ratio</t>
  </si>
  <si>
    <t>Case 300 June 28th Hourly Table 18 mmdd_0628_hourly_zone_humidity_ratio</t>
  </si>
  <si>
    <t>Case 300 June 28th Hourly Table 17 mmdd_0628_hourly_zone_humidity_ratio</t>
  </si>
  <si>
    <t>Case 300 June 28th Hourly Table 16 mmdd_0628_hourly_zone_humidity_ratio</t>
  </si>
  <si>
    <t>Case 300 June 28th Hourly Table 15 mmdd_0628_hourly_zone_humidity_ratio</t>
  </si>
  <si>
    <t>Case 300 June 28th Hourly Table 14 mmdd_0628_hourly_zone_humidity_ratio</t>
  </si>
  <si>
    <t>Case 300 June 28th Hourly Table 13 mmdd_0628_hourly_zone_humidity_ratio</t>
  </si>
  <si>
    <t>Case 300 June 28th Hourly Table 12 mmdd_0628_hourly_zone_humidity_ratio</t>
  </si>
  <si>
    <t>Case 300 June 28th Hourly Table 11 mmdd_0628_hourly_zone_humidity_ratio</t>
  </si>
  <si>
    <t>Case 300 June 28th Hourly Table 10 mmdd_0628_hourly_zone_humidity_ratio</t>
  </si>
  <si>
    <t>Case 300 June 28th Hourly Table 9 mmdd_0628_hourly_zone_humidity_ratio</t>
  </si>
  <si>
    <t>Case 300 June 28th Hourly Table 8 mmdd_0628_hourly_zone_humidity_ratio</t>
  </si>
  <si>
    <t>Case 300 June 28th Hourly Table 7 mmdd_0628_hourly_zone_humidity_ratio</t>
  </si>
  <si>
    <t>Case 300 June 28th Hourly Table 6 mmdd_0628_hourly_zone_humidity_ratio</t>
  </si>
  <si>
    <t>Case 300 June 28th Hourly Table 5 mmdd_0628_hourly_zone_humidity_ratio</t>
  </si>
  <si>
    <t>Case 300 June 28th Hourly Table 4 mmdd_0628_hourly_zone_humidity_ratio</t>
  </si>
  <si>
    <t>Case 300 June 28th Hourly Table 3 mmdd_0628_hourly_zone_humidity_ratio</t>
  </si>
  <si>
    <t>Case 300 June 28th Hourly Table 2 mmdd_0628_hourly_zone_humidity_ratio</t>
  </si>
  <si>
    <t>Case 300 June 28th Hourly Table 1 mmdd_0628_hourly_zone_humidity_ratio</t>
  </si>
  <si>
    <t>Case 300 June 28th Hourly Table 24 mmdd_0628_hourly_evaporator_coil_load_latent</t>
  </si>
  <si>
    <t>Case 300 June 28th Hourly Table 23 mmdd_0628_hourly_evaporator_coil_load_latent</t>
  </si>
  <si>
    <t>Case 300 June 28th Hourly Table 22 mmdd_0628_hourly_evaporator_coil_load_latent</t>
  </si>
  <si>
    <t>Case 300 June 28th Hourly Table 21 mmdd_0628_hourly_evaporator_coil_load_latent</t>
  </si>
  <si>
    <t>Case 300 June 28th Hourly Table 20 mmdd_0628_hourly_evaporator_coil_load_latent</t>
  </si>
  <si>
    <t>Case 300 June 28th Hourly Table 19 mmdd_0628_hourly_evaporator_coil_load_latent</t>
  </si>
  <si>
    <t>Case 300 June 28th Hourly Table 18 mmdd_0628_hourly_evaporator_coil_load_latent</t>
  </si>
  <si>
    <t>Case 300 June 28th Hourly Table 17 mmdd_0628_hourly_evaporator_coil_load_latent</t>
  </si>
  <si>
    <t>Case 300 June 28th Hourly Table 16 mmdd_0628_hourly_evaporator_coil_load_latent</t>
  </si>
  <si>
    <t>Case 300 June 28th Hourly Table 15 mmdd_0628_hourly_evaporator_coil_load_latent</t>
  </si>
  <si>
    <t>Case 300 June 28th Hourly Table 14 mmdd_0628_hourly_evaporator_coil_load_latent</t>
  </si>
  <si>
    <t>Case 300 June 28th Hourly Table 13 mmdd_0628_hourly_evaporator_coil_load_latent</t>
  </si>
  <si>
    <t>Case 300 June 28th Hourly Table 12 mmdd_0628_hourly_evaporator_coil_load_latent</t>
  </si>
  <si>
    <t>Case 300 June 28th Hourly Table 11 mmdd_0628_hourly_evaporator_coil_load_latent</t>
  </si>
  <si>
    <t>Case 300 June 28th Hourly Table 10 mmdd_0628_hourly_evaporator_coil_load_latent</t>
  </si>
  <si>
    <t>Case 300 June 28th Hourly Table 9 mmdd_0628_hourly_evaporator_coil_load_latent</t>
  </si>
  <si>
    <t>Case 300 June 28th Hourly Table 8 mmdd_0628_hourly_evaporator_coil_load_latent</t>
  </si>
  <si>
    <t>Case 300 June 28th Hourly Table 7 mmdd_0628_hourly_evaporator_coil_load_latent</t>
  </si>
  <si>
    <t>Case 300 June 28th Hourly Table 6 mmdd_0628_hourly_evaporator_coil_load_latent</t>
  </si>
  <si>
    <t>Case 300 June 28th Hourly Table 5 mmdd_0628_hourly_evaporator_coil_load_latent</t>
  </si>
  <si>
    <t>Case 300 June 28th Hourly Table 4 mmdd_0628_hourly_evaporator_coil_load_latent</t>
  </si>
  <si>
    <t>Case 300 June 28th Hourly Table 3 mmdd_0628_hourly_evaporator_coil_load_latent</t>
  </si>
  <si>
    <t>Case 300 June 28th Hourly Table 2 mmdd_0628_hourly_evaporator_coil_load_latent</t>
  </si>
  <si>
    <t>Case 300 June 28th Hourly Table 1 mmdd_0628_hourly_evaporator_coil_load_latent</t>
  </si>
  <si>
    <t>Case 300 June 28th Hourly Table 24 mmdd_0628_hourly_evaporator_coil_load_sensible</t>
  </si>
  <si>
    <t>Case 300 June 28th Hourly Table 23 mmdd_0628_hourly_evaporator_coil_load_sensible</t>
  </si>
  <si>
    <t>Case 300 June 28th Hourly Table 22 mmdd_0628_hourly_evaporator_coil_load_sensible</t>
  </si>
  <si>
    <t>Case 300 June 28th Hourly Table 21 mmdd_0628_hourly_evaporator_coil_load_sensible</t>
  </si>
  <si>
    <t>Case 300 June 28th Hourly Table 20 mmdd_0628_hourly_evaporator_coil_load_sensible</t>
  </si>
  <si>
    <t>Case 300 June 28th Hourly Table 19 mmdd_0628_hourly_evaporator_coil_load_sensible</t>
  </si>
  <si>
    <t>Case 300 June 28th Hourly Table 18 mmdd_0628_hourly_evaporator_coil_load_sensible</t>
  </si>
  <si>
    <t>Case 300 June 28th Hourly Table 17 mmdd_0628_hourly_evaporator_coil_load_sensible</t>
  </si>
  <si>
    <t>Case 300 June 28th Hourly Table 16 mmdd_0628_hourly_evaporator_coil_load_sensible</t>
  </si>
  <si>
    <t>Case 300 June 28th Hourly Table 15 mmdd_0628_hourly_evaporator_coil_load_sensible</t>
  </si>
  <si>
    <t>Case 300 June 28th Hourly Table 14 mmdd_0628_hourly_evaporator_coil_load_sensible</t>
  </si>
  <si>
    <t>Case 300 June 28th Hourly Table 13 mmdd_0628_hourly_evaporator_coil_load_sensible</t>
  </si>
  <si>
    <t>Case 300 June 28th Hourly Table 12 mmdd_0628_hourly_evaporator_coil_load_sensible</t>
  </si>
  <si>
    <t>Case 300 June 28th Hourly Table 11 mmdd_0628_hourly_evaporator_coil_load_sensible</t>
  </si>
  <si>
    <t>Case 300 June 28th Hourly Table 10 mmdd_0628_hourly_evaporator_coil_load_sensible</t>
  </si>
  <si>
    <t>Case 300 June 28th Hourly Table 9 mmdd_0628_hourly_evaporator_coil_load_sensible</t>
  </si>
  <si>
    <t>Case 300 June 28th Hourly Table 8 mmdd_0628_hourly_evaporator_coil_load_sensible</t>
  </si>
  <si>
    <t>Case 300 June 28th Hourly Table 7 mmdd_0628_hourly_evaporator_coil_load_sensible</t>
  </si>
  <si>
    <t>Case 300 June 28th Hourly Table 6 mmdd_0628_hourly_evaporator_coil_load_sensible</t>
  </si>
  <si>
    <t>Case 300 June 28th Hourly Table 5 mmdd_0628_hourly_evaporator_coil_load_sensible</t>
  </si>
  <si>
    <t>Case 300 June 28th Hourly Table 4 mmdd_0628_hourly_evaporator_coil_load_sensible</t>
  </si>
  <si>
    <t>Case 300 June 28th Hourly Table 3 mmdd_0628_hourly_evaporator_coil_load_sensible</t>
  </si>
  <si>
    <t>Case 300 June 28th Hourly Table 2 mmdd_0628_hourly_evaporator_coil_load_sensible</t>
  </si>
  <si>
    <t>Case 300 June 28th Hourly Table 1 mmdd_0628_hourly_evaporator_coil_load_sensible</t>
  </si>
  <si>
    <t>Case 300 June 28th Hourly Table 24 mmdd_0628_hourly_evaporator_coil_load_total</t>
  </si>
  <si>
    <t>Case 300 June 28th Hourly Table 23 mmdd_0628_hourly_evaporator_coil_load_total</t>
  </si>
  <si>
    <t>Case 300 June 28th Hourly Table 22 mmdd_0628_hourly_evaporator_coil_load_total</t>
  </si>
  <si>
    <t>Case 300 June 28th Hourly Table 21 mmdd_0628_hourly_evaporator_coil_load_total</t>
  </si>
  <si>
    <t>Case 300 June 28th Hourly Table 20 mmdd_0628_hourly_evaporator_coil_load_total</t>
  </si>
  <si>
    <t>Case 300 June 28th Hourly Table 19 mmdd_0628_hourly_evaporator_coil_load_total</t>
  </si>
  <si>
    <t>Case 300 June 28th Hourly Table 18 mmdd_0628_hourly_evaporator_coil_load_total</t>
  </si>
  <si>
    <t>Case 300 June 28th Hourly Table 17 mmdd_0628_hourly_evaporator_coil_load_total</t>
  </si>
  <si>
    <t>Case 300 June 28th Hourly Table 16 mmdd_0628_hourly_evaporator_coil_load_total</t>
  </si>
  <si>
    <t>Case 300 June 28th Hourly Table 15 mmdd_0628_hourly_evaporator_coil_load_total</t>
  </si>
  <si>
    <t>Case 300 June 28th Hourly Table 14 mmdd_0628_hourly_evaporator_coil_load_total</t>
  </si>
  <si>
    <t>Case 300 June 28th Hourly Table 13 mmdd_0628_hourly_evaporator_coil_load_total</t>
  </si>
  <si>
    <t>Case 300 June 28th Hourly Table 12 mmdd_0628_hourly_evaporator_coil_load_total</t>
  </si>
  <si>
    <t>Case 300 June 28th Hourly Table 11 mmdd_0628_hourly_evaporator_coil_load_total</t>
  </si>
  <si>
    <t>Case 300 June 28th Hourly Table 10 mmdd_0628_hourly_evaporator_coil_load_total</t>
  </si>
  <si>
    <t>Case 300 June 28th Hourly Table 9 mmdd_0628_hourly_evaporator_coil_load_total</t>
  </si>
  <si>
    <t>Case 300 June 28th Hourly Table 8 mmdd_0628_hourly_evaporator_coil_load_total</t>
  </si>
  <si>
    <t>Case 300 June 28th Hourly Table 7 mmdd_0628_hourly_evaporator_coil_load_total</t>
  </si>
  <si>
    <t>Case 300 June 28th Hourly Table 6 mmdd_0628_hourly_evaporator_coil_load_total</t>
  </si>
  <si>
    <t>Case 300 June 28th Hourly Table 5 mmdd_0628_hourly_evaporator_coil_load_total</t>
  </si>
  <si>
    <t>Case 300 June 28th Hourly Table 4 mmdd_0628_hourly_evaporator_coil_load_total</t>
  </si>
  <si>
    <t>Case 300 June 28th Hourly Table 3 mmdd_0628_hourly_evaporator_coil_load_total</t>
  </si>
  <si>
    <t>Case 300 June 28th Hourly Table 2 mmdd_0628_hourly_evaporator_coil_load_total</t>
  </si>
  <si>
    <t>Case 300 June 28th Hourly Table 1 mmdd_0628_hourly_evaporator_coil_load_total</t>
  </si>
  <si>
    <t>Annual Hourly Integrated Maxima - cop_2 and Zone Table 20 apr_dec_rh_min_hr</t>
  </si>
  <si>
    <t>Annual Hourly Integrated Maxima - cop_2 and Zone Table 20 apr_dec_rh_min_date</t>
  </si>
  <si>
    <t>Annual Hourly Integrated Maxima - cop_2 and Zone Table 20 apr_dec_rh_min_relative_humidity</t>
  </si>
  <si>
    <t>Annual Hourly Integrated Maxima - cop_2 and Zone Table 20 apr_dec_rh_max_hr</t>
  </si>
  <si>
    <t>Annual Hourly Integrated Maxima - cop_2 and Zone Table 20 apr_dec_rh_max_date</t>
  </si>
  <si>
    <t>Annual Hourly Integrated Maxima - cop_2 and Zone Table 20 apr_dec_rh_max_relative_humidity</t>
  </si>
  <si>
    <t>Annual Hourly Integrated Maxima - cop_2 and Zone Table 20 apr_dec_hr_min_hr</t>
  </si>
  <si>
    <t>Annual Hourly Integrated Maxima - cop_2 and Zone Table 20 apr_dec_hr_min_date</t>
  </si>
  <si>
    <t>Annual Hourly Integrated Maxima - cop_2 and Zone Table 20 apr_dec_hr_min_humidity_ratio</t>
  </si>
  <si>
    <t>Annual Hourly Integrated Maxima - cop_2 and Zone Table 20 apr_dec_hr_max_hr</t>
  </si>
  <si>
    <t>Annual Hourly Integrated Maxima - cop_2 and Zone Table 20 apr_dec_hr_max_date</t>
  </si>
  <si>
    <t>Annual Hourly Integrated Maxima - cop_2 and Zone Table 20 apr_dec_hr_max_humidity_ratio</t>
  </si>
  <si>
    <t>Annual Hourly Integrated Maxima - cop_2 and Zone Table 20 apr_dec_idb_min_hr</t>
  </si>
  <si>
    <t>Annual Hourly Integrated Maxima - cop_2 and Zone Table 20 apr_dec_idb_min_date</t>
  </si>
  <si>
    <t>Annual Hourly Integrated Maxima - cop_2 and Zone Table 20 apr_dec_idb_min_idb</t>
  </si>
  <si>
    <t>Annual Hourly Integrated Maxima - cop_2 and Zone Table 20 apr_dec_idb_max_hr</t>
  </si>
  <si>
    <t>Annual Hourly Integrated Maxima - cop_2 and Zone Table 20 apr_dec_idb_max_date</t>
  </si>
  <si>
    <t>Annual Hourly Integrated Maxima - cop_2 and Zone Table 20 apr_dec_idb_max_idb</t>
  </si>
  <si>
    <t>Annual Hourly Integrated Maxima - cop_2 and Zone Table 20 apr_dec_cop_2_min_hr</t>
  </si>
  <si>
    <t>Annual Hourly Integrated Maxima - cop_2 and Zone Table 20 apr_dec_cop_2_min_date</t>
  </si>
  <si>
    <t>Annual Hourly Integrated Maxima - cop_2 and Zone Table 20 apr_dec_cop_2_min_cop_2</t>
  </si>
  <si>
    <t>Annual Hourly Integrated Maxima - cop_2 and Zone Table 20 apr_dec_cop_2_max_hr</t>
  </si>
  <si>
    <t>Annual Hourly Integrated Maxima - cop_2 and Zone Table 20 apr_dec_cop_2_max_date</t>
  </si>
  <si>
    <t>Annual Hourly Integrated Maxima - cop_2 and Zone Table 20 apr_dec_cop_2_max_cop_2</t>
  </si>
  <si>
    <t>Annual Hourly Integrated Maxima - cop_2 and Zone Table 19 apr_dec_rh_min_hr</t>
  </si>
  <si>
    <t>Annual Hourly Integrated Maxima - cop_2 and Zone Table 19 apr_dec_rh_min_date</t>
  </si>
  <si>
    <t>Annual Hourly Integrated Maxima - cop_2 and Zone Table 19 apr_dec_rh_min_relative_humidity</t>
  </si>
  <si>
    <t>Annual Hourly Integrated Maxima - cop_2 and Zone Table 19 apr_dec_rh_max_hr</t>
  </si>
  <si>
    <t>Annual Hourly Integrated Maxima - cop_2 and Zone Table 19 apr_dec_rh_max_date</t>
  </si>
  <si>
    <t>Annual Hourly Integrated Maxima - cop_2 and Zone Table 19 apr_dec_rh_max_relative_humidity</t>
  </si>
  <si>
    <t>Annual Hourly Integrated Maxima - cop_2 and Zone Table 19 apr_dec_hr_min_hr</t>
  </si>
  <si>
    <t>Annual Hourly Integrated Maxima - cop_2 and Zone Table 19 apr_dec_hr_min_date</t>
  </si>
  <si>
    <t>Annual Hourly Integrated Maxima - cop_2 and Zone Table 19 apr_dec_hr_min_humidity_ratio</t>
  </si>
  <si>
    <t>Annual Hourly Integrated Maxima - cop_2 and Zone Table 19 apr_dec_hr_max_hr</t>
  </si>
  <si>
    <t>Annual Hourly Integrated Maxima - cop_2 and Zone Table 19 apr_dec_hr_max_date</t>
  </si>
  <si>
    <t>Annual Hourly Integrated Maxima - cop_2 and Zone Table 19 apr_dec_hr_max_humidity_ratio</t>
  </si>
  <si>
    <t>Annual Hourly Integrated Maxima - cop_2 and Zone Table 19 apr_dec_idb_min_hr</t>
  </si>
  <si>
    <t>Annual Hourly Integrated Maxima - cop_2 and Zone Table 19 apr_dec_idb_min_date</t>
  </si>
  <si>
    <t>Annual Hourly Integrated Maxima - cop_2 and Zone Table 19 apr_dec_idb_min_idb</t>
  </si>
  <si>
    <t>Annual Hourly Integrated Maxima - cop_2 and Zone Table 19 apr_dec_idb_max_hr</t>
  </si>
  <si>
    <t>Annual Hourly Integrated Maxima - cop_2 and Zone Table 19 apr_dec_idb_max_date</t>
  </si>
  <si>
    <t>Annual Hourly Integrated Maxima - cop_2 and Zone Table 19 apr_dec_idb_max_idb</t>
  </si>
  <si>
    <t>Annual Hourly Integrated Maxima - cop_2 and Zone Table 19 apr_dec_cop_2_min_hr</t>
  </si>
  <si>
    <t>Annual Hourly Integrated Maxima - cop_2 and Zone Table 19 apr_dec_cop_2_min_date</t>
  </si>
  <si>
    <t>Annual Hourly Integrated Maxima - cop_2 and Zone Table 19 apr_dec_cop_2_min_cop_2</t>
  </si>
  <si>
    <t>Annual Hourly Integrated Maxima - cop_2 and Zone Table 19 apr_dec_cop_2_max_hr</t>
  </si>
  <si>
    <t>Annual Hourly Integrated Maxima - cop_2 and Zone Table 19 apr_dec_cop_2_max_date</t>
  </si>
  <si>
    <t>Annual Hourly Integrated Maxima - cop_2 and Zone Table 19 apr_dec_cop_2_max_cop_2</t>
  </si>
  <si>
    <t>Annual Hourly Integrated Maxima - cop_2 and Zone Table 18 apr_dec_rh_min_hr</t>
  </si>
  <si>
    <t>Annual Hourly Integrated Maxima - cop_2 and Zone Table 18 apr_dec_rh_min_date</t>
  </si>
  <si>
    <t>Annual Hourly Integrated Maxima - cop_2 and Zone Table 18 apr_dec_rh_min_relative_humidity</t>
  </si>
  <si>
    <t>Annual Hourly Integrated Maxima - cop_2 and Zone Table 18 apr_dec_rh_max_hr</t>
  </si>
  <si>
    <t>Annual Hourly Integrated Maxima - cop_2 and Zone Table 18 apr_dec_rh_max_date</t>
  </si>
  <si>
    <t>Annual Hourly Integrated Maxima - cop_2 and Zone Table 18 apr_dec_rh_max_relative_humidity</t>
  </si>
  <si>
    <t>Annual Hourly Integrated Maxima - cop_2 and Zone Table 18 apr_dec_hr_min_hr</t>
  </si>
  <si>
    <t>Annual Hourly Integrated Maxima - cop_2 and Zone Table 18 apr_dec_hr_min_date</t>
  </si>
  <si>
    <t>Annual Hourly Integrated Maxima - cop_2 and Zone Table 18 apr_dec_hr_min_humidity_ratio</t>
  </si>
  <si>
    <t>Annual Hourly Integrated Maxima - cop_2 and Zone Table 18 apr_dec_hr_max_hr</t>
  </si>
  <si>
    <t>Annual Hourly Integrated Maxima - cop_2 and Zone Table 18 apr_dec_hr_max_date</t>
  </si>
  <si>
    <t>Annual Hourly Integrated Maxima - cop_2 and Zone Table 18 apr_dec_hr_max_humidity_ratio</t>
  </si>
  <si>
    <t>Annual Hourly Integrated Maxima - cop_2 and Zone Table 18 apr_dec_idb_min_hr</t>
  </si>
  <si>
    <t>Annual Hourly Integrated Maxima - cop_2 and Zone Table 18 apr_dec_idb_min_date</t>
  </si>
  <si>
    <t>Annual Hourly Integrated Maxima - cop_2 and Zone Table 18 apr_dec_idb_min_idb</t>
  </si>
  <si>
    <t>Annual Hourly Integrated Maxima - cop_2 and Zone Table 18 apr_dec_idb_max_hr</t>
  </si>
  <si>
    <t>Annual Hourly Integrated Maxima - cop_2 and Zone Table 18 apr_dec_idb_max_date</t>
  </si>
  <si>
    <t>Annual Hourly Integrated Maxima - cop_2 and Zone Table 18 apr_dec_idb_max_idb</t>
  </si>
  <si>
    <t>Annual Hourly Integrated Maxima - cop_2 and Zone Table 18 apr_dec_cop_2_min_hr</t>
  </si>
  <si>
    <t>Annual Hourly Integrated Maxima - cop_2 and Zone Table 18 apr_dec_cop_2_min_date</t>
  </si>
  <si>
    <t>Annual Hourly Integrated Maxima - cop_2 and Zone Table 18 apr_dec_cop_2_min_cop_2</t>
  </si>
  <si>
    <t>Annual Hourly Integrated Maxima - cop_2 and Zone Table 18 apr_dec_cop_2_max_hr</t>
  </si>
  <si>
    <t>Annual Hourly Integrated Maxima - cop_2 and Zone Table 18 apr_dec_cop_2_max_date</t>
  </si>
  <si>
    <t>Annual Hourly Integrated Maxima - cop_2 and Zone Table 18 apr_dec_cop_2_max_cop_2</t>
  </si>
  <si>
    <t>Annual Hourly Integrated Maxima - cop_2 and Zone Table 17 apr_dec_rh_min_hr</t>
  </si>
  <si>
    <t>Annual Hourly Integrated Maxima - cop_2 and Zone Table 17 apr_dec_rh_min_date</t>
  </si>
  <si>
    <t>Annual Hourly Integrated Maxima - cop_2 and Zone Table 17 apr_dec_rh_min_relative_humidity</t>
  </si>
  <si>
    <t>Annual Hourly Integrated Maxima - cop_2 and Zone Table 17 apr_dec_rh_max_hr</t>
  </si>
  <si>
    <t>Annual Hourly Integrated Maxima - cop_2 and Zone Table 17 apr_dec_rh_max_date</t>
  </si>
  <si>
    <t>Annual Hourly Integrated Maxima - cop_2 and Zone Table 17 apr_dec_rh_max_relative_humidity</t>
  </si>
  <si>
    <t>Annual Hourly Integrated Maxima - cop_2 and Zone Table 17 apr_dec_hr_min_hr</t>
  </si>
  <si>
    <t>Annual Hourly Integrated Maxima - cop_2 and Zone Table 17 apr_dec_hr_min_date</t>
  </si>
  <si>
    <t>Annual Hourly Integrated Maxima - cop_2 and Zone Table 17 apr_dec_hr_min_humidity_ratio</t>
  </si>
  <si>
    <t>Annual Hourly Integrated Maxima - cop_2 and Zone Table 17 apr_dec_hr_max_hr</t>
  </si>
  <si>
    <t>Annual Hourly Integrated Maxima - cop_2 and Zone Table 17 apr_dec_hr_max_date</t>
  </si>
  <si>
    <t>Annual Hourly Integrated Maxima - cop_2 and Zone Table 17 apr_dec_hr_max_humidity_ratio</t>
  </si>
  <si>
    <t>Annual Hourly Integrated Maxima - cop_2 and Zone Table 17 apr_dec_idb_min_hr</t>
  </si>
  <si>
    <t>Annual Hourly Integrated Maxima - cop_2 and Zone Table 17 apr_dec_idb_min_date</t>
  </si>
  <si>
    <t>Annual Hourly Integrated Maxima - cop_2 and Zone Table 17 apr_dec_idb_min_idb</t>
  </si>
  <si>
    <t>Annual Hourly Integrated Maxima - cop_2 and Zone Table 17 apr_dec_idb_max_hr</t>
  </si>
  <si>
    <t>Annual Hourly Integrated Maxima - cop_2 and Zone Table 17 apr_dec_idb_max_date</t>
  </si>
  <si>
    <t>Annual Hourly Integrated Maxima - cop_2 and Zone Table 17 apr_dec_idb_max_idb</t>
  </si>
  <si>
    <t>Annual Hourly Integrated Maxima - cop_2 and Zone Table 17 apr_dec_cop_2_min_hr</t>
  </si>
  <si>
    <t>Annual Hourly Integrated Maxima - cop_2 and Zone Table 17 apr_dec_cop_2_min_date</t>
  </si>
  <si>
    <t>Annual Hourly Integrated Maxima - cop_2 and Zone Table 17 apr_dec_cop_2_min_cop_2</t>
  </si>
  <si>
    <t>Annual Hourly Integrated Maxima - cop_2 and Zone Table 17 apr_dec_cop_2_max_hr</t>
  </si>
  <si>
    <t>Annual Hourly Integrated Maxima - cop_2 and Zone Table 17 apr_dec_cop_2_max_date</t>
  </si>
  <si>
    <t>Annual Hourly Integrated Maxima - cop_2 and Zone Table 17 apr_dec_cop_2_max_cop_2</t>
  </si>
  <si>
    <t>Annual Hourly Integrated Maxima - cop_2 and Zone Table 16 apr_dec_rh_min_hr</t>
  </si>
  <si>
    <t>Annual Hourly Integrated Maxima - cop_2 and Zone Table 16 apr_dec_rh_min_date</t>
  </si>
  <si>
    <t>Annual Hourly Integrated Maxima - cop_2 and Zone Table 16 apr_dec_rh_min_relative_humidity</t>
  </si>
  <si>
    <t>Annual Hourly Integrated Maxima - cop_2 and Zone Table 16 apr_dec_rh_max_hr</t>
  </si>
  <si>
    <t>Annual Hourly Integrated Maxima - cop_2 and Zone Table 16 apr_dec_rh_max_date</t>
  </si>
  <si>
    <t>Annual Hourly Integrated Maxima - cop_2 and Zone Table 16 apr_dec_rh_max_relative_humidity</t>
  </si>
  <si>
    <t>Annual Hourly Integrated Maxima - cop_2 and Zone Table 16 apr_dec_hr_min_hr</t>
  </si>
  <si>
    <t>Annual Hourly Integrated Maxima - cop_2 and Zone Table 16 apr_dec_hr_min_date</t>
  </si>
  <si>
    <t>Annual Hourly Integrated Maxima - cop_2 and Zone Table 16 apr_dec_hr_min_humidity_ratio</t>
  </si>
  <si>
    <t>Annual Hourly Integrated Maxima - cop_2 and Zone Table 16 apr_dec_hr_max_hr</t>
  </si>
  <si>
    <t>Annual Hourly Integrated Maxima - cop_2 and Zone Table 16 apr_dec_hr_max_date</t>
  </si>
  <si>
    <t>Annual Hourly Integrated Maxima - cop_2 and Zone Table 16 apr_dec_hr_max_humidity_ratio</t>
  </si>
  <si>
    <t>Annual Hourly Integrated Maxima - cop_2 and Zone Table 16 apr_dec_idb_min_hr</t>
  </si>
  <si>
    <t>Annual Hourly Integrated Maxima - cop_2 and Zone Table 16 apr_dec_idb_min_date</t>
  </si>
  <si>
    <t>Annual Hourly Integrated Maxima - cop_2 and Zone Table 16 apr_dec_idb_min_idb</t>
  </si>
  <si>
    <t>Annual Hourly Integrated Maxima - cop_2 and Zone Table 16 apr_dec_idb_max_hr</t>
  </si>
  <si>
    <t>Annual Hourly Integrated Maxima - cop_2 and Zone Table 16 apr_dec_idb_max_date</t>
  </si>
  <si>
    <t>Annual Hourly Integrated Maxima - cop_2 and Zone Table 16 apr_dec_idb_max_idb</t>
  </si>
  <si>
    <t>Annual Hourly Integrated Maxima - cop_2 and Zone Table 16 apr_dec_cop_2_min_hr</t>
  </si>
  <si>
    <t>Annual Hourly Integrated Maxima - cop_2 and Zone Table 16 apr_dec_cop_2_min_date</t>
  </si>
  <si>
    <t>Annual Hourly Integrated Maxima - cop_2 and Zone Table 16 apr_dec_cop_2_min_cop_2</t>
  </si>
  <si>
    <t>Annual Hourly Integrated Maxima - cop_2 and Zone Table 16 apr_dec_cop_2_max_hr</t>
  </si>
  <si>
    <t>Annual Hourly Integrated Maxima - cop_2 and Zone Table 16 apr_dec_cop_2_max_date</t>
  </si>
  <si>
    <t>Annual Hourly Integrated Maxima - cop_2 and Zone Table 16 apr_dec_cop_2_max_cop_2</t>
  </si>
  <si>
    <t>Annual Hourly Integrated Maxima - cop_2 and Zone Table 15 apr_dec_rh_min_hr</t>
  </si>
  <si>
    <t>Annual Hourly Integrated Maxima - cop_2 and Zone Table 15 apr_dec_rh_min_date</t>
  </si>
  <si>
    <t>Annual Hourly Integrated Maxima - cop_2 and Zone Table 15 apr_dec_rh_min_relative_humidity</t>
  </si>
  <si>
    <t>Annual Hourly Integrated Maxima - cop_2 and Zone Table 15 apr_dec_rh_max_hr</t>
  </si>
  <si>
    <t>Annual Hourly Integrated Maxima - cop_2 and Zone Table 15 apr_dec_rh_max_date</t>
  </si>
  <si>
    <t>Annual Hourly Integrated Maxima - cop_2 and Zone Table 15 apr_dec_rh_max_relative_humidity</t>
  </si>
  <si>
    <t>Annual Hourly Integrated Maxima - cop_2 and Zone Table 15 apr_dec_hr_min_hr</t>
  </si>
  <si>
    <t>Annual Hourly Integrated Maxima - cop_2 and Zone Table 15 apr_dec_hr_min_date</t>
  </si>
  <si>
    <t>Annual Hourly Integrated Maxima - cop_2 and Zone Table 15 apr_dec_hr_min_humidity_ratio</t>
  </si>
  <si>
    <t>Annual Hourly Integrated Maxima - cop_2 and Zone Table 15 apr_dec_hr_max_hr</t>
  </si>
  <si>
    <t>Annual Hourly Integrated Maxima - cop_2 and Zone Table 15 apr_dec_hr_max_date</t>
  </si>
  <si>
    <t>Annual Hourly Integrated Maxima - cop_2 and Zone Table 15 apr_dec_hr_max_humidity_ratio</t>
  </si>
  <si>
    <t>Annual Hourly Integrated Maxima - cop_2 and Zone Table 15 apr_dec_idb_min_hr</t>
  </si>
  <si>
    <t>Annual Hourly Integrated Maxima - cop_2 and Zone Table 15 apr_dec_idb_min_date</t>
  </si>
  <si>
    <t>Annual Hourly Integrated Maxima - cop_2 and Zone Table 15 apr_dec_idb_min_idb</t>
  </si>
  <si>
    <t>Annual Hourly Integrated Maxima - cop_2 and Zone Table 15 apr_dec_idb_max_hr</t>
  </si>
  <si>
    <t>Annual Hourly Integrated Maxima - cop_2 and Zone Table 15 apr_dec_idb_max_date</t>
  </si>
  <si>
    <t>Annual Hourly Integrated Maxima - cop_2 and Zone Table 15 apr_dec_idb_max_idb</t>
  </si>
  <si>
    <t>Annual Hourly Integrated Maxima - cop_2 and Zone Table 15 apr_dec_cop_2_min_hr</t>
  </si>
  <si>
    <t>Annual Hourly Integrated Maxima - cop_2 and Zone Table 15 apr_dec_cop_2_min_date</t>
  </si>
  <si>
    <t>Annual Hourly Integrated Maxima - cop_2 and Zone Table 15 apr_dec_cop_2_min_cop_2</t>
  </si>
  <si>
    <t>Annual Hourly Integrated Maxima - cop_2 and Zone Table 15 apr_dec_cop_2_max_hr</t>
  </si>
  <si>
    <t>Annual Hourly Integrated Maxima - cop_2 and Zone Table 15 apr_dec_cop_2_max_date</t>
  </si>
  <si>
    <t>Annual Hourly Integrated Maxima - cop_2 and Zone Table 15 apr_dec_cop_2_max_cop_2</t>
  </si>
  <si>
    <t>Annual Hourly Integrated Maxima - cop_2 and Zone Table 14 apr_dec_rh_min_hr</t>
  </si>
  <si>
    <t>Annual Hourly Integrated Maxima - cop_2 and Zone Table 14 apr_dec_rh_min_date</t>
  </si>
  <si>
    <t>Annual Hourly Integrated Maxima - cop_2 and Zone Table 14 apr_dec_rh_min_relative_humidity</t>
  </si>
  <si>
    <t>Annual Hourly Integrated Maxima - cop_2 and Zone Table 14 apr_dec_rh_max_hr</t>
  </si>
  <si>
    <t>Annual Hourly Integrated Maxima - cop_2 and Zone Table 14 apr_dec_rh_max_date</t>
  </si>
  <si>
    <t>Annual Hourly Integrated Maxima - cop_2 and Zone Table 14 apr_dec_rh_max_relative_humidity</t>
  </si>
  <si>
    <t>Annual Hourly Integrated Maxima - cop_2 and Zone Table 14 apr_dec_hr_min_hr</t>
  </si>
  <si>
    <t>Annual Hourly Integrated Maxima - cop_2 and Zone Table 14 apr_dec_hr_min_date</t>
  </si>
  <si>
    <t>Annual Hourly Integrated Maxima - cop_2 and Zone Table 14 apr_dec_hr_min_humidity_ratio</t>
  </si>
  <si>
    <t>Annual Hourly Integrated Maxima - cop_2 and Zone Table 14 apr_dec_hr_max_hr</t>
  </si>
  <si>
    <t>Annual Hourly Integrated Maxima - cop_2 and Zone Table 14 apr_dec_hr_max_date</t>
  </si>
  <si>
    <t>Annual Hourly Integrated Maxima - cop_2 and Zone Table 14 apr_dec_hr_max_humidity_ratio</t>
  </si>
  <si>
    <t>Annual Hourly Integrated Maxima - cop_2 and Zone Table 14 apr_dec_idb_min_hr</t>
  </si>
  <si>
    <t>Annual Hourly Integrated Maxima - cop_2 and Zone Table 14 apr_dec_idb_min_date</t>
  </si>
  <si>
    <t>Annual Hourly Integrated Maxima - cop_2 and Zone Table 14 apr_dec_idb_min_idb</t>
  </si>
  <si>
    <t>Annual Hourly Integrated Maxima - cop_2 and Zone Table 14 apr_dec_idb_max_hr</t>
  </si>
  <si>
    <t>Annual Hourly Integrated Maxima - cop_2 and Zone Table 14 apr_dec_idb_max_date</t>
  </si>
  <si>
    <t>Annual Hourly Integrated Maxima - cop_2 and Zone Table 14 apr_dec_idb_max_idb</t>
  </si>
  <si>
    <t>Annual Hourly Integrated Maxima - cop_2 and Zone Table 14 apr_dec_cop_2_min_hr</t>
  </si>
  <si>
    <t>Annual Hourly Integrated Maxima - cop_2 and Zone Table 14 apr_dec_cop_2_min_date</t>
  </si>
  <si>
    <t>Annual Hourly Integrated Maxima - cop_2 and Zone Table 14 apr_dec_cop_2_min_cop_2</t>
  </si>
  <si>
    <t>Annual Hourly Integrated Maxima - cop_2 and Zone Table 14 apr_dec_cop_2_max_hr</t>
  </si>
  <si>
    <t>Annual Hourly Integrated Maxima - cop_2 and Zone Table 14 apr_dec_cop_2_max_date</t>
  </si>
  <si>
    <t>Annual Hourly Integrated Maxima - cop_2 and Zone Table 14 apr_dec_cop_2_max_cop_2</t>
  </si>
  <si>
    <t>Annual Hourly Integrated Maxima - cop_2 and Zone Table 13 apr_dec_rh_min_hr</t>
  </si>
  <si>
    <t>Annual Hourly Integrated Maxima - cop_2 and Zone Table 13 apr_dec_rh_min_date</t>
  </si>
  <si>
    <t>Annual Hourly Integrated Maxima - cop_2 and Zone Table 13 apr_dec_rh_min_relative_humidity</t>
  </si>
  <si>
    <t>Annual Hourly Integrated Maxima - cop_2 and Zone Table 13 apr_dec_rh_max_hr</t>
  </si>
  <si>
    <t>Annual Hourly Integrated Maxima - cop_2 and Zone Table 13 apr_dec_rh_max_date</t>
  </si>
  <si>
    <t>Annual Hourly Integrated Maxima - cop_2 and Zone Table 13 apr_dec_rh_max_relative_humidity</t>
  </si>
  <si>
    <t>Annual Hourly Integrated Maxima - cop_2 and Zone Table 13 apr_dec_hr_min_hr</t>
  </si>
  <si>
    <t>Annual Hourly Integrated Maxima - cop_2 and Zone Table 13 apr_dec_hr_min_date</t>
  </si>
  <si>
    <t>Annual Hourly Integrated Maxima - cop_2 and Zone Table 13 apr_dec_hr_min_humidity_ratio</t>
  </si>
  <si>
    <t>Annual Hourly Integrated Maxima - cop_2 and Zone Table 13 apr_dec_hr_max_hr</t>
  </si>
  <si>
    <t>Annual Hourly Integrated Maxima - cop_2 and Zone Table 13 apr_dec_hr_max_date</t>
  </si>
  <si>
    <t>Annual Hourly Integrated Maxima - cop_2 and Zone Table 13 apr_dec_hr_max_humidity_ratio</t>
  </si>
  <si>
    <t>Annual Hourly Integrated Maxima - cop_2 and Zone Table 13 apr_dec_idb_min_hr</t>
  </si>
  <si>
    <t>Annual Hourly Integrated Maxima - cop_2 and Zone Table 13 apr_dec_idb_min_date</t>
  </si>
  <si>
    <t>Annual Hourly Integrated Maxima - cop_2 and Zone Table 13 apr_dec_idb_min_idb</t>
  </si>
  <si>
    <t>Annual Hourly Integrated Maxima - cop_2 and Zone Table 13 apr_dec_idb_max_hr</t>
  </si>
  <si>
    <t>Annual Hourly Integrated Maxima - cop_2 and Zone Table 13 apr_dec_idb_max_date</t>
  </si>
  <si>
    <t>Annual Hourly Integrated Maxima - cop_2 and Zone Table 13 apr_dec_idb_max_idb</t>
  </si>
  <si>
    <t>Annual Hourly Integrated Maxima - cop_2 and Zone Table 13 apr_dec_cop_2_min_hr</t>
  </si>
  <si>
    <t>Annual Hourly Integrated Maxima - cop_2 and Zone Table 13 apr_dec_cop_2_min_date</t>
  </si>
  <si>
    <t>Annual Hourly Integrated Maxima - cop_2 and Zone Table 13 apr_dec_cop_2_min_cop_2</t>
  </si>
  <si>
    <t>Annual Hourly Integrated Maxima - cop_2 and Zone Table 13 apr_dec_cop_2_max_hr</t>
  </si>
  <si>
    <t>Annual Hourly Integrated Maxima - cop_2 and Zone Table 13 apr_dec_cop_2_max_date</t>
  </si>
  <si>
    <t>Annual Hourly Integrated Maxima - cop_2 and Zone Table 13 apr_dec_cop_2_max_cop_2</t>
  </si>
  <si>
    <t>Annual Hourly Integrated Maxima - cop_2 and Zone Table 12 rh_min_hr</t>
  </si>
  <si>
    <t>Annual Hourly Integrated Maxima - cop_2 and Zone Table 12 rh_min_date</t>
  </si>
  <si>
    <t>Annual Hourly Integrated Maxima - cop_2 and Zone Table 12 rh_min_relative_humidity</t>
  </si>
  <si>
    <t>Annual Hourly Integrated Maxima - cop_2 and Zone Table 12 rh_max_hr</t>
  </si>
  <si>
    <t>Annual Hourly Integrated Maxima - cop_2 and Zone Table 12 rh_max_date</t>
  </si>
  <si>
    <t>Annual Hourly Integrated Maxima - cop_2 and Zone Table 12 rh_max_relative_humidity</t>
  </si>
  <si>
    <t>Annual Hourly Integrated Maxima - cop_2 and Zone Table 12 hr_min_hr</t>
  </si>
  <si>
    <t>Annual Hourly Integrated Maxima - cop_2 and Zone Table 12 hr_min_date</t>
  </si>
  <si>
    <t>Annual Hourly Integrated Maxima - cop_2 and Zone Table 12 hr_min_humidity_ratio</t>
  </si>
  <si>
    <t>Annual Hourly Integrated Maxima - cop_2 and Zone Table 12 hr_max_hr</t>
  </si>
  <si>
    <t>Annual Hourly Integrated Maxima - cop_2 and Zone Table 12 hr_max_date</t>
  </si>
  <si>
    <t>Annual Hourly Integrated Maxima - cop_2 and Zone Table 12 hr_max_humidity_ratio</t>
  </si>
  <si>
    <t>Annual Hourly Integrated Maxima - cop_2 and Zone Table 12 idb_min_hr</t>
  </si>
  <si>
    <t>Annual Hourly Integrated Maxima - cop_2 and Zone Table 12 idb_min_date</t>
  </si>
  <si>
    <t>Annual Hourly Integrated Maxima - cop_2 and Zone Table 12 idb_min_idb</t>
  </si>
  <si>
    <t>Annual Hourly Integrated Maxima - cop_2 and Zone Table 12 idb_max_hr</t>
  </si>
  <si>
    <t>Annual Hourly Integrated Maxima - cop_2 and Zone Table 12 idb_max_date</t>
  </si>
  <si>
    <t>Annual Hourly Integrated Maxima - cop_2 and Zone Table 12 idb_max_idb</t>
  </si>
  <si>
    <t>Annual Hourly Integrated Maxima - cop_2 and Zone Table 12 cop_2_min_hr</t>
  </si>
  <si>
    <t>Annual Hourly Integrated Maxima - cop_2 and Zone Table 12 cop_2_min_date</t>
  </si>
  <si>
    <t>Annual Hourly Integrated Maxima - cop_2 and Zone Table 12 cop_2_min_cop_2</t>
  </si>
  <si>
    <t>Annual Hourly Integrated Maxima - cop_2 and Zone Table 12 cop_2_max_hr</t>
  </si>
  <si>
    <t>Annual Hourly Integrated Maxima - cop_2 and Zone Table 12 cop_2_max_date</t>
  </si>
  <si>
    <t>Annual Hourly Integrated Maxima - cop_2 and Zone Table 12 cop_2_max_cop_2</t>
  </si>
  <si>
    <t>Annual Hourly Integrated Maxima - cop_2 and Zone Table 11 rh_min_hr</t>
  </si>
  <si>
    <t>Annual Hourly Integrated Maxima - cop_2 and Zone Table 11 rh_min_date</t>
  </si>
  <si>
    <t>Annual Hourly Integrated Maxima - cop_2 and Zone Table 11 rh_min_relative_humidity</t>
  </si>
  <si>
    <t>Annual Hourly Integrated Maxima - cop_2 and Zone Table 11 rh_max_hr</t>
  </si>
  <si>
    <t>Annual Hourly Integrated Maxima - cop_2 and Zone Table 11 rh_max_date</t>
  </si>
  <si>
    <t>Annual Hourly Integrated Maxima - cop_2 and Zone Table 11 rh_max_relative_humidity</t>
  </si>
  <si>
    <t>Annual Hourly Integrated Maxima - cop_2 and Zone Table 11 hr_min_hr</t>
  </si>
  <si>
    <t>Annual Hourly Integrated Maxima - cop_2 and Zone Table 11 hr_min_date</t>
  </si>
  <si>
    <t>Annual Hourly Integrated Maxima - cop_2 and Zone Table 11 hr_min_humidity_ratio</t>
  </si>
  <si>
    <t>Annual Hourly Integrated Maxima - cop_2 and Zone Table 11 hr_max_hr</t>
  </si>
  <si>
    <t>Annual Hourly Integrated Maxima - cop_2 and Zone Table 11 hr_max_date</t>
  </si>
  <si>
    <t>Annual Hourly Integrated Maxima - cop_2 and Zone Table 11 hr_max_humidity_ratio</t>
  </si>
  <si>
    <t>Annual Hourly Integrated Maxima - cop_2 and Zone Table 11 idb_min_hr</t>
  </si>
  <si>
    <t>Annual Hourly Integrated Maxima - cop_2 and Zone Table 11 idb_min_date</t>
  </si>
  <si>
    <t>Annual Hourly Integrated Maxima - cop_2 and Zone Table 11 idb_min_idb</t>
  </si>
  <si>
    <t>Annual Hourly Integrated Maxima - cop_2 and Zone Table 11 idb_max_hr</t>
  </si>
  <si>
    <t>Annual Hourly Integrated Maxima - cop_2 and Zone Table 11 idb_max_date</t>
  </si>
  <si>
    <t>Annual Hourly Integrated Maxima - cop_2 and Zone Table 11 idb_max_idb</t>
  </si>
  <si>
    <t>Annual Hourly Integrated Maxima - cop_2 and Zone Table 11 cop_2_min_hr</t>
  </si>
  <si>
    <t>Annual Hourly Integrated Maxima - cop_2 and Zone Table 11 cop_2_min_date</t>
  </si>
  <si>
    <t>Annual Hourly Integrated Maxima - cop_2 and Zone Table 11 cop_2_min_cop_2</t>
  </si>
  <si>
    <t>Annual Hourly Integrated Maxima - cop_2 and Zone Table 11 cop_2_max_hr</t>
  </si>
  <si>
    <t>Annual Hourly Integrated Maxima - cop_2 and Zone Table 11 cop_2_max_date</t>
  </si>
  <si>
    <t>Annual Hourly Integrated Maxima - cop_2 and Zone Table 11 cop_2_max_cop_2</t>
  </si>
  <si>
    <t>Annual Hourly Integrated Maxima - cop_2 and Zone Table 10 rh_min_hr</t>
  </si>
  <si>
    <t>Annual Hourly Integrated Maxima - cop_2 and Zone Table 10 rh_min_date</t>
  </si>
  <si>
    <t>Annual Hourly Integrated Maxima - cop_2 and Zone Table 10 rh_min_relative_humidity</t>
  </si>
  <si>
    <t>Annual Hourly Integrated Maxima - cop_2 and Zone Table 10 rh_max_hr</t>
  </si>
  <si>
    <t>Annual Hourly Integrated Maxima - cop_2 and Zone Table 10 rh_max_date</t>
  </si>
  <si>
    <t>Annual Hourly Integrated Maxima - cop_2 and Zone Table 10 rh_max_relative_humidity</t>
  </si>
  <si>
    <t>Annual Hourly Integrated Maxima - cop_2 and Zone Table 10 hr_min_hr</t>
  </si>
  <si>
    <t>Annual Hourly Integrated Maxima - cop_2 and Zone Table 10 hr_min_date</t>
  </si>
  <si>
    <t>Annual Hourly Integrated Maxima - cop_2 and Zone Table 10 hr_min_humidity_ratio</t>
  </si>
  <si>
    <t>Annual Hourly Integrated Maxima - cop_2 and Zone Table 10 hr_max_hr</t>
  </si>
  <si>
    <t>Annual Hourly Integrated Maxima - cop_2 and Zone Table 10 hr_max_date</t>
  </si>
  <si>
    <t>Annual Hourly Integrated Maxima - cop_2 and Zone Table 10 hr_max_humidity_ratio</t>
  </si>
  <si>
    <t>Annual Hourly Integrated Maxima - cop_2 and Zone Table 10 idb_min_hr</t>
  </si>
  <si>
    <t>Annual Hourly Integrated Maxima - cop_2 and Zone Table 10 idb_min_date</t>
  </si>
  <si>
    <t>Annual Hourly Integrated Maxima - cop_2 and Zone Table 10 idb_min_idb</t>
  </si>
  <si>
    <t>Annual Hourly Integrated Maxima - cop_2 and Zone Table 10 idb_max_hr</t>
  </si>
  <si>
    <t>Annual Hourly Integrated Maxima - cop_2 and Zone Table 10 idb_max_date</t>
  </si>
  <si>
    <t>Annual Hourly Integrated Maxima - cop_2 and Zone Table 10 idb_max_idb</t>
  </si>
  <si>
    <t>Annual Hourly Integrated Maxima - cop_2 and Zone Table 10 cop_2_min_hr</t>
  </si>
  <si>
    <t>Annual Hourly Integrated Maxima - cop_2 and Zone Table 10 cop_2_min_date</t>
  </si>
  <si>
    <t>Annual Hourly Integrated Maxima - cop_2 and Zone Table 10 cop_2_min_cop_2</t>
  </si>
  <si>
    <t>Annual Hourly Integrated Maxima - cop_2 and Zone Table 10 cop_2_max_hr</t>
  </si>
  <si>
    <t>Annual Hourly Integrated Maxima - cop_2 and Zone Table 10 cop_2_max_date</t>
  </si>
  <si>
    <t>Annual Hourly Integrated Maxima - cop_2 and Zone Table 10 cop_2_max_cop_2</t>
  </si>
  <si>
    <t>Annual Hourly Integrated Maxima - cop_2 and Zone Table 9 rh_min_hr</t>
  </si>
  <si>
    <t>Annual Hourly Integrated Maxima - cop_2 and Zone Table 9 rh_min_date</t>
  </si>
  <si>
    <t>Annual Hourly Integrated Maxima - cop_2 and Zone Table 9 rh_min_relative_humidity</t>
  </si>
  <si>
    <t>Annual Hourly Integrated Maxima - cop_2 and Zone Table 9 rh_max_hr</t>
  </si>
  <si>
    <t>Annual Hourly Integrated Maxima - cop_2 and Zone Table 9 rh_max_date</t>
  </si>
  <si>
    <t>Annual Hourly Integrated Maxima - cop_2 and Zone Table 9 rh_max_relative_humidity</t>
  </si>
  <si>
    <t>Annual Hourly Integrated Maxima - cop_2 and Zone Table 9 hr_min_hr</t>
  </si>
  <si>
    <t>Annual Hourly Integrated Maxima - cop_2 and Zone Table 9 hr_min_date</t>
  </si>
  <si>
    <t>Annual Hourly Integrated Maxima - cop_2 and Zone Table 9 hr_min_humidity_ratio</t>
  </si>
  <si>
    <t>Annual Hourly Integrated Maxima - cop_2 and Zone Table 9 hr_max_hr</t>
  </si>
  <si>
    <t>Annual Hourly Integrated Maxima - cop_2 and Zone Table 9 hr_max_date</t>
  </si>
  <si>
    <t>Annual Hourly Integrated Maxima - cop_2 and Zone Table 9 hr_max_humidity_ratio</t>
  </si>
  <si>
    <t>Annual Hourly Integrated Maxima - cop_2 and Zone Table 9 idb_min_hr</t>
  </si>
  <si>
    <t>Annual Hourly Integrated Maxima - cop_2 and Zone Table 9 idb_min_date</t>
  </si>
  <si>
    <t>Annual Hourly Integrated Maxima - cop_2 and Zone Table 9 idb_min_idb</t>
  </si>
  <si>
    <t>Annual Hourly Integrated Maxima - cop_2 and Zone Table 9 idb_max_hr</t>
  </si>
  <si>
    <t>Annual Hourly Integrated Maxima - cop_2 and Zone Table 9 idb_max_date</t>
  </si>
  <si>
    <t>Annual Hourly Integrated Maxima - cop_2 and Zone Table 9 idb_max_idb</t>
  </si>
  <si>
    <t>Annual Hourly Integrated Maxima - cop_2 and Zone Table 9 cop_2_min_hr</t>
  </si>
  <si>
    <t>Annual Hourly Integrated Maxima - cop_2 and Zone Table 9 cop_2_min_date</t>
  </si>
  <si>
    <t>Annual Hourly Integrated Maxima - cop_2 and Zone Table 9 cop_2_min_cop_2</t>
  </si>
  <si>
    <t>Annual Hourly Integrated Maxima - cop_2 and Zone Table 9 cop_2_max_hr</t>
  </si>
  <si>
    <t>Annual Hourly Integrated Maxima - cop_2 and Zone Table 9 cop_2_max_date</t>
  </si>
  <si>
    <t>Annual Hourly Integrated Maxima - cop_2 and Zone Table 9 cop_2_max_cop_2</t>
  </si>
  <si>
    <t>Annual Hourly Integrated Maxima - cop_2 and Zone Table 8 rh_min_hr</t>
  </si>
  <si>
    <t>Annual Hourly Integrated Maxima - cop_2 and Zone Table 8 rh_min_date</t>
  </si>
  <si>
    <t>Annual Hourly Integrated Maxima - cop_2 and Zone Table 8 rh_min_relative_humidity</t>
  </si>
  <si>
    <t>Annual Hourly Integrated Maxima - cop_2 and Zone Table 8 rh_max_hr</t>
  </si>
  <si>
    <t>Annual Hourly Integrated Maxima - cop_2 and Zone Table 8 rh_max_date</t>
  </si>
  <si>
    <t>Annual Hourly Integrated Maxima - cop_2 and Zone Table 8 rh_max_relative_humidity</t>
  </si>
  <si>
    <t>Annual Hourly Integrated Maxima - cop_2 and Zone Table 8 hr_min_hr</t>
  </si>
  <si>
    <t>Annual Hourly Integrated Maxima - cop_2 and Zone Table 8 hr_min_date</t>
  </si>
  <si>
    <t>Annual Hourly Integrated Maxima - cop_2 and Zone Table 8 hr_min_humidity_ratio</t>
  </si>
  <si>
    <t>Annual Hourly Integrated Maxima - cop_2 and Zone Table 8 hr_max_hr</t>
  </si>
  <si>
    <t>Annual Hourly Integrated Maxima - cop_2 and Zone Table 8 hr_max_date</t>
  </si>
  <si>
    <t>Annual Hourly Integrated Maxima - cop_2 and Zone Table 8 hr_max_humidity_ratio</t>
  </si>
  <si>
    <t>Annual Hourly Integrated Maxima - cop_2 and Zone Table 8 idb_min_hr</t>
  </si>
  <si>
    <t>Annual Hourly Integrated Maxima - cop_2 and Zone Table 8 idb_min_date</t>
  </si>
  <si>
    <t>Annual Hourly Integrated Maxima - cop_2 and Zone Table 8 idb_min_idb</t>
  </si>
  <si>
    <t>Annual Hourly Integrated Maxima - cop_2 and Zone Table 8 idb_max_hr</t>
  </si>
  <si>
    <t>Annual Hourly Integrated Maxima - cop_2 and Zone Table 8 idb_max_date</t>
  </si>
  <si>
    <t>Annual Hourly Integrated Maxima - cop_2 and Zone Table 8 idb_max_idb</t>
  </si>
  <si>
    <t>Annual Hourly Integrated Maxima - cop_2 and Zone Table 8 cop_2_min_hr</t>
  </si>
  <si>
    <t>Annual Hourly Integrated Maxima - cop_2 and Zone Table 8 cop_2_min_date</t>
  </si>
  <si>
    <t>Annual Hourly Integrated Maxima - cop_2 and Zone Table 8 cop_2_min_cop_2</t>
  </si>
  <si>
    <t>Annual Hourly Integrated Maxima - cop_2 and Zone Table 8 cop_2_max_hr</t>
  </si>
  <si>
    <t>Annual Hourly Integrated Maxima - cop_2 and Zone Table 8 cop_2_max_date</t>
  </si>
  <si>
    <t>Annual Hourly Integrated Maxima - cop_2 and Zone Table 8 cop_2_max_cop_2</t>
  </si>
  <si>
    <t>Annual Hourly Integrated Maxima - cop_2 and Zone Table 7 rh_min_hr</t>
  </si>
  <si>
    <t>Annual Hourly Integrated Maxima - cop_2 and Zone Table 7 rh_min_date</t>
  </si>
  <si>
    <t>Annual Hourly Integrated Maxima - cop_2 and Zone Table 7 rh_min_relative_humidity</t>
  </si>
  <si>
    <t>Annual Hourly Integrated Maxima - cop_2 and Zone Table 7 rh_max_hr</t>
  </si>
  <si>
    <t>Annual Hourly Integrated Maxima - cop_2 and Zone Table 7 rh_max_date</t>
  </si>
  <si>
    <t>Annual Hourly Integrated Maxima - cop_2 and Zone Table 7 rh_max_relative_humidity</t>
  </si>
  <si>
    <t>Annual Hourly Integrated Maxima - cop_2 and Zone Table 7 hr_min_hr</t>
  </si>
  <si>
    <t>Annual Hourly Integrated Maxima - cop_2 and Zone Table 7 hr_min_date</t>
  </si>
  <si>
    <t>Annual Hourly Integrated Maxima - cop_2 and Zone Table 7 hr_min_humidity_ratio</t>
  </si>
  <si>
    <t>Annual Hourly Integrated Maxima - cop_2 and Zone Table 7 hr_max_hr</t>
  </si>
  <si>
    <t>Annual Hourly Integrated Maxima - cop_2 and Zone Table 7 hr_max_date</t>
  </si>
  <si>
    <t>Annual Hourly Integrated Maxima - cop_2 and Zone Table 7 hr_max_humidity_ratio</t>
  </si>
  <si>
    <t>Annual Hourly Integrated Maxima - cop_2 and Zone Table 7 idb_min_hr</t>
  </si>
  <si>
    <t>Annual Hourly Integrated Maxima - cop_2 and Zone Table 7 idb_min_date</t>
  </si>
  <si>
    <t>Annual Hourly Integrated Maxima - cop_2 and Zone Table 7 idb_min_idb</t>
  </si>
  <si>
    <t>Annual Hourly Integrated Maxima - cop_2 and Zone Table 7 idb_max_hr</t>
  </si>
  <si>
    <t>Annual Hourly Integrated Maxima - cop_2 and Zone Table 7 idb_max_date</t>
  </si>
  <si>
    <t>Annual Hourly Integrated Maxima - cop_2 and Zone Table 7 idb_max_idb</t>
  </si>
  <si>
    <t>Annual Hourly Integrated Maxima - cop_2 and Zone Table 7 cop_2_min_hr</t>
  </si>
  <si>
    <t>Annual Hourly Integrated Maxima - cop_2 and Zone Table 7 cop_2_min_date</t>
  </si>
  <si>
    <t>Annual Hourly Integrated Maxima - cop_2 and Zone Table 7 cop_2_min_cop_2</t>
  </si>
  <si>
    <t>Annual Hourly Integrated Maxima - cop_2 and Zone Table 7 cop_2_max_hr</t>
  </si>
  <si>
    <t>Annual Hourly Integrated Maxima - cop_2 and Zone Table 7 cop_2_max_date</t>
  </si>
  <si>
    <t>Annual Hourly Integrated Maxima - cop_2 and Zone Table 7 cop_2_max_cop_2</t>
  </si>
  <si>
    <t>Annual Hourly Integrated Maxima - cop_2 and Zone Table 6 rh_min_hr</t>
  </si>
  <si>
    <t>Annual Hourly Integrated Maxima - cop_2 and Zone Table 6 rh_min_date</t>
  </si>
  <si>
    <t>Annual Hourly Integrated Maxima - cop_2 and Zone Table 6 rh_min_relative_humidity</t>
  </si>
  <si>
    <t>Annual Hourly Integrated Maxima - cop_2 and Zone Table 6 rh_max_hr</t>
  </si>
  <si>
    <t>Annual Hourly Integrated Maxima - cop_2 and Zone Table 6 rh_max_date</t>
  </si>
  <si>
    <t>Annual Hourly Integrated Maxima - cop_2 and Zone Table 6 rh_max_relative_humidity</t>
  </si>
  <si>
    <t>Annual Hourly Integrated Maxima - cop_2 and Zone Table 6 hr_min_hr</t>
  </si>
  <si>
    <t>Annual Hourly Integrated Maxima - cop_2 and Zone Table 6 hr_min_date</t>
  </si>
  <si>
    <t>Annual Hourly Integrated Maxima - cop_2 and Zone Table 6 hr_min_humidity_ratio</t>
  </si>
  <si>
    <t>Annual Hourly Integrated Maxima - cop_2 and Zone Table 6 hr_max_hr</t>
  </si>
  <si>
    <t>Annual Hourly Integrated Maxima - cop_2 and Zone Table 6 hr_max_date</t>
  </si>
  <si>
    <t>Annual Hourly Integrated Maxima - cop_2 and Zone Table 6 hr_max_humidity_ratio</t>
  </si>
  <si>
    <t>Annual Hourly Integrated Maxima - cop_2 and Zone Table 6 idb_min_hr</t>
  </si>
  <si>
    <t>Annual Hourly Integrated Maxima - cop_2 and Zone Table 6 idb_min_date</t>
  </si>
  <si>
    <t>Annual Hourly Integrated Maxima - cop_2 and Zone Table 6 idb_min_idb</t>
  </si>
  <si>
    <t>Annual Hourly Integrated Maxima - cop_2 and Zone Table 6 idb_max_hr</t>
  </si>
  <si>
    <t>Annual Hourly Integrated Maxima - cop_2 and Zone Table 6 idb_max_date</t>
  </si>
  <si>
    <t>Annual Hourly Integrated Maxima - cop_2 and Zone Table 6 idb_max_idb</t>
  </si>
  <si>
    <t>Annual Hourly Integrated Maxima - cop_2 and Zone Table 6 cop_2_min_hr</t>
  </si>
  <si>
    <t>Annual Hourly Integrated Maxima - cop_2 and Zone Table 6 cop_2_min_date</t>
  </si>
  <si>
    <t>Annual Hourly Integrated Maxima - cop_2 and Zone Table 6 cop_2_min_cop_2</t>
  </si>
  <si>
    <t>Annual Hourly Integrated Maxima - cop_2 and Zone Table 6 cop_2_max_hr</t>
  </si>
  <si>
    <t>Annual Hourly Integrated Maxima - cop_2 and Zone Table 6 cop_2_max_date</t>
  </si>
  <si>
    <t>Annual Hourly Integrated Maxima - cop_2 and Zone Table 6 cop_2_max_cop_2</t>
  </si>
  <si>
    <t>Annual Hourly Integrated Maxima - cop_2 and Zone Table 5 rh_min_hr</t>
  </si>
  <si>
    <t>Annual Hourly Integrated Maxima - cop_2 and Zone Table 5 rh_min_date</t>
  </si>
  <si>
    <t>Annual Hourly Integrated Maxima - cop_2 and Zone Table 5 rh_min_relative_humidity</t>
  </si>
  <si>
    <t>Annual Hourly Integrated Maxima - cop_2 and Zone Table 5 rh_max_hr</t>
  </si>
  <si>
    <t>Annual Hourly Integrated Maxima - cop_2 and Zone Table 5 rh_max_date</t>
  </si>
  <si>
    <t>Annual Hourly Integrated Maxima - cop_2 and Zone Table 5 rh_max_relative_humidity</t>
  </si>
  <si>
    <t>Annual Hourly Integrated Maxima - cop_2 and Zone Table 5 hr_min_hr</t>
  </si>
  <si>
    <t>Annual Hourly Integrated Maxima - cop_2 and Zone Table 5 hr_min_date</t>
  </si>
  <si>
    <t>Annual Hourly Integrated Maxima - cop_2 and Zone Table 5 hr_min_humidity_ratio</t>
  </si>
  <si>
    <t>Annual Hourly Integrated Maxima - cop_2 and Zone Table 5 hr_max_hr</t>
  </si>
  <si>
    <t>Annual Hourly Integrated Maxima - cop_2 and Zone Table 5 hr_max_date</t>
  </si>
  <si>
    <t>Annual Hourly Integrated Maxima - cop_2 and Zone Table 5 hr_max_humidity_ratio</t>
  </si>
  <si>
    <t>Annual Hourly Integrated Maxima - cop_2 and Zone Table 5 idb_min_hr</t>
  </si>
  <si>
    <t>Annual Hourly Integrated Maxima - cop_2 and Zone Table 5 idb_min_date</t>
  </si>
  <si>
    <t>Annual Hourly Integrated Maxima - cop_2 and Zone Table 5 idb_min_idb</t>
  </si>
  <si>
    <t>Annual Hourly Integrated Maxima - cop_2 and Zone Table 5 idb_max_hr</t>
  </si>
  <si>
    <t>Annual Hourly Integrated Maxima - cop_2 and Zone Table 5 idb_max_date</t>
  </si>
  <si>
    <t>Annual Hourly Integrated Maxima - cop_2 and Zone Table 5 idb_max_idb</t>
  </si>
  <si>
    <t>Annual Hourly Integrated Maxima - cop_2 and Zone Table 5 cop_2_min_hr</t>
  </si>
  <si>
    <t>Annual Hourly Integrated Maxima - cop_2 and Zone Table 5 cop_2_min_date</t>
  </si>
  <si>
    <t>Annual Hourly Integrated Maxima - cop_2 and Zone Table 5 cop_2_min_cop_2</t>
  </si>
  <si>
    <t>Annual Hourly Integrated Maxima - cop_2 and Zone Table 5 cop_2_max_hr</t>
  </si>
  <si>
    <t>Annual Hourly Integrated Maxima - cop_2 and Zone Table 5 cop_2_max_date</t>
  </si>
  <si>
    <t>Annual Hourly Integrated Maxima - cop_2 and Zone Table 5 cop_2_max_cop_2</t>
  </si>
  <si>
    <t>Annual Hourly Integrated Maxima - cop_2 and Zone Table 4 rh_min_hr</t>
  </si>
  <si>
    <t>Annual Hourly Integrated Maxima - cop_2 and Zone Table 4 rh_min_date</t>
  </si>
  <si>
    <t>Annual Hourly Integrated Maxima - cop_2 and Zone Table 4 rh_min_relative_humidity</t>
  </si>
  <si>
    <t>Annual Hourly Integrated Maxima - cop_2 and Zone Table 4 rh_max_hr</t>
  </si>
  <si>
    <t>Annual Hourly Integrated Maxima - cop_2 and Zone Table 4 rh_max_date</t>
  </si>
  <si>
    <t>Annual Hourly Integrated Maxima - cop_2 and Zone Table 4 rh_max_relative_humidity</t>
  </si>
  <si>
    <t>Annual Hourly Integrated Maxima - cop_2 and Zone Table 4 hr_min_hr</t>
  </si>
  <si>
    <t>Annual Hourly Integrated Maxima - cop_2 and Zone Table 4 hr_min_date</t>
  </si>
  <si>
    <t>Annual Hourly Integrated Maxima - cop_2 and Zone Table 4 hr_min_humidity_ratio</t>
  </si>
  <si>
    <t>Annual Hourly Integrated Maxima - cop_2 and Zone Table 4 hr_max_hr</t>
  </si>
  <si>
    <t>Annual Hourly Integrated Maxima - cop_2 and Zone Table 4 hr_max_date</t>
  </si>
  <si>
    <t>Annual Hourly Integrated Maxima - cop_2 and Zone Table 4 hr_max_humidity_ratio</t>
  </si>
  <si>
    <t>Annual Hourly Integrated Maxima - cop_2 and Zone Table 4 idb_min_hr</t>
  </si>
  <si>
    <t>Annual Hourly Integrated Maxima - cop_2 and Zone Table 4 idb_min_date</t>
  </si>
  <si>
    <t>Annual Hourly Integrated Maxima - cop_2 and Zone Table 4 idb_min_idb</t>
  </si>
  <si>
    <t>Annual Hourly Integrated Maxima - cop_2 and Zone Table 4 idb_max_hr</t>
  </si>
  <si>
    <t>Annual Hourly Integrated Maxima - cop_2 and Zone Table 4 idb_max_date</t>
  </si>
  <si>
    <t>Annual Hourly Integrated Maxima - cop_2 and Zone Table 4 idb_max_idb</t>
  </si>
  <si>
    <t>Annual Hourly Integrated Maxima - cop_2 and Zone Table 4 cop_2_min_hr</t>
  </si>
  <si>
    <t>Annual Hourly Integrated Maxima - cop_2 and Zone Table 4 cop_2_min_date</t>
  </si>
  <si>
    <t>Annual Hourly Integrated Maxima - cop_2 and Zone Table 4 cop_2_min_cop_2</t>
  </si>
  <si>
    <t>Annual Hourly Integrated Maxima - cop_2 and Zone Table 4 cop_2_max_hr</t>
  </si>
  <si>
    <t>Annual Hourly Integrated Maxima - cop_2 and Zone Table 4 cop_2_max_date</t>
  </si>
  <si>
    <t>Annual Hourly Integrated Maxima - cop_2 and Zone Table 4 cop_2_max_cop_2</t>
  </si>
  <si>
    <t>Annual Hourly Integrated Maxima - cop_2 and Zone Table 3 rh_min_hr</t>
  </si>
  <si>
    <t>Annual Hourly Integrated Maxima - cop_2 and Zone Table 3 rh_min_date</t>
  </si>
  <si>
    <t>Annual Hourly Integrated Maxima - cop_2 and Zone Table 3 rh_min_relative_humidity</t>
  </si>
  <si>
    <t>Annual Hourly Integrated Maxima - cop_2 and Zone Table 3 rh_max_hr</t>
  </si>
  <si>
    <t>Annual Hourly Integrated Maxima - cop_2 and Zone Table 3 rh_max_date</t>
  </si>
  <si>
    <t>Annual Hourly Integrated Maxima - cop_2 and Zone Table 3 rh_max_relative_humidity</t>
  </si>
  <si>
    <t>Annual Hourly Integrated Maxima - cop_2 and Zone Table 3 hr_min_hr</t>
  </si>
  <si>
    <t>Annual Hourly Integrated Maxima - cop_2 and Zone Table 3 hr_min_date</t>
  </si>
  <si>
    <t>Annual Hourly Integrated Maxima - cop_2 and Zone Table 3 hr_min_humidity_ratio</t>
  </si>
  <si>
    <t>Annual Hourly Integrated Maxima - cop_2 and Zone Table 3 hr_max_hr</t>
  </si>
  <si>
    <t>Annual Hourly Integrated Maxima - cop_2 and Zone Table 3 hr_max_date</t>
  </si>
  <si>
    <t>Annual Hourly Integrated Maxima - cop_2 and Zone Table 3 hr_max_humidity_ratio</t>
  </si>
  <si>
    <t>Annual Hourly Integrated Maxima - cop_2 and Zone Table 3 idb_min_hr</t>
  </si>
  <si>
    <t>Annual Hourly Integrated Maxima - cop_2 and Zone Table 3 idb_min_date</t>
  </si>
  <si>
    <t>Annual Hourly Integrated Maxima - cop_2 and Zone Table 3 idb_min_idb</t>
  </si>
  <si>
    <t>Annual Hourly Integrated Maxima - cop_2 and Zone Table 3 idb_max_hr</t>
  </si>
  <si>
    <t>Annual Hourly Integrated Maxima - cop_2 and Zone Table 3 idb_max_date</t>
  </si>
  <si>
    <t>Annual Hourly Integrated Maxima - cop_2 and Zone Table 3 idb_max_idb</t>
  </si>
  <si>
    <t>Annual Hourly Integrated Maxima - cop_2 and Zone Table 3 cop_2_min_hr</t>
  </si>
  <si>
    <t>Annual Hourly Integrated Maxima - cop_2 and Zone Table 3 cop_2_min_date</t>
  </si>
  <si>
    <t>Annual Hourly Integrated Maxima - cop_2 and Zone Table 3 cop_2_min_cop_2</t>
  </si>
  <si>
    <t>Annual Hourly Integrated Maxima - cop_2 and Zone Table 3 cop_2_max_hr</t>
  </si>
  <si>
    <t>Annual Hourly Integrated Maxima - cop_2 and Zone Table 3 cop_2_max_date</t>
  </si>
  <si>
    <t>Annual Hourly Integrated Maxima - cop_2 and Zone Table 3 cop_2_max_cop_2</t>
  </si>
  <si>
    <t>Annual Hourly Integrated Maxima - cop_2 and Zone Table 2 rh_min_hr</t>
  </si>
  <si>
    <t>Annual Hourly Integrated Maxima - cop_2 and Zone Table 2 rh_min_date</t>
  </si>
  <si>
    <t>Annual Hourly Integrated Maxima - cop_2 and Zone Table 2 rh_min_relative_humidity</t>
  </si>
  <si>
    <t>Annual Hourly Integrated Maxima - cop_2 and Zone Table 2 rh_max_hr</t>
  </si>
  <si>
    <t>Annual Hourly Integrated Maxima - cop_2 and Zone Table 2 rh_max_date</t>
  </si>
  <si>
    <t>Annual Hourly Integrated Maxima - cop_2 and Zone Table 2 rh_max_relative_humidity</t>
  </si>
  <si>
    <t>Annual Hourly Integrated Maxima - cop_2 and Zone Table 2 hr_min_hr</t>
  </si>
  <si>
    <t>Annual Hourly Integrated Maxima - cop_2 and Zone Table 2 hr_min_date</t>
  </si>
  <si>
    <t>Annual Hourly Integrated Maxima - cop_2 and Zone Table 2 hr_min_humidity_ratio</t>
  </si>
  <si>
    <t>Annual Hourly Integrated Maxima - cop_2 and Zone Table 2 hr_max_hr</t>
  </si>
  <si>
    <t>Annual Hourly Integrated Maxima - cop_2 and Zone Table 2 hr_max_date</t>
  </si>
  <si>
    <t>Annual Hourly Integrated Maxima - cop_2 and Zone Table 2 hr_max_humidity_ratio</t>
  </si>
  <si>
    <t>Annual Hourly Integrated Maxima - cop_2 and Zone Table 2 idb_min_hr</t>
  </si>
  <si>
    <t>Annual Hourly Integrated Maxima - cop_2 and Zone Table 2 idb_min_date</t>
  </si>
  <si>
    <t>Annual Hourly Integrated Maxima - cop_2 and Zone Table 2 idb_min_idb</t>
  </si>
  <si>
    <t>Annual Hourly Integrated Maxima - cop_2 and Zone Table 2 idb_max_hr</t>
  </si>
  <si>
    <t>Annual Hourly Integrated Maxima - cop_2 and Zone Table 2 idb_max_date</t>
  </si>
  <si>
    <t>Annual Hourly Integrated Maxima - cop_2 and Zone Table 2 idb_max_idb</t>
  </si>
  <si>
    <t>Annual Hourly Integrated Maxima - cop_2 and Zone Table 2 cop_2_min_hr</t>
  </si>
  <si>
    <t>Annual Hourly Integrated Maxima - cop_2 and Zone Table 2 cop_2_min_date</t>
  </si>
  <si>
    <t>Annual Hourly Integrated Maxima - cop_2 and Zone Table 2 cop_2_min_cop_2</t>
  </si>
  <si>
    <t>Annual Hourly Integrated Maxima - cop_2 and Zone Table 2 cop_2_max_hr</t>
  </si>
  <si>
    <t>Annual Hourly Integrated Maxima - cop_2 and Zone Table 2 cop_2_max_date</t>
  </si>
  <si>
    <t>Annual Hourly Integrated Maxima - cop_2 and Zone Table 2 cop_2_max_cop_2</t>
  </si>
  <si>
    <t>Annual Hourly Integrated Maxima - cop_2 and Zone Table 1 rh_min_hr</t>
  </si>
  <si>
    <t>Annual Hourly Integrated Maxima - cop_2 and Zone Table 1 rh_min_date</t>
  </si>
  <si>
    <t>Annual Hourly Integrated Maxima - cop_2 and Zone Table 1 rh_min_relative_humidity</t>
  </si>
  <si>
    <t>Annual Hourly Integrated Maxima - cop_2 and Zone Table 1 rh_max_hr</t>
  </si>
  <si>
    <t>Annual Hourly Integrated Maxima - cop_2 and Zone Table 1 rh_max_date</t>
  </si>
  <si>
    <t>Annual Hourly Integrated Maxima - cop_2 and Zone Table 1 rh_max_relative_humidity</t>
  </si>
  <si>
    <t>Annual Hourly Integrated Maxima - cop_2 and Zone Table 1 hr_min_hr</t>
  </si>
  <si>
    <t>Annual Hourly Integrated Maxima - cop_2 and Zone Table 1 hr_min_date</t>
  </si>
  <si>
    <t>Annual Hourly Integrated Maxima - cop_2 and Zone Table 1 hr_min_humidity_ratio</t>
  </si>
  <si>
    <t>Annual Hourly Integrated Maxima - cop_2 and Zone Table 1 hr_max_hr</t>
  </si>
  <si>
    <t>Annual Hourly Integrated Maxima - cop_2 and Zone Table 1 hr_max_date</t>
  </si>
  <si>
    <t>Annual Hourly Integrated Maxima - cop_2 and Zone Table 1 hr_max_humidity_ratio</t>
  </si>
  <si>
    <t>Annual Hourly Integrated Maxima - cop_2 and Zone Table 1 idb_min_hr</t>
  </si>
  <si>
    <t>Annual Hourly Integrated Maxima - cop_2 and Zone Table 1 idb_min_date</t>
  </si>
  <si>
    <t>Annual Hourly Integrated Maxima - cop_2 and Zone Table 1 idb_min_idb</t>
  </si>
  <si>
    <t>Annual Hourly Integrated Maxima - cop_2 and Zone Table 1 idb_max_hr</t>
  </si>
  <si>
    <t>Annual Hourly Integrated Maxima - cop_2 and Zone Table 1 idb_max_date</t>
  </si>
  <si>
    <t>Annual Hourly Integrated Maxima - cop_2 and Zone Table 1 idb_max_idb</t>
  </si>
  <si>
    <t>Annual Hourly Integrated Maxima - cop_2 and Zone Table 1 cop_2_min_hr</t>
  </si>
  <si>
    <t>Annual Hourly Integrated Maxima - cop_2 and Zone Table 1 cop_2_min_date</t>
  </si>
  <si>
    <t>Annual Hourly Integrated Maxima - cop_2 and Zone Table 1 cop_2_min_cop_2</t>
  </si>
  <si>
    <t>Annual Hourly Integrated Maxima - cop_2 and Zone Table 1 cop_2_max_hr</t>
  </si>
  <si>
    <t>Annual Hourly Integrated Maxima - cop_2 and Zone Table 1 cop_2_max_date</t>
  </si>
  <si>
    <t>Annual Hourly Integrated Maxima - cop_2 and Zone Table 1 cop_2_max_cop_2</t>
  </si>
  <si>
    <t>CE540 evap_coil_load_sensible_and_latent_hr</t>
  </si>
  <si>
    <t>CE540 evap_coil_load_sensible_and_latent_date</t>
  </si>
  <si>
    <t>CE540 evap_coil_load_sensible_and_latent_wh</t>
  </si>
  <si>
    <t>CE540 evap_coil_load_latent_hr</t>
  </si>
  <si>
    <t>CE540 evap_coil_load_latent_date</t>
  </si>
  <si>
    <t>CE540 evap_coil_load_latent_wh</t>
  </si>
  <si>
    <t>CE540 evap_coil_load_sensible_hr</t>
  </si>
  <si>
    <t>CE540 evap_coil_load_sensible_date</t>
  </si>
  <si>
    <t>CE540 evap_coil_load_sensible_wh</t>
  </si>
  <si>
    <t>CE540 energy_consumption_comp_both_fans_hr</t>
  </si>
  <si>
    <t>CE540 energy_consumption_comp_both_fans_date</t>
  </si>
  <si>
    <t>CE540 energy_consumption_comp_both_fans_wh</t>
  </si>
  <si>
    <t>CE530 evap_coil_load_sensible_and_latent_hr</t>
  </si>
  <si>
    <t>CE530 evap_coil_load_sensible_and_latent_date</t>
  </si>
  <si>
    <t>CE530 evap_coil_load_sensible_and_latent_wh</t>
  </si>
  <si>
    <t>CE530 evap_coil_load_latent_hr</t>
  </si>
  <si>
    <t>CE530 evap_coil_load_latent_date</t>
  </si>
  <si>
    <t>CE530 evap_coil_load_latent_wh</t>
  </si>
  <si>
    <t>CE530 evap_coil_load_sensible_hr</t>
  </si>
  <si>
    <t>CE530 evap_coil_load_sensible_date</t>
  </si>
  <si>
    <t>CE530 evap_coil_load_sensible_wh</t>
  </si>
  <si>
    <t>CE530 energy_consumption_comp_both_fans_hr</t>
  </si>
  <si>
    <t>CE530 energy_consumption_comp_both_fans_date</t>
  </si>
  <si>
    <t>CE530 energy_consumption_comp_both_fans_wh</t>
  </si>
  <si>
    <t>CE525 evap_coil_load_sensible_and_latent_hr</t>
  </si>
  <si>
    <t>CE525 evap_coil_load_sensible_and_latent_date</t>
  </si>
  <si>
    <t>CE525 evap_coil_load_sensible_and_latent_wh</t>
  </si>
  <si>
    <t>CE525 evap_coil_load_latent_hr</t>
  </si>
  <si>
    <t>CE525 evap_coil_load_latent_date</t>
  </si>
  <si>
    <t>CE525 evap_coil_load_latent_wh</t>
  </si>
  <si>
    <t>CE525 evap_coil_load_sensible_hr</t>
  </si>
  <si>
    <t>CE525 evap_coil_load_sensible_date</t>
  </si>
  <si>
    <t>CE525 evap_coil_load_sensible_wh</t>
  </si>
  <si>
    <t>CE525 energy_consumption_comp_both_fans_hr</t>
  </si>
  <si>
    <t>CE525 energy_consumption_comp_both_fans_date</t>
  </si>
  <si>
    <t>CE525 energy_consumption_comp_both_fans_wh</t>
  </si>
  <si>
    <t>CE522 evap_coil_load_sensible_and_latent_hr</t>
  </si>
  <si>
    <t>CE522 evap_coil_load_sensible_and_latent_date</t>
  </si>
  <si>
    <t>CE522 evap_coil_load_sensible_and_latent_wh</t>
  </si>
  <si>
    <t>CE522 evap_coil_load_latent_hr</t>
  </si>
  <si>
    <t>CE522 evap_coil_load_latent_date</t>
  </si>
  <si>
    <t>CE522 evap_coil_load_latent_wh</t>
  </si>
  <si>
    <t>CE522 evap_coil_load_sensible_hr</t>
  </si>
  <si>
    <t>CE522 evap_coil_load_sensible_date</t>
  </si>
  <si>
    <t>CE522 evap_coil_load_sensible_wh</t>
  </si>
  <si>
    <t>CE522 energy_consumption_comp_both_fans_hr</t>
  </si>
  <si>
    <t>CE522 energy_consumption_comp_both_fans_date</t>
  </si>
  <si>
    <t>CE522 energy_consumption_comp_both_fans_wh</t>
  </si>
  <si>
    <t>CE520 evap_coil_load_sensible_and_latent_hr</t>
  </si>
  <si>
    <t>CE520 evap_coil_load_sensible_and_latent_date</t>
  </si>
  <si>
    <t>CE520 evap_coil_load_sensible_and_latent_wh</t>
  </si>
  <si>
    <t>CE520 evap_coil_load_latent_hr</t>
  </si>
  <si>
    <t>CE520 evap_coil_load_latent_date</t>
  </si>
  <si>
    <t>CE520 evap_coil_load_latent_wh</t>
  </si>
  <si>
    <t>CE520 evap_coil_load_sensible_hr</t>
  </si>
  <si>
    <t>CE520 evap_coil_load_sensible_date</t>
  </si>
  <si>
    <t>CE520 evap_coil_load_sensible_wh</t>
  </si>
  <si>
    <t>CE520 energy_consumption_comp_both_fans_hr</t>
  </si>
  <si>
    <t>CE520 energy_consumption_comp_both_fans_date</t>
  </si>
  <si>
    <t>CE520 energy_consumption_comp_both_fans_wh</t>
  </si>
  <si>
    <t>CE510 May-Sep evap_coil_load_sensible_and_latent_hr</t>
  </si>
  <si>
    <t>CE510 May-Sep evap_coil_load_sensible_and_latent_date</t>
  </si>
  <si>
    <t>CE510 May-Sep evap_coil_load_sensible_and_latent_wh</t>
  </si>
  <si>
    <t>CE510 May-Sep evap_coil_load_latent_hr</t>
  </si>
  <si>
    <t>CE510 May-Sep evap_coil_load_latent_date</t>
  </si>
  <si>
    <t>CE510 May-Sep evap_coil_load_latent_wh</t>
  </si>
  <si>
    <t>CE510 May-Sep evap_coil_load_sensible_hr</t>
  </si>
  <si>
    <t>CE510 May-Sep evap_coil_load_sensible_date</t>
  </si>
  <si>
    <t>CE510 May-Sep evap_coil_load_sensible_wh</t>
  </si>
  <si>
    <t>CE510 May-Sep energy_consumption_comp_both_fans_hr</t>
  </si>
  <si>
    <t>CE510 May-Sep energy_consumption_comp_both_fans_date</t>
  </si>
  <si>
    <t>CE510 May-Sep energy_consumption_comp_both_fans_wh</t>
  </si>
  <si>
    <t>CE500 May-Sep evap_coil_load_sensible_and_latent_hr</t>
  </si>
  <si>
    <t>CE500 May-Sep evap_coil_load_sensible_and_latent_date</t>
  </si>
  <si>
    <t>CE500 May-Sep evap_coil_load_sensible_and_latent_wh</t>
  </si>
  <si>
    <t>CE500 May-Sep evap_coil_load_latent_hr</t>
  </si>
  <si>
    <t>CE500 May-Sep evap_coil_load_latent_date</t>
  </si>
  <si>
    <t>CE500 May-Sep evap_coil_load_latent_wh</t>
  </si>
  <si>
    <t>CE500 May-Sep evap_coil_load_sensible_hr</t>
  </si>
  <si>
    <t>CE500 May-Sep evap_coil_load_sensible_date</t>
  </si>
  <si>
    <t>CE500 May-Sep evap_coil_load_sensible_wh</t>
  </si>
  <si>
    <t>CE500 May-Sep energy_consumption_comp_both_fans_hr</t>
  </si>
  <si>
    <t>CE500 May-Sep energy_consumption_comp_both_fans_date</t>
  </si>
  <si>
    <t>CE500 May-Sep energy_consumption_comp_both_fans_wh</t>
  </si>
  <si>
    <t>CE500 evap_coil_load_sensible_and_latent_hr</t>
  </si>
  <si>
    <t>CE500 evap_coil_load_sensible_and_latent_date</t>
  </si>
  <si>
    <t>CE500 evap_coil_load_sensible_and_latent_wh</t>
  </si>
  <si>
    <t>CE500 evap_coil_load_latent_hr</t>
  </si>
  <si>
    <t>CE500 evap_coil_load_latent_date</t>
  </si>
  <si>
    <t>CE500 evap_coil_load_latent_wh</t>
  </si>
  <si>
    <t>CE500 evap_coil_load_sensible_hr</t>
  </si>
  <si>
    <t>CE500 evap_coil_load_sensible_date</t>
  </si>
  <si>
    <t>CE500 evap_coil_load_sensible_wh</t>
  </si>
  <si>
    <t>CE500 energy_consumption_comp_both_fans_hr</t>
  </si>
  <si>
    <t>CE500 energy_consumption_comp_both_fans_date</t>
  </si>
  <si>
    <t>CE500 energy_consumption_comp_both_fans_wh</t>
  </si>
  <si>
    <t>CE440 evap_coil_load_sensible_and_latent_hr</t>
  </si>
  <si>
    <t>CE440 evap_coil_load_sensible_and_latent_date</t>
  </si>
  <si>
    <t>CE440 evap_coil_load_sensible_and_latent_wh</t>
  </si>
  <si>
    <t>CE440 evap_coil_load_latent_hr</t>
  </si>
  <si>
    <t>CE440 evap_coil_load_latent_date</t>
  </si>
  <si>
    <t>CE440 evap_coil_load_latent_wh</t>
  </si>
  <si>
    <t>CE440 evap_coil_load_sensible_hr</t>
  </si>
  <si>
    <t>CE440 evap_coil_load_sensible_date</t>
  </si>
  <si>
    <t>CE440 evap_coil_load_sensible_wh</t>
  </si>
  <si>
    <t>CE440 energy_consumption_comp_both_fans_hr</t>
  </si>
  <si>
    <t>CE440 energy_consumption_comp_both_fans_date</t>
  </si>
  <si>
    <t>CE440 energy_consumption_comp_both_fans_wh</t>
  </si>
  <si>
    <t>CE430 evap_coil_load_sensible_and_latent_hr</t>
  </si>
  <si>
    <t>CE430 evap_coil_load_sensible_and_latent_date</t>
  </si>
  <si>
    <t>CE430 evap_coil_load_sensible_and_latent_wh</t>
  </si>
  <si>
    <t>CE430 evap_coil_load_latent_hr</t>
  </si>
  <si>
    <t>CE430 evap_coil_load_latent_date</t>
  </si>
  <si>
    <t>CE430 evap_coil_load_latent_wh</t>
  </si>
  <si>
    <t>CE430 evap_coil_load_sensible_hr</t>
  </si>
  <si>
    <t>CE430 evap_coil_load_sensible_date</t>
  </si>
  <si>
    <t>CE430 evap_coil_load_sensible_wh</t>
  </si>
  <si>
    <t>CE430 energy_consumption_comp_both_fans_hr</t>
  </si>
  <si>
    <t>CE430 energy_consumption_comp_both_fans_date</t>
  </si>
  <si>
    <t>CE430 energy_consumption_comp_both_fans_wh</t>
  </si>
  <si>
    <t>CE420 evap_coil_load_sensible_and_latent_hr</t>
  </si>
  <si>
    <t>CE420 evap_coil_load_sensible_and_latent_date</t>
  </si>
  <si>
    <t>CE420 evap_coil_load_sensible_and_latent_wh</t>
  </si>
  <si>
    <t>CE420 evap_coil_load_latent_hr</t>
  </si>
  <si>
    <t>CE420 evap_coil_load_latent_date</t>
  </si>
  <si>
    <t>CE420 evap_coil_load_latent_wh</t>
  </si>
  <si>
    <t>CE420 evap_coil_load_sensible_hr</t>
  </si>
  <si>
    <t>CE420 evap_coil_load_sensible_date</t>
  </si>
  <si>
    <t>CE420 evap_coil_load_sensible_wh</t>
  </si>
  <si>
    <t>CE420 energy_consumption_comp_both_fans_hr</t>
  </si>
  <si>
    <t>CE420 energy_consumption_comp_both_fans_date</t>
  </si>
  <si>
    <t>CE420 energy_consumption_comp_both_fans_wh</t>
  </si>
  <si>
    <t>CE410 evap_coil_load_sensible_and_latent_hr</t>
  </si>
  <si>
    <t>CE410 evap_coil_load_sensible_and_latent_date</t>
  </si>
  <si>
    <t>CE410 evap_coil_load_sensible_and_latent_wh</t>
  </si>
  <si>
    <t>CE410 evap_coil_load_latent_hr</t>
  </si>
  <si>
    <t>CE410 evap_coil_load_latent_date</t>
  </si>
  <si>
    <t>CE410 evap_coil_load_latent_wh</t>
  </si>
  <si>
    <t>CE410 evap_coil_load_sensible_hr</t>
  </si>
  <si>
    <t>CE410 evap_coil_load_sensible_date</t>
  </si>
  <si>
    <t>CE410 evap_coil_load_sensible_wh</t>
  </si>
  <si>
    <t>CE410 energy_consumption_comp_both_fans_hr</t>
  </si>
  <si>
    <t>CE410 energy_consumption_comp_both_fans_date</t>
  </si>
  <si>
    <t>CE410 energy_consumption_comp_both_fans_wh</t>
  </si>
  <si>
    <t>CE400 evap_coil_load_sensible_and_latent_hr</t>
  </si>
  <si>
    <t>CE400 evap_coil_load_sensible_and_latent_date</t>
  </si>
  <si>
    <t>CE400 evap_coil_load_sensible_and_latent_wh</t>
  </si>
  <si>
    <t>CE400 evap_coil_load_latent_hr</t>
  </si>
  <si>
    <t>CE400 evap_coil_load_latent_date</t>
  </si>
  <si>
    <t>CE400 evap_coil_load_latent_wh</t>
  </si>
  <si>
    <t>CE400 evap_coil_load_sensible_hr</t>
  </si>
  <si>
    <t>CE400 evap_coil_load_sensible_date</t>
  </si>
  <si>
    <t>CE400 evap_coil_load_sensible_wh</t>
  </si>
  <si>
    <t>CE400 energy_consumption_comp_both_fans_hr</t>
  </si>
  <si>
    <t>CE400 energy_consumption_comp_both_fans_date</t>
  </si>
  <si>
    <t>CE400 energy_consumption_comp_both_fans_wh</t>
  </si>
  <si>
    <t>CE360 evap_coil_load_sensible_and_latent_hr</t>
  </si>
  <si>
    <t>CE360 evap_coil_load_sensible_and_latent_date</t>
  </si>
  <si>
    <t>CE360 evap_coil_load_sensible_and_latent_wh</t>
  </si>
  <si>
    <t>CE360 evap_coil_load_latent_hr</t>
  </si>
  <si>
    <t>CE360 evap_coil_load_latent_date</t>
  </si>
  <si>
    <t>CE360 evap_coil_load_latent_wh</t>
  </si>
  <si>
    <t>CE360 evap_coil_load_sensible_hr</t>
  </si>
  <si>
    <t>CE360 evap_coil_load_sensible_date</t>
  </si>
  <si>
    <t>CE360 evap_coil_load_sensible_wh</t>
  </si>
  <si>
    <t>CE360 energy_consumption_comp_both_fans_hr</t>
  </si>
  <si>
    <t>CE360 energy_consumption_comp_both_fans_date</t>
  </si>
  <si>
    <t>CE360 energy_consumption_comp_both_fans_wh</t>
  </si>
  <si>
    <t>CE350 evap_coil_load_sensible_and_latent_hr</t>
  </si>
  <si>
    <t>CE350 evap_coil_load_sensible_and_latent_date</t>
  </si>
  <si>
    <t>CE350 evap_coil_load_sensible_and_latent_wh</t>
  </si>
  <si>
    <t>CE350 evap_coil_load_latent_hr</t>
  </si>
  <si>
    <t>CE350 evap_coil_load_latent_date</t>
  </si>
  <si>
    <t>CE350 evap_coil_load_latent_wh</t>
  </si>
  <si>
    <t>CE350 evap_coil_load_sensible_hr</t>
  </si>
  <si>
    <t>CE350 evap_coil_load_sensible_date</t>
  </si>
  <si>
    <t>CE350 evap_coil_load_sensible_wh</t>
  </si>
  <si>
    <t>CE350 energy_consumption_comp_both_fans_hr</t>
  </si>
  <si>
    <t>CE350 energy_consumption_comp_both_fans_date</t>
  </si>
  <si>
    <t>CE350 energy_consumption_comp_both_fans_wh</t>
  </si>
  <si>
    <t>CE340 evap_coil_load_sensible_and_latent_hr</t>
  </si>
  <si>
    <t>CE340 evap_coil_load_sensible_and_latent_date</t>
  </si>
  <si>
    <t>CE340 evap_coil_load_sensible_and_latent_wh</t>
  </si>
  <si>
    <t>CE340 evap_coil_load_latent_hr</t>
  </si>
  <si>
    <t>CE340 evap_coil_load_latent_date</t>
  </si>
  <si>
    <t>CE340 evap_coil_load_latent_wh</t>
  </si>
  <si>
    <t>CE340 evap_coil_load_sensible_hr</t>
  </si>
  <si>
    <t>CE340 evap_coil_load_sensible_date</t>
  </si>
  <si>
    <t>CE340 evap_coil_load_sensible_wh</t>
  </si>
  <si>
    <t>CE340 energy_consumption_comp_both_fans_hr</t>
  </si>
  <si>
    <t>CE340 energy_consumption_comp_both_fans_date</t>
  </si>
  <si>
    <t>CE340 energy_consumption_comp_both_fans_wh</t>
  </si>
  <si>
    <t>CE330 evap_coil_load_sensible_and_latent_hr</t>
  </si>
  <si>
    <t>CE330 evap_coil_load_sensible_and_latent_date</t>
  </si>
  <si>
    <t>CE330 evap_coil_load_sensible_and_latent_wh</t>
  </si>
  <si>
    <t>CE330 evap_coil_load_latent_hr</t>
  </si>
  <si>
    <t>CE330 evap_coil_load_latent_date</t>
  </si>
  <si>
    <t>CE330 evap_coil_load_latent_wh</t>
  </si>
  <si>
    <t>CE330 evap_coil_load_sensible_hr</t>
  </si>
  <si>
    <t>CE330 evap_coil_load_sensible_date</t>
  </si>
  <si>
    <t>CE330 evap_coil_load_sensible_wh</t>
  </si>
  <si>
    <t>CE330 energy_consumption_comp_both_fans_hr</t>
  </si>
  <si>
    <t>CE330 energy_consumption_comp_both_fans_date</t>
  </si>
  <si>
    <t>CE330 energy_consumption_comp_both_fans_wh</t>
  </si>
  <si>
    <t>CE320 evap_coil_load_sensible_and_latent_hr</t>
  </si>
  <si>
    <t>CE320 evap_coil_load_sensible_and_latent_date</t>
  </si>
  <si>
    <t>CE320 evap_coil_load_sensible_and_latent_wh</t>
  </si>
  <si>
    <t>CE320 evap_coil_load_latent_hr</t>
  </si>
  <si>
    <t>CE320 evap_coil_load_latent_date</t>
  </si>
  <si>
    <t>CE320 evap_coil_load_latent_wh</t>
  </si>
  <si>
    <t>CE320 evap_coil_load_sensible_hr</t>
  </si>
  <si>
    <t>CE320 evap_coil_load_sensible_date</t>
  </si>
  <si>
    <t>CE320 evap_coil_load_sensible_wh</t>
  </si>
  <si>
    <t>CE320 energy_consumption_comp_both_fans_hr</t>
  </si>
  <si>
    <t>CE320 energy_consumption_comp_both_fans_date</t>
  </si>
  <si>
    <t>CE320 energy_consumption_comp_both_fans_wh</t>
  </si>
  <si>
    <t>CE310 evap_coil_load_sensible_and_latent_hr</t>
  </si>
  <si>
    <t>CE310 evap_coil_load_sensible_and_latent_date</t>
  </si>
  <si>
    <t>CE310 evap_coil_load_sensible_and_latent_wh</t>
  </si>
  <si>
    <t>CE310 evap_coil_load_latent_hr</t>
  </si>
  <si>
    <t>CE310 evap_coil_load_latent_date</t>
  </si>
  <si>
    <t>CE310 evap_coil_load_latent_wh</t>
  </si>
  <si>
    <t>CE310 evap_coil_load_sensible_hr</t>
  </si>
  <si>
    <t>CE310 evap_coil_load_sensible_date</t>
  </si>
  <si>
    <t>CE310 evap_coil_load_sensible_wh</t>
  </si>
  <si>
    <t>CE310 energy_consumption_comp_both_fans_hr</t>
  </si>
  <si>
    <t>CE310 energy_consumption_comp_both_fans_date</t>
  </si>
  <si>
    <t>CE310 energy_consumption_comp_both_fans_wh</t>
  </si>
  <si>
    <t>CE300 CE300 weather_outdoor_humidity_ratio_hr</t>
  </si>
  <si>
    <t>CE300 CE300 weather_outdoor_humidity_ratio_date</t>
  </si>
  <si>
    <t>CE300 CE300 weather_outdoor_humidity_ratio_c</t>
  </si>
  <si>
    <t>CE300 CE300 weather_odb_hr</t>
  </si>
  <si>
    <t>CE300 CE300 weather_odb_date</t>
  </si>
  <si>
    <t>CE300 CE300 weather_odb_c</t>
  </si>
  <si>
    <t>CE300 evap_coil_load_sensible_and_latent_hr</t>
  </si>
  <si>
    <t>CE300 evap_coil_load_sensible_and_latent_date</t>
  </si>
  <si>
    <t>CE300 evap_coil_load_sensible_and_latent_wh</t>
  </si>
  <si>
    <t>CE300 evap_coil_load_latent_hr</t>
  </si>
  <si>
    <t>CE300 evap_coil_load_latent_date</t>
  </si>
  <si>
    <t>CE300 evap_coil_load_latent_wh</t>
  </si>
  <si>
    <t>CE300 evap_coil_load_sensible_hr</t>
  </si>
  <si>
    <t>CE300 evap_coil_load_sensible_date</t>
  </si>
  <si>
    <t>CE300 evap_coil_load_sensible_wh</t>
  </si>
  <si>
    <t>CE300 energy_consumption_comp_both_fans_hr</t>
  </si>
  <si>
    <t>CE300 energy_consumption_comp_both_fans_date</t>
  </si>
  <si>
    <t>CE300 energy_consumption_comp_both_fans_wh</t>
  </si>
  <si>
    <t>CE510 May-Sep may_sept_mean_zone_relative_humidity</t>
  </si>
  <si>
    <t>CE510 May-Sep may_sept_mean_zone_humidity_ratio</t>
  </si>
  <si>
    <t>CE510 May-Sep may_sept_mean_idb</t>
  </si>
  <si>
    <t>CE510 May-Sep may_sept_mean_cop_2</t>
  </si>
  <si>
    <t>CE510 May-Sep may_sept_sum_evap_coil_load_latent</t>
  </si>
  <si>
    <t>CE510 May-Sep may_sept_sum_evap_coil_load_sensible</t>
  </si>
  <si>
    <t>CE510 May-Sep may_sept_sum_evap_coil_load_total</t>
  </si>
  <si>
    <t>CE510 May-Sep may_sept_sum_clg_consumption_indoor_fan</t>
  </si>
  <si>
    <t>CE510 May-Sep may_sept_sum_clg_consumption_total</t>
  </si>
  <si>
    <t>CE500 May-Sep may_sept_mean_zone_relative_humidity</t>
  </si>
  <si>
    <t>CE500 May-Sep may_sept_mean_zone_humidity_ratio</t>
  </si>
  <si>
    <t>CE500 May-Sep may_sept_mean_idb</t>
  </si>
  <si>
    <t>CE500 May-Sep may_sept_mean_cop_2</t>
  </si>
  <si>
    <t>CE500 May-Sep may_sept_sum_evap_coil_load_latent</t>
  </si>
  <si>
    <t>CE500 May-Sep may_sept_sum_evap_coil_load_sensible</t>
  </si>
  <si>
    <t>CE500 May-Sep may_sept_sum_evap_coil_load_total</t>
  </si>
  <si>
    <t>CE500 May-Sep may_sept_sum_clg_consumption_indoor_fan</t>
  </si>
  <si>
    <t>CE500 May-Sep may_sept_sum_clg_consumption_total</t>
  </si>
  <si>
    <t>CE545 ann_mean_zone_relative_humidity</t>
  </si>
  <si>
    <t>CE545 ann_mean_zone_humidity_ratio</t>
  </si>
  <si>
    <t>CE545 ann_mean_idb</t>
  </si>
  <si>
    <t>CE545 ann_mean_cop_2</t>
  </si>
  <si>
    <t>CE545 ann_sum_evap_coil_load_latent</t>
  </si>
  <si>
    <t>CE545 ann_sum_evap_coil_load_sensible</t>
  </si>
  <si>
    <t>CE545 ann_sum_evap_coil_load_total</t>
  </si>
  <si>
    <t>CE545 ann_sum_clg_energy_consumption_supply_fan</t>
  </si>
  <si>
    <t>CE545 ann_sum_clg_energy_consumption_total</t>
  </si>
  <si>
    <t>CE540 ann_mean_zone_relative_humidity</t>
  </si>
  <si>
    <t>CE540 ann_mean_zone_humidity_ratio</t>
  </si>
  <si>
    <t>CE540 ann_mean_idb</t>
  </si>
  <si>
    <t>CE540 ann_mean_cop_2</t>
  </si>
  <si>
    <t>CE540 ann_sum_evap_coil_load_latent</t>
  </si>
  <si>
    <t>CE540 ann_sum_evap_coil_load_sensible</t>
  </si>
  <si>
    <t>CE540 ann_sum_evap_coil_load_total</t>
  </si>
  <si>
    <t>CE540 ann_sum_clg_energy_consumption_supply_fan</t>
  </si>
  <si>
    <t>CE540 ann_sum_clg_energy_consumption_total</t>
  </si>
  <si>
    <t>CE530 ann_mean_zone_relative_humidity</t>
  </si>
  <si>
    <t>CE530 ann_mean_zone_humidity_ratio</t>
  </si>
  <si>
    <t>CE530 ann_mean_idb</t>
  </si>
  <si>
    <t>CE530 ann_mean_cop_2</t>
  </si>
  <si>
    <t>CE530 ann_sum_evap_coil_load_latent</t>
  </si>
  <si>
    <t>CE530 ann_sum_evap_coil_load_sensible</t>
  </si>
  <si>
    <t>CE530 ann_sum_evap_coil_load_total</t>
  </si>
  <si>
    <t>CE530 ann_sum_clg_energy_consumption_supply_fan</t>
  </si>
  <si>
    <t>CE530 ann_sum_clg_energy_consumption_total</t>
  </si>
  <si>
    <t>CE525 ann_mean_zone_relative_humidity</t>
  </si>
  <si>
    <t>CE525 ann_mean_zone_humidity_ratio</t>
  </si>
  <si>
    <t>CE525 ann_mean_idb</t>
  </si>
  <si>
    <t>CE525 ann_mean_cop_2</t>
  </si>
  <si>
    <t>CE525 ann_sum_evap_coil_load_latent</t>
  </si>
  <si>
    <t>CE525 ann_sum_evap_coil_load_sensible</t>
  </si>
  <si>
    <t>CE525 ann_sum_evap_coil_load_total</t>
  </si>
  <si>
    <t>CE525 ann_sum_clg_energy_consumption_supply_fan</t>
  </si>
  <si>
    <t>CE525 ann_sum_clg_energy_consumption_total</t>
  </si>
  <si>
    <t>CE522 ann_mean_zone_relative_humidity</t>
  </si>
  <si>
    <t>CE522 ann_mean_zone_humidity_ratio</t>
  </si>
  <si>
    <t>CE522 ann_mean_idb</t>
  </si>
  <si>
    <t>CE522 ann_mean_cop_2</t>
  </si>
  <si>
    <t>CE522 ann_sum_evap_coil_load_latent</t>
  </si>
  <si>
    <t>CE522 ann_sum_evap_coil_load_sensible</t>
  </si>
  <si>
    <t>CE522 ann_sum_evap_coil_load_total</t>
  </si>
  <si>
    <t>CE522 ann_sum_clg_energy_consumption_supply_fan</t>
  </si>
  <si>
    <t>CE522 ann_sum_clg_energy_consumption_total</t>
  </si>
  <si>
    <t>CE520 ann_mean_zone_relative_humidity</t>
  </si>
  <si>
    <t>CE520 ann_mean_zone_humidity_ratio</t>
  </si>
  <si>
    <t>CE520 ann_mean_idb</t>
  </si>
  <si>
    <t>CE520 ann_mean_cop_2</t>
  </si>
  <si>
    <t>CE520 ann_sum_evap_coil_load_latent</t>
  </si>
  <si>
    <t>CE520 ann_sum_evap_coil_load_sensible</t>
  </si>
  <si>
    <t>CE520 ann_sum_evap_coil_load_total</t>
  </si>
  <si>
    <t>CE520 ann_sum_clg_energy_consumption_supply_fan</t>
  </si>
  <si>
    <t>CE520 ann_sum_clg_energy_consumption_total</t>
  </si>
  <si>
    <t>CE500 ann_mean_zone_relative_humidity</t>
  </si>
  <si>
    <t>CE500 ann_mean_zone_humidity_ratio</t>
  </si>
  <si>
    <t>CE500 ann_mean_idb</t>
  </si>
  <si>
    <t>CE500 ann_mean_cop_2</t>
  </si>
  <si>
    <t>CE500 ann_sum_evap_coil_load_latent</t>
  </si>
  <si>
    <t>CE500 ann_sum_evap_coil_load_sensible</t>
  </si>
  <si>
    <t>CE500 ann_sum_evap_coil_load_total</t>
  </si>
  <si>
    <t>CE500 ann_sum_clg_energy_consumption_supply_fan</t>
  </si>
  <si>
    <t>CE500 ann_sum_clg_energy_consumption_total</t>
  </si>
  <si>
    <t>CE440 ann_mean_zone_relative_humidity</t>
  </si>
  <si>
    <t>CE440 ann_mean_zone_humidity_ratio</t>
  </si>
  <si>
    <t>CE440 ann_mean_idb</t>
  </si>
  <si>
    <t>CE440 ann_mean_cop_2</t>
  </si>
  <si>
    <t>CE440 ann_sum_evap_coil_load_latent</t>
  </si>
  <si>
    <t>CE440 ann_sum_evap_coil_load_sensible</t>
  </si>
  <si>
    <t>CE440 ann_sum_evap_coil_load_total</t>
  </si>
  <si>
    <t>CE440 ann_sum_clg_energy_consumption_supply_fan</t>
  </si>
  <si>
    <t>CE440 ann_sum_clg_energy_consumption_total</t>
  </si>
  <si>
    <t>CE430 ann_mean_zone_relative_humidity</t>
  </si>
  <si>
    <t>CE430 ann_mean_zone_humidity_ratio</t>
  </si>
  <si>
    <t>CE430 ann_mean_idb</t>
  </si>
  <si>
    <t>CE430 ann_mean_cop_2</t>
  </si>
  <si>
    <t>CE430 ann_sum_evap_coil_load_latent</t>
  </si>
  <si>
    <t>CE430 ann_sum_evap_coil_load_sensible</t>
  </si>
  <si>
    <t>CE430 ann_sum_evap_coil_load_total</t>
  </si>
  <si>
    <t>CE430 ann_sum_clg_energy_consumption_supply_fan</t>
  </si>
  <si>
    <t>CE430 ann_sum_clg_energy_consumption_total</t>
  </si>
  <si>
    <t>CE420 ann_mean_zone_relative_humidity</t>
  </si>
  <si>
    <t>CE420 ann_mean_zone_humidity_ratio</t>
  </si>
  <si>
    <t>CE420 ann_mean_idb</t>
  </si>
  <si>
    <t>CE420 ann_mean_cop_2</t>
  </si>
  <si>
    <t>CE420 ann_sum_evap_coil_load_latent</t>
  </si>
  <si>
    <t>CE420 ann_sum_evap_coil_load_sensible</t>
  </si>
  <si>
    <t>CE420 ann_sum_evap_coil_load_total</t>
  </si>
  <si>
    <t>CE420 ann_sum_clg_energy_consumption_supply_fan</t>
  </si>
  <si>
    <t>CE420 ann_sum_clg_energy_consumption_total</t>
  </si>
  <si>
    <t>CE410 ann_mean_zone_relative_humidity</t>
  </si>
  <si>
    <t>CE410 ann_mean_zone_humidity_ratio</t>
  </si>
  <si>
    <t>CE410 ann_mean_idb</t>
  </si>
  <si>
    <t>CE410 ann_mean_cop_2</t>
  </si>
  <si>
    <t>CE410 ann_sum_evap_coil_load_latent</t>
  </si>
  <si>
    <t>CE410 ann_sum_evap_coil_load_sensible</t>
  </si>
  <si>
    <t>CE410 ann_sum_evap_coil_load_total</t>
  </si>
  <si>
    <t>CE410 ann_sum_clg_energy_consumption_supply_fan</t>
  </si>
  <si>
    <t>CE410 ann_sum_clg_energy_consumption_total</t>
  </si>
  <si>
    <t>CE400 ann_mean_zone_relative_humidity</t>
  </si>
  <si>
    <t>CE400 ann_mean_zone_humidity_ratio</t>
  </si>
  <si>
    <t>CE400 ann_mean_idb</t>
  </si>
  <si>
    <t>CE400 ann_mean_cop_2</t>
  </si>
  <si>
    <t>CE400 ann_sum_evap_coil_load_latent</t>
  </si>
  <si>
    <t>CE400 ann_sum_evap_coil_load_sensible</t>
  </si>
  <si>
    <t>CE400 ann_sum_evap_coil_load_total</t>
  </si>
  <si>
    <t>CE400 ann_sum_clg_energy_consumption_supply_fan</t>
  </si>
  <si>
    <t>CE400 ann_sum_clg_energy_consumption_total</t>
  </si>
  <si>
    <t>CE360 ann_mean_zone_relative_humidity</t>
  </si>
  <si>
    <t>CE360 ann_mean_zone_humidity_ratio</t>
  </si>
  <si>
    <t>CE360 ann_mean_idb</t>
  </si>
  <si>
    <t>CE360 ann_mean_cop_2</t>
  </si>
  <si>
    <t>CE360 ann_sum_evap_coil_load_latent</t>
  </si>
  <si>
    <t>CE360 ann_sum_evap_coil_load_sensible</t>
  </si>
  <si>
    <t>CE360 ann_sum_evap_coil_load_total</t>
  </si>
  <si>
    <t>CE360 ann_sum_clg_energy_consumption_supply_fan</t>
  </si>
  <si>
    <t>CE360 ann_sum_clg_energy_consumption_total</t>
  </si>
  <si>
    <t>CE350 ann_mean_zone_relative_humidity</t>
  </si>
  <si>
    <t>CE350 ann_mean_zone_humidity_ratio</t>
  </si>
  <si>
    <t>CE350 ann_mean_idb</t>
  </si>
  <si>
    <t>CE350 ann_mean_cop_2</t>
  </si>
  <si>
    <t>CE350 ann_sum_evap_coil_load_latent</t>
  </si>
  <si>
    <t>CE350 ann_sum_evap_coil_load_sensible</t>
  </si>
  <si>
    <t>CE350 ann_sum_evap_coil_load_total</t>
  </si>
  <si>
    <t>CE350 ann_sum_clg_energy_consumption_supply_fan</t>
  </si>
  <si>
    <t>CE350 ann_sum_clg_energy_consumption_total</t>
  </si>
  <si>
    <t>CE340 ann_mean_zone_relative_humidity</t>
  </si>
  <si>
    <t>CE340 ann_mean_zone_humidity_ratio</t>
  </si>
  <si>
    <t>CE340 ann_mean_idb</t>
  </si>
  <si>
    <t>CE340 ann_mean_cop_2</t>
  </si>
  <si>
    <t>CE340 ann_sum_evap_coil_load_latent</t>
  </si>
  <si>
    <t>CE340 ann_sum_evap_coil_load_sensible</t>
  </si>
  <si>
    <t>CE340 ann_sum_evap_coil_load_total</t>
  </si>
  <si>
    <t>CE340 ann_sum_clg_energy_consumption_supply_fan</t>
  </si>
  <si>
    <t>CE340 ann_sum_clg_energy_consumption_total</t>
  </si>
  <si>
    <t>CE330 ann_mean_zone_relative_humidity</t>
  </si>
  <si>
    <t>CE330 ann_mean_zone_humidity_ratio</t>
  </si>
  <si>
    <t>CE330 ann_mean_idb</t>
  </si>
  <si>
    <t>CE330 ann_mean_cop_2</t>
  </si>
  <si>
    <t>CE330 ann_sum_evap_coil_load_latent</t>
  </si>
  <si>
    <t>CE330 ann_sum_evap_coil_load_sensible</t>
  </si>
  <si>
    <t>CE330 ann_sum_evap_coil_load_total</t>
  </si>
  <si>
    <t>CE330 ann_sum_clg_energy_consumption_supply_fan</t>
  </si>
  <si>
    <t>CE330 ann_sum_clg_energy_consumption_total</t>
  </si>
  <si>
    <t>CE320 ann_mean_zone_relative_humidity</t>
  </si>
  <si>
    <t>CE320 ann_mean_zone_humidity_ratio</t>
  </si>
  <si>
    <t>CE320 ann_mean_idb</t>
  </si>
  <si>
    <t>CE320 ann_mean_cop_2</t>
  </si>
  <si>
    <t>CE320 ann_sum_evap_coil_load_latent</t>
  </si>
  <si>
    <t>CE320 ann_sum_evap_coil_load_sensible</t>
  </si>
  <si>
    <t>CE320 ann_sum_evap_coil_load_total</t>
  </si>
  <si>
    <t>CE320 ann_sum_clg_energy_consumption_supply_fan</t>
  </si>
  <si>
    <t>CE320 ann_sum_clg_energy_consumption_total</t>
  </si>
  <si>
    <t>CE310 ann_mean_zone_relative_humidity</t>
  </si>
  <si>
    <t>CE310 ann_mean_zone_humidity_ratio</t>
  </si>
  <si>
    <t>CE310 ann_mean_idb</t>
  </si>
  <si>
    <t>CE310 ann_mean_cop_2</t>
  </si>
  <si>
    <t>CE310 ann_sum_evap_coil_load_latent</t>
  </si>
  <si>
    <t>CE310 ann_sum_evap_coil_load_sensible</t>
  </si>
  <si>
    <t>CE310 ann_sum_evap_coil_load_total</t>
  </si>
  <si>
    <t>CE310 ann_sum_clg_energy_consumption_supply_fan</t>
  </si>
  <si>
    <t>CE310 ann_sum_clg_energy_consumption_total</t>
  </si>
  <si>
    <t>CE300 ann_mean_outdoor_humidity_ratio</t>
  </si>
  <si>
    <t>CE300 ann_mean_odb</t>
  </si>
  <si>
    <t>CE300 ann_mean_zone_relative_humidity</t>
  </si>
  <si>
    <t>CE300 ann_mean_zone_humidity_ratio</t>
  </si>
  <si>
    <t>CE300 ann_mean_idb</t>
  </si>
  <si>
    <t>CE300 ann_mean_cop_2</t>
  </si>
  <si>
    <t>CE300 ann_sum_evap_coil_load_latent</t>
  </si>
  <si>
    <t>CE300 ann_sum_evap_coil_load_sensible</t>
  </si>
  <si>
    <t>CE300 ann_sum_evap_coil_load_total</t>
  </si>
  <si>
    <t>CE300 ann_sum_clg_energy_consumption_supply_fan</t>
  </si>
  <si>
    <t>CE300 ann_sum_clg_energy_consumption_total</t>
  </si>
  <si>
    <t>CE200 feb_min_humidity_ratio</t>
  </si>
  <si>
    <t>CE200 feb_min_idb</t>
  </si>
  <si>
    <t>CE200 feb_min_cop</t>
  </si>
  <si>
    <t>CE200 feb_max_humidity_ratio</t>
  </si>
  <si>
    <t>CE200 feb_max_idb</t>
  </si>
  <si>
    <t>CE200 feb_max_cop</t>
  </si>
  <si>
    <t>CE200 feb_mean_humidity_ratio</t>
  </si>
  <si>
    <t>CE200 feb_mean_idb</t>
  </si>
  <si>
    <t>CE200 feb_mean_cop</t>
  </si>
  <si>
    <t>CE200 zone_load_latent</t>
  </si>
  <si>
    <t>CE200 zone_load_sensible</t>
  </si>
  <si>
    <t>CE200 zone_load_total</t>
  </si>
  <si>
    <t>CE200 evaporator_coil_load_latent</t>
  </si>
  <si>
    <t>CE200 evaporator_coil_load_sensible</t>
  </si>
  <si>
    <t>CE200 evaporator_coil_load_total</t>
  </si>
  <si>
    <t>CE200 clg_energy_consumption_supply_fan</t>
  </si>
  <si>
    <t>CE200 clg_energy_consumption_total</t>
  </si>
  <si>
    <t>CE195 feb_min_humidity_ratio</t>
  </si>
  <si>
    <t>CE195 feb_min_idb</t>
  </si>
  <si>
    <t>CE195 feb_min_cop</t>
  </si>
  <si>
    <t>CE195 feb_max_humidity_ratio</t>
  </si>
  <si>
    <t>CE195 feb_max_idb</t>
  </si>
  <si>
    <t>CE195 feb_max_cop</t>
  </si>
  <si>
    <t>CE195 feb_mean_humidity_ratio</t>
  </si>
  <si>
    <t>CE195 feb_mean_idb</t>
  </si>
  <si>
    <t>CE195 feb_mean_cop</t>
  </si>
  <si>
    <t>CE195 zone_load_latent</t>
  </si>
  <si>
    <t>CE195 zone_load_sensible</t>
  </si>
  <si>
    <t>CE195 zone_load_total</t>
  </si>
  <si>
    <t>CE195 evaporator_coil_load_latent</t>
  </si>
  <si>
    <t>CE195 evaporator_coil_load_sensible</t>
  </si>
  <si>
    <t>CE195 evaporator_coil_load_total</t>
  </si>
  <si>
    <t>CE195 clg_energy_consumption_supply_fan</t>
  </si>
  <si>
    <t>CE195 clg_energy_consumption_total</t>
  </si>
  <si>
    <t>CE190 feb_min_humidity_ratio</t>
  </si>
  <si>
    <t>CE190 feb_min_idb</t>
  </si>
  <si>
    <t>CE190 feb_min_cop</t>
  </si>
  <si>
    <t>CE190 feb_max_humidity_ratio</t>
  </si>
  <si>
    <t>CE190 feb_max_idb</t>
  </si>
  <si>
    <t>CE190 feb_max_cop</t>
  </si>
  <si>
    <t>CE190 feb_mean_humidity_ratio</t>
  </si>
  <si>
    <t>CE190 feb_mean_idb</t>
  </si>
  <si>
    <t>CE190 feb_mean_cop</t>
  </si>
  <si>
    <t>CE190 zone_load_latent</t>
  </si>
  <si>
    <t>CE190 zone_load_sensible</t>
  </si>
  <si>
    <t>CE190 zone_load_total</t>
  </si>
  <si>
    <t>CE190 evaporator_coil_load_latent</t>
  </si>
  <si>
    <t>CE190 evaporator_coil_load_sensible</t>
  </si>
  <si>
    <t>CE190 evaporator_coil_load_total</t>
  </si>
  <si>
    <t>CE190 clg_energy_consumption_supply_fan</t>
  </si>
  <si>
    <t>CE190 clg_energy_consumption_total</t>
  </si>
  <si>
    <t>CE185 feb_min_humidity_ratio</t>
  </si>
  <si>
    <t>CE185 feb_min_idb</t>
  </si>
  <si>
    <t>CE185 feb_min_cop</t>
  </si>
  <si>
    <t>CE185 feb_max_humidity_ratio</t>
  </si>
  <si>
    <t>CE185 feb_max_idb</t>
  </si>
  <si>
    <t>CE185 feb_max_cop</t>
  </si>
  <si>
    <t>CE185 feb_mean_humidity_ratio</t>
  </si>
  <si>
    <t>CE185 feb_mean_idb</t>
  </si>
  <si>
    <t>CE185 feb_mean_cop</t>
  </si>
  <si>
    <t>CE185 zone_load_latent</t>
  </si>
  <si>
    <t>CE185 zone_load_sensible</t>
  </si>
  <si>
    <t>CE185 zone_load_total</t>
  </si>
  <si>
    <t>CE185 evaporator_coil_load_latent</t>
  </si>
  <si>
    <t>CE185 evaporator_coil_load_sensible</t>
  </si>
  <si>
    <t>CE185 evaporator_coil_load_total</t>
  </si>
  <si>
    <t>CE185 clg_energy_consumption_supply_fan</t>
  </si>
  <si>
    <t>CE185 clg_energy_consumption_total</t>
  </si>
  <si>
    <t>CE180 feb_min_humidity_ratio</t>
  </si>
  <si>
    <t>CE180 feb_min_idb</t>
  </si>
  <si>
    <t>CE180 feb_min_cop</t>
  </si>
  <si>
    <t>CE180 feb_max_humidity_ratio</t>
  </si>
  <si>
    <t>CE180 feb_max_idb</t>
  </si>
  <si>
    <t>CE180 feb_max_cop</t>
  </si>
  <si>
    <t>CE180 feb_mean_humidity_ratio</t>
  </si>
  <si>
    <t>CE180 feb_mean_idb</t>
  </si>
  <si>
    <t>CE180 feb_mean_cop</t>
  </si>
  <si>
    <t>CE180 zone_load_latent</t>
  </si>
  <si>
    <t>CE180 zone_load_sensible</t>
  </si>
  <si>
    <t>CE180 zone_load_total</t>
  </si>
  <si>
    <t>CE180 evaporator_coil_load_latent</t>
  </si>
  <si>
    <t>CE180 evaporator_coil_load_sensible</t>
  </si>
  <si>
    <t>CE180 evaporator_coil_load_total</t>
  </si>
  <si>
    <t>CE180 clg_energy_consumption_supply_fan</t>
  </si>
  <si>
    <t>CE180 clg_energy_consumption_total</t>
  </si>
  <si>
    <t>CE170 feb_min_humidity_ratio</t>
  </si>
  <si>
    <t>CE170 feb_min_idb</t>
  </si>
  <si>
    <t>CE170 feb_min_cop</t>
  </si>
  <si>
    <t>CE170 feb_max_humidity_ratio</t>
  </si>
  <si>
    <t>CE170 feb_max_idb</t>
  </si>
  <si>
    <t>CE170 feb_max_cop</t>
  </si>
  <si>
    <t>CE170 feb_mean_humidity_ratio</t>
  </si>
  <si>
    <t>CE170 feb_mean_idb</t>
  </si>
  <si>
    <t>CE170 feb_mean_cop</t>
  </si>
  <si>
    <t>CE170 zone_load_latent</t>
  </si>
  <si>
    <t>CE170 zone_load_sensible</t>
  </si>
  <si>
    <t>CE170 zone_load_total</t>
  </si>
  <si>
    <t>CE170 evaporator_coil_load_latent</t>
  </si>
  <si>
    <t>CE170 evaporator_coil_load_sensible</t>
  </si>
  <si>
    <t>CE170 evaporator_coil_load_total</t>
  </si>
  <si>
    <t>CE170 clg_energy_consumption_supply_fan</t>
  </si>
  <si>
    <t>CE170 clg_energy_consumption_total</t>
  </si>
  <si>
    <t>CE165 feb_min_humidity_ratio</t>
  </si>
  <si>
    <t>CE165 feb_min_idb</t>
  </si>
  <si>
    <t>CE165 feb_min_cop</t>
  </si>
  <si>
    <t>CE165 feb_max_humidity_ratio</t>
  </si>
  <si>
    <t>CE165 feb_max_idb</t>
  </si>
  <si>
    <t>CE165 feb_max_cop</t>
  </si>
  <si>
    <t>CE165 feb_mean_humidity_ratio</t>
  </si>
  <si>
    <t>CE165 feb_mean_idb</t>
  </si>
  <si>
    <t>CE165 feb_mean_cop</t>
  </si>
  <si>
    <t>CE165 zone_load_latent</t>
  </si>
  <si>
    <t>CE165 zone_load_sensible</t>
  </si>
  <si>
    <t>CE165 zone_load_total</t>
  </si>
  <si>
    <t>CE165 evaporator_coil_load_latent</t>
  </si>
  <si>
    <t>CE165 evaporator_coil_load_sensible</t>
  </si>
  <si>
    <t>CE165 evaporator_coil_load_total</t>
  </si>
  <si>
    <t>CE165 clg_energy_consumption_supply_fan</t>
  </si>
  <si>
    <t>CE165 clg_energy_consumption_total</t>
  </si>
  <si>
    <t>CE160 feb_min_humidity_ratio</t>
  </si>
  <si>
    <t>CE160 feb_min_idb</t>
  </si>
  <si>
    <t>CE160 feb_min_cop</t>
  </si>
  <si>
    <t>CE160 feb_max_humidity_ratio</t>
  </si>
  <si>
    <t>CE160 feb_max_idb</t>
  </si>
  <si>
    <t>CE160 feb_max_cop</t>
  </si>
  <si>
    <t>CE160 feb_mean_humidity_ratio</t>
  </si>
  <si>
    <t>CE160 feb_mean_idb</t>
  </si>
  <si>
    <t>CE160 feb_mean_cop</t>
  </si>
  <si>
    <t>CE160 zone_load_latent</t>
  </si>
  <si>
    <t>CE160 zone_load_sensible</t>
  </si>
  <si>
    <t>CE160 zone_load_total</t>
  </si>
  <si>
    <t>CE160 evaporator_coil_load_latent</t>
  </si>
  <si>
    <t>CE160 evaporator_coil_load_sensible</t>
  </si>
  <si>
    <t>CE160 evaporator_coil_load_total</t>
  </si>
  <si>
    <t>CE160 clg_energy_consumption_supply_fan</t>
  </si>
  <si>
    <t>CE160 clg_energy_consumption_total</t>
  </si>
  <si>
    <t>CE150 feb_min_humidity_ratio</t>
  </si>
  <si>
    <t>CE150 feb_min_idb</t>
  </si>
  <si>
    <t>CE150 feb_min_cop</t>
  </si>
  <si>
    <t>CE150 feb_max_humidity_ratio</t>
  </si>
  <si>
    <t>CE150 feb_max_idb</t>
  </si>
  <si>
    <t>CE150 feb_max_cop</t>
  </si>
  <si>
    <t>CE150 feb_mean_humidity_ratio</t>
  </si>
  <si>
    <t>CE150 feb_mean_idb</t>
  </si>
  <si>
    <t>CE150 feb_mean_cop</t>
  </si>
  <si>
    <t>CE150 zone_load_latent</t>
  </si>
  <si>
    <t>CE150 zone_load_sensible</t>
  </si>
  <si>
    <t>CE150 zone_load_total</t>
  </si>
  <si>
    <t>CE150 evaporator_coil_load_latent</t>
  </si>
  <si>
    <t>CE150 evaporator_coil_load_sensible</t>
  </si>
  <si>
    <t>CE150 evaporator_coil_load_total</t>
  </si>
  <si>
    <t>CE150 clg_energy_consumption_supply_fan</t>
  </si>
  <si>
    <t>CE150 clg_energy_consumption_total</t>
  </si>
  <si>
    <t>CE140 feb_min_humidity_ratio</t>
  </si>
  <si>
    <t>CE140 feb_min_idb</t>
  </si>
  <si>
    <t>CE140 feb_min_cop</t>
  </si>
  <si>
    <t>CE140 feb_max_humidity_ratio</t>
  </si>
  <si>
    <t>CE140 feb_max_idb</t>
  </si>
  <si>
    <t>CE140 feb_max_cop</t>
  </si>
  <si>
    <t>CE140 feb_mean_humidity_ratio</t>
  </si>
  <si>
    <t>CE140 feb_mean_idb</t>
  </si>
  <si>
    <t>CE140 feb_mean_cop</t>
  </si>
  <si>
    <t>CE140 zone_load_latent</t>
  </si>
  <si>
    <t>CE140 zone_load_sensible</t>
  </si>
  <si>
    <t>CE140 zone_load_total</t>
  </si>
  <si>
    <t>CE140 evaporator_coil_load_latent</t>
  </si>
  <si>
    <t>CE140 evaporator_coil_load_sensible</t>
  </si>
  <si>
    <t>CE140 evaporator_coil_load_total</t>
  </si>
  <si>
    <t>CE140 clg_energy_consumption_supply_fan</t>
  </si>
  <si>
    <t>CE140 clg_energy_consumption_total</t>
  </si>
  <si>
    <t>CE130 feb_min_humidity_ratio</t>
  </si>
  <si>
    <t>CE130 feb_min_idb</t>
  </si>
  <si>
    <t>CE130 feb_min_cop</t>
  </si>
  <si>
    <t>CE130 feb_max_humidity_ratio</t>
  </si>
  <si>
    <t>CE130 feb_max_idb</t>
  </si>
  <si>
    <t>CE130 feb_max_cop</t>
  </si>
  <si>
    <t>CE130 feb_mean_humidity_ratio</t>
  </si>
  <si>
    <t>CE130 feb_mean_idb</t>
  </si>
  <si>
    <t>CE130 feb_mean_cop</t>
  </si>
  <si>
    <t>CE130 zone_load_latent</t>
  </si>
  <si>
    <t>CE130 zone_load_sensible</t>
  </si>
  <si>
    <t>CE130 zone_load_total</t>
  </si>
  <si>
    <t>CE130 evaporator_coil_load_latent</t>
  </si>
  <si>
    <t>CE130 evaporator_coil_load_sensible</t>
  </si>
  <si>
    <t>CE130 evaporator_coil_load_total</t>
  </si>
  <si>
    <t>CE130 clg_energy_consumption_supply_fan</t>
  </si>
  <si>
    <t>CE130 clg_energy_consumption_total</t>
  </si>
  <si>
    <t>CE120 feb_min_humidity_ratio</t>
  </si>
  <si>
    <t>CE120 feb_min_idb</t>
  </si>
  <si>
    <t>CE120 feb_min_cop</t>
  </si>
  <si>
    <t>CE120 feb_max_humidity_ratio</t>
  </si>
  <si>
    <t>CE120 feb_max_idb</t>
  </si>
  <si>
    <t>CE120 feb_max_cop</t>
  </si>
  <si>
    <t>CE120 feb_mean_humidity_ratio</t>
  </si>
  <si>
    <t>CE120 feb_mean_idb</t>
  </si>
  <si>
    <t>CE120 feb_mean_cop</t>
  </si>
  <si>
    <t>CE120 zone_load_latent</t>
  </si>
  <si>
    <t>CE120 zone_load_sensible</t>
  </si>
  <si>
    <t>CE120 zone_load_total</t>
  </si>
  <si>
    <t>CE120 evaporator_coil_load_latent</t>
  </si>
  <si>
    <t>CE120 evaporator_coil_load_sensible</t>
  </si>
  <si>
    <t>CE120 evaporator_coil_load_total</t>
  </si>
  <si>
    <t>CE120 clg_energy_consumption_supply_fan</t>
  </si>
  <si>
    <t>CE120 clg_energy_consumption_total</t>
  </si>
  <si>
    <t>CE110 feb_min_humidity_ratio</t>
  </si>
  <si>
    <t>CE110 feb_min_idb</t>
  </si>
  <si>
    <t>CE110 feb_min_cop</t>
  </si>
  <si>
    <t>CE110 feb_max_humidity_ratio</t>
  </si>
  <si>
    <t>CE110 feb_max_idb</t>
  </si>
  <si>
    <t>CE110 feb_max_cop</t>
  </si>
  <si>
    <t>CE110 feb_mean_humidity_ratio</t>
  </si>
  <si>
    <t>CE110 feb_mean_idb</t>
  </si>
  <si>
    <t>CE110 feb_mean_cop</t>
  </si>
  <si>
    <t>CE110 zone_load_latent</t>
  </si>
  <si>
    <t>CE110 zone_load_sensible</t>
  </si>
  <si>
    <t>CE110 zone_load_total</t>
  </si>
  <si>
    <t>CE110 evaporator_coil_load_latent</t>
  </si>
  <si>
    <t>CE110 evaporator_coil_load_sensible</t>
  </si>
  <si>
    <t>CE110 evaporator_coil_load_total</t>
  </si>
  <si>
    <t>CE110 clg_energy_consumption_supply_fan</t>
  </si>
  <si>
    <t>CE110 clg_energy_consumption_total</t>
  </si>
  <si>
    <t>CE100 feb_min_humidity_ratio</t>
  </si>
  <si>
    <t>CE100 feb_min_idb</t>
  </si>
  <si>
    <t>CE100 feb_min_cop</t>
  </si>
  <si>
    <t>CE100 feb_max_humidity_ratio</t>
  </si>
  <si>
    <t>CE100 feb_max_idb</t>
  </si>
  <si>
    <t>CE100 feb_max_cop</t>
  </si>
  <si>
    <t>CE100 feb_mean_humidity_ratio</t>
  </si>
  <si>
    <t>CE100 feb_mean_idb</t>
  </si>
  <si>
    <t>CE100 feb_mean_cop</t>
  </si>
  <si>
    <t>CE100 zone_load_latent</t>
  </si>
  <si>
    <t>CE100 zone_load_sensible</t>
  </si>
  <si>
    <t>CE100 zone_load_total</t>
  </si>
  <si>
    <t>CE100 evaporator_coil_load_latent</t>
  </si>
  <si>
    <t>CE100 evaporator_coil_load_sensible</t>
  </si>
  <si>
    <t>CE100 evaporator_coil_load_total</t>
  </si>
  <si>
    <t>CE100 clg_energy_consumption_supply_fan</t>
  </si>
  <si>
    <t>CE100 clg_energy_consumption_total</t>
  </si>
  <si>
    <t>number passing</t>
  </si>
  <si>
    <t>number failing</t>
  </si>
  <si>
    <t>Case 300 June 28th Hourly Table 1 mmdd_0628_hourly_energy_consumpton_compressor</t>
  </si>
  <si>
    <t>Case 300 June 28th Hourly Table 2 mmdd_0628_hourly_energy_consumpton_compressor</t>
  </si>
  <si>
    <t>Case 300 June 28th Hourly Table 3 mmdd_0628_hourly_energy_consumpton_compressor</t>
  </si>
  <si>
    <t>Case 300 June 28th Hourly Table 4 mmdd_0628_hourly_energy_consumpton_compressor</t>
  </si>
  <si>
    <t>Case 300 June 28th Hourly Table 5 mmdd_0628_hourly_energy_consumpton_compressor</t>
  </si>
  <si>
    <t>Case 300 June 28th Hourly Table 6 mmdd_0628_hourly_energy_consumpton_compressor</t>
  </si>
  <si>
    <t>Case 300 June 28th Hourly Table 7 mmdd_0628_hourly_energy_consumpton_compressor</t>
  </si>
  <si>
    <t>Case 300 June 28th Hourly Table 8 mmdd_0628_hourly_energy_consumpton_compressor</t>
  </si>
  <si>
    <t>Case 300 June 28th Hourly Table 9 mmdd_0628_hourly_energy_consumpton_compressor</t>
  </si>
  <si>
    <t>Case 300 June 28th Hourly Table 10 mmdd_0628_hourly_energy_consumpton_compressor</t>
  </si>
  <si>
    <t>Case 300 June 28th Hourly Table 11 mmdd_0628_hourly_energy_consumpton_compressor</t>
  </si>
  <si>
    <t>Case 300 June 28th Hourly Table 12 mmdd_0628_hourly_energy_consumpton_compressor</t>
  </si>
  <si>
    <t>Case 300 June 28th Hourly Table 13 mmdd_0628_hourly_energy_consumpton_compressor</t>
  </si>
  <si>
    <t>Case 300 June 28th Hourly Table 14 mmdd_0628_hourly_energy_consumpton_compressor</t>
  </si>
  <si>
    <t>Case 300 June 28th Hourly Table 15 mmdd_0628_hourly_energy_consumpton_compressor</t>
  </si>
  <si>
    <t>Case 300 June 28th Hourly Table 16 mmdd_0628_hourly_energy_consumpton_compressor</t>
  </si>
  <si>
    <t>Case 300 June 28th Hourly Table 17 mmdd_0628_hourly_energy_consumpton_compressor</t>
  </si>
  <si>
    <t>Case 300 June 28th Hourly Table 18 mmdd_0628_hourly_energy_consumpton_compressor</t>
  </si>
  <si>
    <t>Case 300 June 28th Hourly Table 19 mmdd_0628_hourly_energy_consumpton_compressor</t>
  </si>
  <si>
    <t>Case 300 June 28th Hourly Table 20 mmdd_0628_hourly_energy_consumpton_compressor</t>
  </si>
  <si>
    <t>Case 300 June 28th Hourly Table 21 mmdd_0628_hourly_energy_consumpton_compressor</t>
  </si>
  <si>
    <t>Case 300 June 28th Hourly Table 22 mmdd_0628_hourly_energy_consumpton_compressor</t>
  </si>
  <si>
    <t>Case 300 June 28th Hourly Table 23 mmdd_0628_hourly_energy_consumpton_compressor</t>
  </si>
  <si>
    <t>Case 300 June 28th Hourly Table 24 mmdd_0628_hourly_energy_consumpton_compressor</t>
  </si>
  <si>
    <t>Delta</t>
  </si>
  <si>
    <t>tolerance</t>
  </si>
  <si>
    <t>(dates require exact match)</t>
  </si>
  <si>
    <t>EnergyPlus 22.1</t>
  </si>
  <si>
    <t>22.1 to 22.2</t>
  </si>
  <si>
    <t>EnergyPlus 22.2</t>
  </si>
  <si>
    <t>Annual Heating Loads 660</t>
  </si>
  <si>
    <t>Annual Heating Loads 670</t>
  </si>
  <si>
    <t>Annual Heating Loads 680</t>
  </si>
  <si>
    <t>Annual Heating Loads 685</t>
  </si>
  <si>
    <t>Annual Heating Loads 695</t>
  </si>
  <si>
    <t>Annual Heating Loads 980</t>
  </si>
  <si>
    <t>Annual Heating Loads 985</t>
  </si>
  <si>
    <t>Annual Heating Loads 995</t>
  </si>
  <si>
    <t>Annual Heating Loads 450</t>
  </si>
  <si>
    <t>Annual Heating Loads 460</t>
  </si>
  <si>
    <t>Annual Heating Loads 470</t>
  </si>
  <si>
    <t>Annual Cooling Loads 660</t>
  </si>
  <si>
    <t>Annual Cooling Loads 670</t>
  </si>
  <si>
    <t>Annual Cooling Loads 680</t>
  </si>
  <si>
    <t>Annual Cooling Loads 685</t>
  </si>
  <si>
    <t>Annual Cooling Loads 695</t>
  </si>
  <si>
    <t>Annual Cooling Loads 980</t>
  </si>
  <si>
    <t>Annual Cooling Loads 985</t>
  </si>
  <si>
    <t>Annual Cooling Loads 995</t>
  </si>
  <si>
    <t>Annual Cooling Loads 450</t>
  </si>
  <si>
    <t>Annual Cooling Loads 460</t>
  </si>
  <si>
    <t>Annual Cooling Loads 470</t>
  </si>
  <si>
    <t>Annual Hourly Integrated Peak Heating Loads 600_kW</t>
  </si>
  <si>
    <t>Annual Hourly Integrated Peak Heating Loads 600_Month*</t>
  </si>
  <si>
    <t>Annual Hourly Integrated Peak Heating Loads 600_Day</t>
  </si>
  <si>
    <t>Annual Hourly Integrated Peak Heating Loads 600_Hour</t>
  </si>
  <si>
    <t>Annual Hourly Integrated Peak Heating Loads 610_kW</t>
  </si>
  <si>
    <t>Annual Hourly Integrated Peak Heating Loads 610_Month*</t>
  </si>
  <si>
    <t>Annual Hourly Integrated Peak Heating Loads 610_Day</t>
  </si>
  <si>
    <t>Annual Hourly Integrated Peak Heating Loads 610_Hour</t>
  </si>
  <si>
    <t>Annual Hourly Integrated Peak Heating Loads 620_kW</t>
  </si>
  <si>
    <t>Annual Hourly Integrated Peak Heating Loads 620_Month*</t>
  </si>
  <si>
    <t>Annual Hourly Integrated Peak Heating Loads 620_Day</t>
  </si>
  <si>
    <t>Annual Hourly Integrated Peak Heating Loads 620_Hour</t>
  </si>
  <si>
    <t>Annual Hourly Integrated Peak Heating Loads 630_kW</t>
  </si>
  <si>
    <t>Annual Hourly Integrated Peak Heating Loads 630_Month*</t>
  </si>
  <si>
    <t>Annual Hourly Integrated Peak Heating Loads 630_Day</t>
  </si>
  <si>
    <t>Annual Hourly Integrated Peak Heating Loads 630_Hour</t>
  </si>
  <si>
    <t>Annual Hourly Integrated Peak Heating Loads 640_kW</t>
  </si>
  <si>
    <t>Annual Hourly Integrated Peak Heating Loads 640_Month*</t>
  </si>
  <si>
    <t>Annual Hourly Integrated Peak Heating Loads 640_Day</t>
  </si>
  <si>
    <t>Annual Hourly Integrated Peak Heating Loads 640_Hour</t>
  </si>
  <si>
    <t>Annual Hourly Integrated Peak Heating Loads 650_kW</t>
  </si>
  <si>
    <t>Annual Hourly Integrated Peak Heating Loads 650_Month*</t>
  </si>
  <si>
    <t>Annual Hourly Integrated Peak Heating Loads 650_Day</t>
  </si>
  <si>
    <t>Annual Hourly Integrated Peak Heating Loads 650_Hour</t>
  </si>
  <si>
    <t>Annual Hourly Integrated Peak Heating Loads 660_kW</t>
  </si>
  <si>
    <t>Annual Hourly Integrated Peak Heating Loads 660_Month*</t>
  </si>
  <si>
    <t>Annual Hourly Integrated Peak Heating Loads 660_Day</t>
  </si>
  <si>
    <t>Annual Hourly Integrated Peak Heating Loads 660_Hour</t>
  </si>
  <si>
    <t>Annual Hourly Integrated Peak Heating Loads 670_kW</t>
  </si>
  <si>
    <t>Annual Hourly Integrated Peak Heating Loads 670_Month*</t>
  </si>
  <si>
    <t>Annual Hourly Integrated Peak Heating Loads 670_Day</t>
  </si>
  <si>
    <t>Annual Hourly Integrated Peak Heating Loads 670_Hour</t>
  </si>
  <si>
    <t>Annual Hourly Integrated Peak Heating Loads 680_kW</t>
  </si>
  <si>
    <t>Annual Hourly Integrated Peak Heating Loads 680_Month*</t>
  </si>
  <si>
    <t>Annual Hourly Integrated Peak Heating Loads 680_Day</t>
  </si>
  <si>
    <t>Annual Hourly Integrated Peak Heating Loads 680_Hour</t>
  </si>
  <si>
    <t>Annual Hourly Integrated Peak Heating Loads 685_kW</t>
  </si>
  <si>
    <t>Annual Hourly Integrated Peak Heating Loads 685_Month*</t>
  </si>
  <si>
    <t>Annual Hourly Integrated Peak Heating Loads 685_Day</t>
  </si>
  <si>
    <t>Annual Hourly Integrated Peak Heating Loads 685_Hour</t>
  </si>
  <si>
    <t>Annual Hourly Integrated Peak Heating Loads 695_kW</t>
  </si>
  <si>
    <t>Annual Hourly Integrated Peak Heating Loads 695_Month*</t>
  </si>
  <si>
    <t>Annual Hourly Integrated Peak Heating Loads 695_Day</t>
  </si>
  <si>
    <t>Annual Hourly Integrated Peak Heating Loads 695_Hour</t>
  </si>
  <si>
    <t>Annual Hourly Integrated Peak Heating Loads 900_kW</t>
  </si>
  <si>
    <t>Annual Hourly Integrated Peak Heating Loads 900_Month*</t>
  </si>
  <si>
    <t>Annual Hourly Integrated Peak Heating Loads 900_Day</t>
  </si>
  <si>
    <t>Annual Hourly Integrated Peak Heating Loads 900_Hour</t>
  </si>
  <si>
    <t>Annual Hourly Integrated Peak Heating Loads 910_kW</t>
  </si>
  <si>
    <t>Annual Hourly Integrated Peak Heating Loads 910_Month*</t>
  </si>
  <si>
    <t>Annual Hourly Integrated Peak Heating Loads 910_Day</t>
  </si>
  <si>
    <t>Annual Hourly Integrated Peak Heating Loads 910_Hour</t>
  </si>
  <si>
    <t>Annual Hourly Integrated Peak Heating Loads 920_kW</t>
  </si>
  <si>
    <t>Annual Hourly Integrated Peak Heating Loads 920_Month*</t>
  </si>
  <si>
    <t>Annual Hourly Integrated Peak Heating Loads 920_Day</t>
  </si>
  <si>
    <t>Annual Hourly Integrated Peak Heating Loads 920_Hour</t>
  </si>
  <si>
    <t>Annual Hourly Integrated Peak Heating Loads 930_kW</t>
  </si>
  <si>
    <t>Annual Hourly Integrated Peak Heating Loads 930_Month*</t>
  </si>
  <si>
    <t>Annual Hourly Integrated Peak Heating Loads 930_Day</t>
  </si>
  <si>
    <t>Annual Hourly Integrated Peak Heating Loads 930_Hour</t>
  </si>
  <si>
    <t>Annual Hourly Integrated Peak Heating Loads 940_kW</t>
  </si>
  <si>
    <t>Annual Hourly Integrated Peak Heating Loads 940_Month*</t>
  </si>
  <si>
    <t>Annual Hourly Integrated Peak Heating Loads 940_Day</t>
  </si>
  <si>
    <t>Annual Hourly Integrated Peak Heating Loads 940_Hour</t>
  </si>
  <si>
    <t>Annual Hourly Integrated Peak Heating Loads 950_kW</t>
  </si>
  <si>
    <t>Annual Hourly Integrated Peak Heating Loads 950_Month*</t>
  </si>
  <si>
    <t>Annual Hourly Integrated Peak Heating Loads 950_Day</t>
  </si>
  <si>
    <t>Annual Hourly Integrated Peak Heating Loads 950_Hour</t>
  </si>
  <si>
    <t>Annual Hourly Integrated Peak Heating Loads 960_kW</t>
  </si>
  <si>
    <t>Annual Hourly Integrated Peak Heating Loads 960_Month*</t>
  </si>
  <si>
    <t>Annual Hourly Integrated Peak Heating Loads 960_Day</t>
  </si>
  <si>
    <t>Annual Hourly Integrated Peak Heating Loads 960_Hour</t>
  </si>
  <si>
    <t>Annual Hourly Integrated Peak Heating Loads 980_kW</t>
  </si>
  <si>
    <t>Annual Hourly Integrated Peak Heating Loads 980_Month*</t>
  </si>
  <si>
    <t>Annual Hourly Integrated Peak Heating Loads 980_Day</t>
  </si>
  <si>
    <t>Annual Hourly Integrated Peak Heating Loads 980_Hour</t>
  </si>
  <si>
    <t>Annual Hourly Integrated Peak Heating Loads 985_kW</t>
  </si>
  <si>
    <t>Annual Hourly Integrated Peak Heating Loads 985_Month*</t>
  </si>
  <si>
    <t>Annual Hourly Integrated Peak Heating Loads 985_Day</t>
  </si>
  <si>
    <t>Annual Hourly Integrated Peak Heating Loads 985_Hour</t>
  </si>
  <si>
    <t>Annual Hourly Integrated Peak Heating Loads 995_kW</t>
  </si>
  <si>
    <t>Annual Hourly Integrated Peak Heating Loads 995_Month*</t>
  </si>
  <si>
    <t>Annual Hourly Integrated Peak Heating Loads 995_Day</t>
  </si>
  <si>
    <t>Annual Hourly Integrated Peak Heating Loads 995_Hour</t>
  </si>
  <si>
    <t>Annual Hourly Integrated Peak Heating Loads 195_kW</t>
  </si>
  <si>
    <t>Annual Hourly Integrated Peak Heating Loads 195_Month*</t>
  </si>
  <si>
    <t>Annual Hourly Integrated Peak Heating Loads 195_Day</t>
  </si>
  <si>
    <t>Annual Hourly Integrated Peak Heating Loads 195_Hour</t>
  </si>
  <si>
    <t>Annual Hourly Integrated Peak Heating Loads 200_kW</t>
  </si>
  <si>
    <t>Annual Hourly Integrated Peak Heating Loads 200_Month*</t>
  </si>
  <si>
    <t>Annual Hourly Integrated Peak Heating Loads 200_Day</t>
  </si>
  <si>
    <t>Annual Hourly Integrated Peak Heating Loads 200_Hour</t>
  </si>
  <si>
    <t>Annual Hourly Integrated Peak Heating Loads 210_kW</t>
  </si>
  <si>
    <t>Annual Hourly Integrated Peak Heating Loads 210_Month*</t>
  </si>
  <si>
    <t>Annual Hourly Integrated Peak Heating Loads 210_Day</t>
  </si>
  <si>
    <t>Annual Hourly Integrated Peak Heating Loads 210_Hour</t>
  </si>
  <si>
    <t>Annual Hourly Integrated Peak Heating Loads 215_kW</t>
  </si>
  <si>
    <t>Annual Hourly Integrated Peak Heating Loads 215_Month*</t>
  </si>
  <si>
    <t>Annual Hourly Integrated Peak Heating Loads 215_Day</t>
  </si>
  <si>
    <t>Annual Hourly Integrated Peak Heating Loads 215_Hour</t>
  </si>
  <si>
    <t>Annual Hourly Integrated Peak Heating Loads 220_kW</t>
  </si>
  <si>
    <t>Annual Hourly Integrated Peak Heating Loads 220_Month*</t>
  </si>
  <si>
    <t>Annual Hourly Integrated Peak Heating Loads 220_Day</t>
  </si>
  <si>
    <t>Annual Hourly Integrated Peak Heating Loads 220_Hour</t>
  </si>
  <si>
    <t>Annual Hourly Integrated Peak Heating Loads 230_kW</t>
  </si>
  <si>
    <t>Annual Hourly Integrated Peak Heating Loads 230_Month*</t>
  </si>
  <si>
    <t>Annual Hourly Integrated Peak Heating Loads 230_Day</t>
  </si>
  <si>
    <t>Annual Hourly Integrated Peak Heating Loads 230_Hour</t>
  </si>
  <si>
    <t>Annual Hourly Integrated Peak Heating Loads 240_kW</t>
  </si>
  <si>
    <t>Annual Hourly Integrated Peak Heating Loads 240_Month*</t>
  </si>
  <si>
    <t>Annual Hourly Integrated Peak Heating Loads 240_Day</t>
  </si>
  <si>
    <t>Annual Hourly Integrated Peak Heating Loads 240_Hour</t>
  </si>
  <si>
    <t>Annual Hourly Integrated Peak Heating Loads 250_kW</t>
  </si>
  <si>
    <t>Annual Hourly Integrated Peak Heating Loads 250_Month*</t>
  </si>
  <si>
    <t>Annual Hourly Integrated Peak Heating Loads 250_Day</t>
  </si>
  <si>
    <t>Annual Hourly Integrated Peak Heating Loads 250_Hour</t>
  </si>
  <si>
    <t>Annual Hourly Integrated Peak Heating Loads 270_kW</t>
  </si>
  <si>
    <t>Annual Hourly Integrated Peak Heating Loads 270_Month*</t>
  </si>
  <si>
    <t>Annual Hourly Integrated Peak Heating Loads 270_Day</t>
  </si>
  <si>
    <t>Annual Hourly Integrated Peak Heating Loads 270_Hour</t>
  </si>
  <si>
    <t>Annual Hourly Integrated Peak Heating Loads 280_kW</t>
  </si>
  <si>
    <t>Annual Hourly Integrated Peak Heating Loads 280_Month*</t>
  </si>
  <si>
    <t>Annual Hourly Integrated Peak Heating Loads 280_Day</t>
  </si>
  <si>
    <t>Annual Hourly Integrated Peak Heating Loads 280_Hour</t>
  </si>
  <si>
    <t>Annual Hourly Integrated Peak Heating Loads 290_kW</t>
  </si>
  <si>
    <t>Annual Hourly Integrated Peak Heating Loads 290_Month*</t>
  </si>
  <si>
    <t>Annual Hourly Integrated Peak Heating Loads 290_Day</t>
  </si>
  <si>
    <t>Annual Hourly Integrated Peak Heating Loads 290_Hour</t>
  </si>
  <si>
    <t>Annual Hourly Integrated Peak Heating Loads 300_kW</t>
  </si>
  <si>
    <t>Annual Hourly Integrated Peak Heating Loads 300_Month*</t>
  </si>
  <si>
    <t>Annual Hourly Integrated Peak Heating Loads 300_Day</t>
  </si>
  <si>
    <t>Annual Hourly Integrated Peak Heating Loads 300_Hour</t>
  </si>
  <si>
    <t>Annual Hourly Integrated Peak Heating Loads 310_kW</t>
  </si>
  <si>
    <t>Annual Hourly Integrated Peak Heating Loads 310_Month*</t>
  </si>
  <si>
    <t>Annual Hourly Integrated Peak Heating Loads 310_Day</t>
  </si>
  <si>
    <t>Annual Hourly Integrated Peak Heating Loads 310_Hour</t>
  </si>
  <si>
    <t>Annual Hourly Integrated Peak Heating Loads 320_kW</t>
  </si>
  <si>
    <t>Annual Hourly Integrated Peak Heating Loads 320_Month*</t>
  </si>
  <si>
    <t>Annual Hourly Integrated Peak Heating Loads 320_Day</t>
  </si>
  <si>
    <t>Annual Hourly Integrated Peak Heating Loads 320_Hour</t>
  </si>
  <si>
    <t>Annual Hourly Integrated Peak Heating Loads 395_kW</t>
  </si>
  <si>
    <t>Annual Hourly Integrated Peak Heating Loads 395_Month*</t>
  </si>
  <si>
    <t>Annual Hourly Integrated Peak Heating Loads 395_Day</t>
  </si>
  <si>
    <t>Annual Hourly Integrated Peak Heating Loads 395_Hour</t>
  </si>
  <si>
    <t>Annual Hourly Integrated Peak Heating Loads 400_kW</t>
  </si>
  <si>
    <t>Annual Hourly Integrated Peak Heating Loads 400_Month*</t>
  </si>
  <si>
    <t>Annual Hourly Integrated Peak Heating Loads 400_Day</t>
  </si>
  <si>
    <t>Annual Hourly Integrated Peak Heating Loads 400_Hour</t>
  </si>
  <si>
    <t>Annual Hourly Integrated Peak Heating Loads 410_kW</t>
  </si>
  <si>
    <t>Annual Hourly Integrated Peak Heating Loads 410_Month*</t>
  </si>
  <si>
    <t>Annual Hourly Integrated Peak Heating Loads 410_Day</t>
  </si>
  <si>
    <t>Annual Hourly Integrated Peak Heating Loads 410_Hour</t>
  </si>
  <si>
    <t>Annual Hourly Integrated Peak Heating Loads 420_kW</t>
  </si>
  <si>
    <t>Annual Hourly Integrated Peak Heating Loads 420_Month*</t>
  </si>
  <si>
    <t>Annual Hourly Integrated Peak Heating Loads 420_Day</t>
  </si>
  <si>
    <t>Annual Hourly Integrated Peak Heating Loads 420_Hour</t>
  </si>
  <si>
    <t>Annual Hourly Integrated Peak Heating Loads 430_kW</t>
  </si>
  <si>
    <t>Annual Hourly Integrated Peak Heating Loads 430_Month*</t>
  </si>
  <si>
    <t>Annual Hourly Integrated Peak Heating Loads 430_Day</t>
  </si>
  <si>
    <t>Annual Hourly Integrated Peak Heating Loads 430_Hour</t>
  </si>
  <si>
    <t>Annual Hourly Integrated Peak Heating Loads 440_kW</t>
  </si>
  <si>
    <t>Annual Hourly Integrated Peak Heating Loads 440_Month*</t>
  </si>
  <si>
    <t>Annual Hourly Integrated Peak Heating Loads 440_Day</t>
  </si>
  <si>
    <t>Annual Hourly Integrated Peak Heating Loads 440_Hour</t>
  </si>
  <si>
    <t>Annual Hourly Integrated Peak Heating Loads 450_kW</t>
  </si>
  <si>
    <t>Annual Hourly Integrated Peak Heating Loads 450_Month*</t>
  </si>
  <si>
    <t>Annual Hourly Integrated Peak Heating Loads 450_Day</t>
  </si>
  <si>
    <t>Annual Hourly Integrated Peak Heating Loads 450_Hour</t>
  </si>
  <si>
    <t>Annual Hourly Integrated Peak Heating Loads 460_kW</t>
  </si>
  <si>
    <t>Annual Hourly Integrated Peak Heating Loads 460_Month*</t>
  </si>
  <si>
    <t>Annual Hourly Integrated Peak Heating Loads 460_Day</t>
  </si>
  <si>
    <t>Annual Hourly Integrated Peak Heating Loads 460_Hour</t>
  </si>
  <si>
    <t>Annual Hourly Integrated Peak Heating Loads 470_kW</t>
  </si>
  <si>
    <t>Annual Hourly Integrated Peak Heating Loads 470_Month*</t>
  </si>
  <si>
    <t>Annual Hourly Integrated Peak Heating Loads 470_Day</t>
  </si>
  <si>
    <t>Annual Hourly Integrated Peak Heating Loads 470_Hour</t>
  </si>
  <si>
    <t>Annual Hourly Integrated Peak Heating Loads 800_kW</t>
  </si>
  <si>
    <t>Annual Hourly Integrated Peak Heating Loads 800_Month*</t>
  </si>
  <si>
    <t>Annual Hourly Integrated Peak Heating Loads 800_Day</t>
  </si>
  <si>
    <t>Annual Hourly Integrated Peak Heating Loads 800_Hour</t>
  </si>
  <si>
    <t>Annual Hourly Integrated Peak Heating Loads 810_kW</t>
  </si>
  <si>
    <t>Annual Hourly Integrated Peak Heating Loads 810_Month*</t>
  </si>
  <si>
    <t>Annual Hourly Integrated Peak Heating Loads 810_Day</t>
  </si>
  <si>
    <t>Annual Hourly Integrated Peak Heating Loads 810_Hour</t>
  </si>
  <si>
    <t>Annual Hourly Integrated Peak Cooling Loads 600_kW</t>
  </si>
  <si>
    <t>Annual Hourly Integrated Peak Cooling Loads 600_Month*</t>
  </si>
  <si>
    <t>Annual Hourly Integrated Peak Cooling Loads 600_Day</t>
  </si>
  <si>
    <t>Annual Hourly Integrated Peak Cooling Loads 600_Hour</t>
  </si>
  <si>
    <t>Annual Hourly Integrated Peak Cooling Loads 610_kW</t>
  </si>
  <si>
    <t>Annual Hourly Integrated Peak Cooling Loads 610_Month*</t>
  </si>
  <si>
    <t>Annual Hourly Integrated Peak Cooling Loads 610_Day</t>
  </si>
  <si>
    <t>Annual Hourly Integrated Peak Cooling Loads 610_Hour</t>
  </si>
  <si>
    <t>Annual Hourly Integrated Peak Cooling Loads 620_kW</t>
  </si>
  <si>
    <t>Annual Hourly Integrated Peak Cooling Loads 620_Month*</t>
  </si>
  <si>
    <t>Annual Hourly Integrated Peak Cooling Loads 620_Day</t>
  </si>
  <si>
    <t>Annual Hourly Integrated Peak Cooling Loads 620_Hour</t>
  </si>
  <si>
    <t>Annual Hourly Integrated Peak Cooling Loads 630_kW</t>
  </si>
  <si>
    <t>Annual Hourly Integrated Peak Cooling Loads 630_Month*</t>
  </si>
  <si>
    <t>Annual Hourly Integrated Peak Cooling Loads 630_Day</t>
  </si>
  <si>
    <t>Annual Hourly Integrated Peak Cooling Loads 630_Hour</t>
  </si>
  <si>
    <t>Annual Hourly Integrated Peak Cooling Loads 640_kW</t>
  </si>
  <si>
    <t>Annual Hourly Integrated Peak Cooling Loads 640_Month*</t>
  </si>
  <si>
    <t>Annual Hourly Integrated Peak Cooling Loads 640_Day</t>
  </si>
  <si>
    <t>Annual Hourly Integrated Peak Cooling Loads 640_Hour</t>
  </si>
  <si>
    <t>Annual Hourly Integrated Peak Cooling Loads 650_kW</t>
  </si>
  <si>
    <t>Annual Hourly Integrated Peak Cooling Loads 650_Month*</t>
  </si>
  <si>
    <t>Annual Hourly Integrated Peak Cooling Loads 650_Day</t>
  </si>
  <si>
    <t>Annual Hourly Integrated Peak Cooling Loads 650_Hour</t>
  </si>
  <si>
    <t>Annual Hourly Integrated Peak Cooling Loads 660_kW</t>
  </si>
  <si>
    <t>Annual Hourly Integrated Peak Cooling Loads 660_Month*</t>
  </si>
  <si>
    <t>Annual Hourly Integrated Peak Cooling Loads 660_Day</t>
  </si>
  <si>
    <t>Annual Hourly Integrated Peak Cooling Loads 660_Hour</t>
  </si>
  <si>
    <t>Annual Hourly Integrated Peak Cooling Loads 670_kW</t>
  </si>
  <si>
    <t>Annual Hourly Integrated Peak Cooling Loads 670_Month*</t>
  </si>
  <si>
    <t>Annual Hourly Integrated Peak Cooling Loads 670_Day</t>
  </si>
  <si>
    <t>Annual Hourly Integrated Peak Cooling Loads 670_Hour</t>
  </si>
  <si>
    <t>Annual Hourly Integrated Peak Cooling Loads 680_kW</t>
  </si>
  <si>
    <t>Annual Hourly Integrated Peak Cooling Loads 680_Month*</t>
  </si>
  <si>
    <t>Annual Hourly Integrated Peak Cooling Loads 680_Day</t>
  </si>
  <si>
    <t>Annual Hourly Integrated Peak Cooling Loads 680_Hour</t>
  </si>
  <si>
    <t>Annual Hourly Integrated Peak Cooling Loads 685_kW</t>
  </si>
  <si>
    <t>Annual Hourly Integrated Peak Cooling Loads 685_Month*</t>
  </si>
  <si>
    <t>Annual Hourly Integrated Peak Cooling Loads 685_Day</t>
  </si>
  <si>
    <t>Annual Hourly Integrated Peak Cooling Loads 685_Hour</t>
  </si>
  <si>
    <t>Annual Hourly Integrated Peak Cooling Loads 695_kW</t>
  </si>
  <si>
    <t>Annual Hourly Integrated Peak Cooling Loads 695_Month*</t>
  </si>
  <si>
    <t>Annual Hourly Integrated Peak Cooling Loads 695_Day</t>
  </si>
  <si>
    <t>Annual Hourly Integrated Peak Cooling Loads 695_Hour</t>
  </si>
  <si>
    <t>Annual Hourly Integrated Peak Cooling Loads 900_kW</t>
  </si>
  <si>
    <t>Annual Hourly Integrated Peak Cooling Loads 900_Month*</t>
  </si>
  <si>
    <t>Annual Hourly Integrated Peak Cooling Loads 900_Day</t>
  </si>
  <si>
    <t>Annual Hourly Integrated Peak Cooling Loads 900_Hour</t>
  </si>
  <si>
    <t>Annual Hourly Integrated Peak Cooling Loads 910_kW</t>
  </si>
  <si>
    <t>Annual Hourly Integrated Peak Cooling Loads 910_Month*</t>
  </si>
  <si>
    <t>Annual Hourly Integrated Peak Cooling Loads 910_Day</t>
  </si>
  <si>
    <t>Annual Hourly Integrated Peak Cooling Loads 910_Hour</t>
  </si>
  <si>
    <t>Annual Hourly Integrated Peak Cooling Loads 920_kW</t>
  </si>
  <si>
    <t>Annual Hourly Integrated Peak Cooling Loads 920_Month*</t>
  </si>
  <si>
    <t>Annual Hourly Integrated Peak Cooling Loads 920_Day</t>
  </si>
  <si>
    <t>Annual Hourly Integrated Peak Cooling Loads 920_Hour</t>
  </si>
  <si>
    <t>Annual Hourly Integrated Peak Cooling Loads 930_kW</t>
  </si>
  <si>
    <t>Annual Hourly Integrated Peak Cooling Loads 930_Month*</t>
  </si>
  <si>
    <t>Annual Hourly Integrated Peak Cooling Loads 930_Day</t>
  </si>
  <si>
    <t>Annual Hourly Integrated Peak Cooling Loads 930_Hour</t>
  </si>
  <si>
    <t>Annual Hourly Integrated Peak Cooling Loads 940_kW</t>
  </si>
  <si>
    <t>Annual Hourly Integrated Peak Cooling Loads 940_Month*</t>
  </si>
  <si>
    <t>Annual Hourly Integrated Peak Cooling Loads 940_Day</t>
  </si>
  <si>
    <t>Annual Hourly Integrated Peak Cooling Loads 940_Hour</t>
  </si>
  <si>
    <t>Annual Hourly Integrated Peak Cooling Loads 950_kW</t>
  </si>
  <si>
    <t>Annual Hourly Integrated Peak Cooling Loads 950_Month*</t>
  </si>
  <si>
    <t>Annual Hourly Integrated Peak Cooling Loads 950_Day</t>
  </si>
  <si>
    <t>Annual Hourly Integrated Peak Cooling Loads 950_Hour</t>
  </si>
  <si>
    <t>Annual Hourly Integrated Peak Cooling Loads 960_kW</t>
  </si>
  <si>
    <t>Annual Hourly Integrated Peak Cooling Loads 960_Month*</t>
  </si>
  <si>
    <t>Annual Hourly Integrated Peak Cooling Loads 960_Day</t>
  </si>
  <si>
    <t>Annual Hourly Integrated Peak Cooling Loads 960_Hour</t>
  </si>
  <si>
    <t>Annual Hourly Integrated Peak Cooling Loads 980_kW</t>
  </si>
  <si>
    <t>Annual Hourly Integrated Peak Cooling Loads 980_Month*</t>
  </si>
  <si>
    <t>Annual Hourly Integrated Peak Cooling Loads 980_Day</t>
  </si>
  <si>
    <t>Annual Hourly Integrated Peak Cooling Loads 980_Hour</t>
  </si>
  <si>
    <t>Annual Hourly Integrated Peak Cooling Loads 985_kW</t>
  </si>
  <si>
    <t>Annual Hourly Integrated Peak Cooling Loads 985_Month*</t>
  </si>
  <si>
    <t>Annual Hourly Integrated Peak Cooling Loads 985_Day</t>
  </si>
  <si>
    <t>Annual Hourly Integrated Peak Cooling Loads 985_Hour</t>
  </si>
  <si>
    <t>Annual Hourly Integrated Peak Cooling Loads 995_kW</t>
  </si>
  <si>
    <t>Annual Hourly Integrated Peak Cooling Loads 995_Month*</t>
  </si>
  <si>
    <t>Annual Hourly Integrated Peak Cooling Loads 995_Day</t>
  </si>
  <si>
    <t>Annual Hourly Integrated Peak Cooling Loads 995_Hour</t>
  </si>
  <si>
    <t>Annual Hourly Integrated Peak Cooling Loads 195_kW</t>
  </si>
  <si>
    <t>Annual Hourly Integrated Peak Cooling Loads 195_Month*</t>
  </si>
  <si>
    <t>Annual Hourly Integrated Peak Cooling Loads 195_Day</t>
  </si>
  <si>
    <t>Annual Hourly Integrated Peak Cooling Loads 195_Hour</t>
  </si>
  <si>
    <t>Annual Hourly Integrated Peak Cooling Loads 200_kW</t>
  </si>
  <si>
    <t>Annual Hourly Integrated Peak Cooling Loads 200_Month*</t>
  </si>
  <si>
    <t>Annual Hourly Integrated Peak Cooling Loads 200_Day</t>
  </si>
  <si>
    <t>Annual Hourly Integrated Peak Cooling Loads 200_Hour</t>
  </si>
  <si>
    <t>Annual Hourly Integrated Peak Cooling Loads 210_kW</t>
  </si>
  <si>
    <t>Annual Hourly Integrated Peak Cooling Loads 210_Month*</t>
  </si>
  <si>
    <t>Annual Hourly Integrated Peak Cooling Loads 210_Day</t>
  </si>
  <si>
    <t>Annual Hourly Integrated Peak Cooling Loads 210_Hour</t>
  </si>
  <si>
    <t>Annual Hourly Integrated Peak Cooling Loads 215_kW</t>
  </si>
  <si>
    <t>Annual Hourly Integrated Peak Cooling Loads 215_Month*</t>
  </si>
  <si>
    <t>Annual Hourly Integrated Peak Cooling Loads 215_Day</t>
  </si>
  <si>
    <t>Annual Hourly Integrated Peak Cooling Loads 215_Hour</t>
  </si>
  <si>
    <t>Annual Hourly Integrated Peak Cooling Loads 220_kW</t>
  </si>
  <si>
    <t>Annual Hourly Integrated Peak Cooling Loads 220_Month*</t>
  </si>
  <si>
    <t>Annual Hourly Integrated Peak Cooling Loads 220_Day</t>
  </si>
  <si>
    <t>Annual Hourly Integrated Peak Cooling Loads 220_Hour</t>
  </si>
  <si>
    <t>Annual Hourly Integrated Peak Cooling Loads 230_kW</t>
  </si>
  <si>
    <t>Annual Hourly Integrated Peak Cooling Loads 230_Month*</t>
  </si>
  <si>
    <t>Annual Hourly Integrated Peak Cooling Loads 230_Day</t>
  </si>
  <si>
    <t>Annual Hourly Integrated Peak Cooling Loads 230_Hour</t>
  </si>
  <si>
    <t>Annual Hourly Integrated Peak Cooling Loads 240_kW</t>
  </si>
  <si>
    <t>Annual Hourly Integrated Peak Cooling Loads 240_Month*</t>
  </si>
  <si>
    <t>Annual Hourly Integrated Peak Cooling Loads 240_Day</t>
  </si>
  <si>
    <t>Annual Hourly Integrated Peak Cooling Loads 240_Hour</t>
  </si>
  <si>
    <t>Annual Hourly Integrated Peak Cooling Loads 250_kW</t>
  </si>
  <si>
    <t>Annual Hourly Integrated Peak Cooling Loads 250_Month*</t>
  </si>
  <si>
    <t>Annual Hourly Integrated Peak Cooling Loads 250_Day</t>
  </si>
  <si>
    <t>Annual Hourly Integrated Peak Cooling Loads 250_Hour</t>
  </si>
  <si>
    <t>Annual Hourly Integrated Peak Cooling Loads 270_kW</t>
  </si>
  <si>
    <t>Annual Hourly Integrated Peak Cooling Loads 270_Month*</t>
  </si>
  <si>
    <t>Annual Hourly Integrated Peak Cooling Loads 270_Day</t>
  </si>
  <si>
    <t>Annual Hourly Integrated Peak Cooling Loads 270_Hour</t>
  </si>
  <si>
    <t>Annual Hourly Integrated Peak Cooling Loads 280_kW</t>
  </si>
  <si>
    <t>Annual Hourly Integrated Peak Cooling Loads 280_Month*</t>
  </si>
  <si>
    <t>Annual Hourly Integrated Peak Cooling Loads 280_Day</t>
  </si>
  <si>
    <t>Annual Hourly Integrated Peak Cooling Loads 280_Hour</t>
  </si>
  <si>
    <t>Annual Hourly Integrated Peak Cooling Loads 290_kW</t>
  </si>
  <si>
    <t>Annual Hourly Integrated Peak Cooling Loads 290_Month*</t>
  </si>
  <si>
    <t>Annual Hourly Integrated Peak Cooling Loads 290_Day</t>
  </si>
  <si>
    <t>Annual Hourly Integrated Peak Cooling Loads 290_Hour</t>
  </si>
  <si>
    <t>Annual Hourly Integrated Peak Cooling Loads 300_kW</t>
  </si>
  <si>
    <t>Annual Hourly Integrated Peak Cooling Loads 300_Month*</t>
  </si>
  <si>
    <t>Annual Hourly Integrated Peak Cooling Loads 300_Day</t>
  </si>
  <si>
    <t>Annual Hourly Integrated Peak Cooling Loads 300_Hour</t>
  </si>
  <si>
    <t>Annual Hourly Integrated Peak Cooling Loads 310_kW</t>
  </si>
  <si>
    <t>Annual Hourly Integrated Peak Cooling Loads 310_Month*</t>
  </si>
  <si>
    <t>Annual Hourly Integrated Peak Cooling Loads 310_Day</t>
  </si>
  <si>
    <t>Annual Hourly Integrated Peak Cooling Loads 310_Hour</t>
  </si>
  <si>
    <t>Annual Hourly Integrated Peak Cooling Loads 320_kW</t>
  </si>
  <si>
    <t>Annual Hourly Integrated Peak Cooling Loads 320_Month*</t>
  </si>
  <si>
    <t>Annual Hourly Integrated Peak Cooling Loads 320_Day</t>
  </si>
  <si>
    <t>Annual Hourly Integrated Peak Cooling Loads 320_Hour</t>
  </si>
  <si>
    <t>Annual Hourly Integrated Peak Cooling Loads 395_kW</t>
  </si>
  <si>
    <t>Annual Hourly Integrated Peak Cooling Loads 395_Month*</t>
  </si>
  <si>
    <t>Annual Hourly Integrated Peak Cooling Loads 395_Day</t>
  </si>
  <si>
    <t>Annual Hourly Integrated Peak Cooling Loads 395_Hour</t>
  </si>
  <si>
    <t>Annual Hourly Integrated Peak Cooling Loads 400_kW</t>
  </si>
  <si>
    <t>Annual Hourly Integrated Peak Cooling Loads 400_Month*</t>
  </si>
  <si>
    <t>Annual Hourly Integrated Peak Cooling Loads 400_Day</t>
  </si>
  <si>
    <t>Annual Hourly Integrated Peak Cooling Loads 400_Hour</t>
  </si>
  <si>
    <t>Annual Hourly Integrated Peak Cooling Loads 410_kW</t>
  </si>
  <si>
    <t>Annual Hourly Integrated Peak Cooling Loads 410_Month*</t>
  </si>
  <si>
    <t>Annual Hourly Integrated Peak Cooling Loads 410_Day</t>
  </si>
  <si>
    <t>Annual Hourly Integrated Peak Cooling Loads 410_Hour</t>
  </si>
  <si>
    <t>Annual Hourly Integrated Peak Cooling Loads 420_kW</t>
  </si>
  <si>
    <t>Annual Hourly Integrated Peak Cooling Loads 420_Month*</t>
  </si>
  <si>
    <t>Annual Hourly Integrated Peak Cooling Loads 420_Day</t>
  </si>
  <si>
    <t>Annual Hourly Integrated Peak Cooling Loads 420_Hour</t>
  </si>
  <si>
    <t>Annual Hourly Integrated Peak Cooling Loads 430_kW</t>
  </si>
  <si>
    <t>Annual Hourly Integrated Peak Cooling Loads 430_Month*</t>
  </si>
  <si>
    <t>Annual Hourly Integrated Peak Cooling Loads 430_Day</t>
  </si>
  <si>
    <t>Annual Hourly Integrated Peak Cooling Loads 430_Hour</t>
  </si>
  <si>
    <t>Annual Hourly Integrated Peak Cooling Loads 440_kW</t>
  </si>
  <si>
    <t>Annual Hourly Integrated Peak Cooling Loads 440_Month*</t>
  </si>
  <si>
    <t>Annual Hourly Integrated Peak Cooling Loads 440_Day</t>
  </si>
  <si>
    <t>Annual Hourly Integrated Peak Cooling Loads 440_Hour</t>
  </si>
  <si>
    <t>Annual Hourly Integrated Peak Cooling Loads 450_kW</t>
  </si>
  <si>
    <t>Annual Hourly Integrated Peak Cooling Loads 450_Month*</t>
  </si>
  <si>
    <t>Annual Hourly Integrated Peak Cooling Loads 450_Day</t>
  </si>
  <si>
    <t>Annual Hourly Integrated Peak Cooling Loads 450_Hour</t>
  </si>
  <si>
    <t>Annual Hourly Integrated Peak Cooling Loads 460_kW</t>
  </si>
  <si>
    <t>Annual Hourly Integrated Peak Cooling Loads 460_Month*</t>
  </si>
  <si>
    <t>Annual Hourly Integrated Peak Cooling Loads 460_Day</t>
  </si>
  <si>
    <t>Annual Hourly Integrated Peak Cooling Loads 460_Hour</t>
  </si>
  <si>
    <t>Annual Hourly Integrated Peak Cooling Loads 470_kW</t>
  </si>
  <si>
    <t>Annual Hourly Integrated Peak Cooling Loads 470_Month*</t>
  </si>
  <si>
    <t>Annual Hourly Integrated Peak Cooling Loads 470_Day</t>
  </si>
  <si>
    <t>Annual Hourly Integrated Peak Cooling Loads 470_Hour</t>
  </si>
  <si>
    <t>Annual Hourly Integrated Peak Cooling Loads 800_kW</t>
  </si>
  <si>
    <t>Annual Hourly Integrated Peak Cooling Loads 800_Month*</t>
  </si>
  <si>
    <t>Annual Hourly Integrated Peak Cooling Loads 800_Day</t>
  </si>
  <si>
    <t>Annual Hourly Integrated Peak Cooling Loads 800_Hour</t>
  </si>
  <si>
    <t>Annual Hourly Integrated Peak Cooling Loads 810_kW</t>
  </si>
  <si>
    <t>Annual Hourly Integrated Peak Cooling Loads 810_Month*</t>
  </si>
  <si>
    <t>Annual Hourly Integrated Peak Cooling Loads 810_Day</t>
  </si>
  <si>
    <t>Annual Hourly Integrated Peak Cooling Loads 810_Hour</t>
  </si>
  <si>
    <t>FF Average Hourly Zone Temperature 680FF</t>
  </si>
  <si>
    <t>FF Average Hourly Zone Temperature 980FF</t>
  </si>
  <si>
    <t>FF Min Hourly Zone Temperature 600FF_¬∞C</t>
  </si>
  <si>
    <t>FF Min Hourly Zone Temperature 600FF_Hour</t>
  </si>
  <si>
    <t>FF Min Hourly Zone Temperature 900FF_¬∞C</t>
  </si>
  <si>
    <t>FF Min Hourly Zone Temperature 900FF_Hour</t>
  </si>
  <si>
    <t>FF Min Hourly Zone Temperature 650FF_¬∞C</t>
  </si>
  <si>
    <t>FF Min Hourly Zone Temperature 650FF_Hour</t>
  </si>
  <si>
    <t>FF Min Hourly Zone Temperature 950FF_¬∞C</t>
  </si>
  <si>
    <t>FF Min Hourly Zone Temperature 950FF_Hour</t>
  </si>
  <si>
    <t>FF Min Hourly Zone Temperature 680FF_¬∞C</t>
  </si>
  <si>
    <t>FF Min Hourly Zone Temperature 680FF_DATE</t>
  </si>
  <si>
    <t>FF Min Hourly Zone Temperature 680FF_Hour</t>
  </si>
  <si>
    <t>FF Min Hourly Zone Temperature 980FF_¬∞C</t>
  </si>
  <si>
    <t>FF Min Hourly Zone Temperature 980FF_DATE</t>
  </si>
  <si>
    <t>FF Min Hourly Zone Temperature 980FF_Hour</t>
  </si>
  <si>
    <t>FF Min Hourly Zone Temperature 960_¬∞C</t>
  </si>
  <si>
    <t>FF Min Hourly Zone Temperature 960_Hour</t>
  </si>
  <si>
    <t>FF Max Hourly Zone Temperature 600FF_¬∞C</t>
  </si>
  <si>
    <t>FF Max Hourly Zone Temperature 600FF_Hour</t>
  </si>
  <si>
    <t>FF Max Hourly Zone Temperature 900FF_¬∞C</t>
  </si>
  <si>
    <t>FF Max Hourly Zone Temperature 900FF_Hour</t>
  </si>
  <si>
    <t>FF Max Hourly Zone Temperature 650FF_¬∞C</t>
  </si>
  <si>
    <t>FF Max Hourly Zone Temperature 650FF_Hour</t>
  </si>
  <si>
    <t>FF Max Hourly Zone Temperature 950FF_¬∞C</t>
  </si>
  <si>
    <t>FF Max Hourly Zone Temperature 950FF_Hour</t>
  </si>
  <si>
    <t>FF Max Hourly Zone Temperature 680FF_¬∞C</t>
  </si>
  <si>
    <t>FF Max Hourly Zone Temperature 680FF_DATE</t>
  </si>
  <si>
    <t>FF Max Hourly Zone Temperature 680FF_Hour</t>
  </si>
  <si>
    <t>FF Max Hourly Zone Temperature 980FF_¬∞C</t>
  </si>
  <si>
    <t>FF Max Hourly Zone Temperature 980FF_DATE</t>
  </si>
  <si>
    <t>FF Max Hourly Zone Temperature 980FF_Hour</t>
  </si>
  <si>
    <t>FF Max Hourly Zone Temperature 960_¬∞C</t>
  </si>
  <si>
    <t>FF Max Hourly Zone Temperature 960_Hour</t>
  </si>
  <si>
    <t>Unshaded Annual Transmitted Cases 620 and 600 620/West</t>
  </si>
  <si>
    <t>Unshaded Annual Transmitted Cases 620 and 600 600/South</t>
  </si>
  <si>
    <t>Unshaded Annual Transmitted Cases 660 and 670 660/South</t>
  </si>
  <si>
    <t>Unshaded Annual Transmitted Cases 660 and 670 670/South</t>
  </si>
  <si>
    <t>Shaded Annual Transmitted Cases 930 and 910 630/West</t>
  </si>
  <si>
    <t>Shaded Annual Transmitted Cases 930 and 910 610/South</t>
  </si>
  <si>
    <t>Sky Temperature Output 600</t>
  </si>
  <si>
    <t>Sky Temperature Output 600_¬∞C</t>
  </si>
  <si>
    <t>Sky Temperature Output 600_DATE</t>
  </si>
  <si>
    <t>Sky Temperature Output 600_Hour</t>
  </si>
  <si>
    <t>Monthly Conditioned Zone Loads Case 600 and 900 Total Heating 600</t>
  </si>
  <si>
    <t>Monthly Conditioned Zone Loads Case 600 and 900 Total Heating 900</t>
  </si>
  <si>
    <t>Monthly Conditioned Zone Loads Case 600 and 900 Total Cooling 600</t>
  </si>
  <si>
    <t>Monthly Conditioned Zone Loads Case 600 and 900 Total Cooling 900</t>
  </si>
  <si>
    <t>Monthly Conditioned Zone Loads Case 600 and 900 Peak Heating Value 600</t>
  </si>
  <si>
    <t>Monthly Conditioned Zone Loads Case 600 and 900 Peak Heating Value 900</t>
  </si>
  <si>
    <t>Monthly Conditioned Zone Loads Case 600 and 900 Peak Heating Day 600</t>
  </si>
  <si>
    <t>Monthly Conditioned Zone Loads Case 600 and 900 Peak Heating Hour 600</t>
  </si>
  <si>
    <t>Monthly Conditioned Zone Loads Case 600 and 900 Peak Heating Day 900</t>
  </si>
  <si>
    <t>Monthly Conditioned Zone Loads Case 600 and 900 Peak Heating Hour 900</t>
  </si>
  <si>
    <t>Monthly Conditioned Zone Loads Case 600 and 900 Peak Cooling Value 600</t>
  </si>
  <si>
    <t>Monthly Conditioned Zone Loads Case 600 and 900 Peak Cooling Value 900</t>
  </si>
  <si>
    <t>Monthly Conditioned Zone Loads Case 600 and 900 Peak Cooling Day 600</t>
  </si>
  <si>
    <t>Monthly Conditioned Zone Loads Case 600 and 900 Peak Cooling Hour 600</t>
  </si>
  <si>
    <t>Monthly Conditioned Zone Loads Case 600 and 900 Peak Cooling Day 900</t>
  </si>
  <si>
    <t>Monthly Conditioned Zone Loads Case 600 and 900 Peak Cooling Hour 900</t>
  </si>
  <si>
    <t>Hourly Incident Solar Radiation Cloudy Day May 4th Case 600 - Horizontal 1</t>
  </si>
  <si>
    <t>Hourly Incident Solar Radiation Cloudy Day May 4th Case 600 - Horizontal 2</t>
  </si>
  <si>
    <t>Hourly Incident Solar Radiation Cloudy Day May 4th Case 600 - Horizontal 3</t>
  </si>
  <si>
    <t>Hourly Incident Solar Radiation Cloudy Day May 4th Case 600 - Horizontal 4</t>
  </si>
  <si>
    <t>Hourly Incident Solar Radiation Cloudy Day May 4th Case 600 - Horizontal 5</t>
  </si>
  <si>
    <t>Hourly Incident Solar Radiation Cloudy Day May 4th Case 600 - Horizontal 6</t>
  </si>
  <si>
    <t>Hourly Incident Solar Radiation Cloudy Day May 4th Case 600 - Horizontal 7</t>
  </si>
  <si>
    <t>Hourly Incident Solar Radiation Cloudy Day May 4th Case 600 - Horizontal 8</t>
  </si>
  <si>
    <t>Hourly Incident Solar Radiation Cloudy Day May 4th Case 600 - Horizontal 9</t>
  </si>
  <si>
    <t>Hourly Incident Solar Radiation Cloudy Day May 4th Case 600 - Horizontal 10</t>
  </si>
  <si>
    <t>Hourly Incident Solar Radiation Cloudy Day May 4th Case 600 - Horizontal 11</t>
  </si>
  <si>
    <t>Hourly Incident Solar Radiation Cloudy Day May 4th Case 600 - Horizontal 12</t>
  </si>
  <si>
    <t>Hourly Incident Solar Radiation Cloudy Day May 4th Case 600 - Horizontal 13</t>
  </si>
  <si>
    <t>Hourly Incident Solar Radiation Cloudy Day May 4th Case 600 - Horizontal 14</t>
  </si>
  <si>
    <t>Hourly Incident Solar Radiation Cloudy Day May 4th Case 600 - Horizontal 15</t>
  </si>
  <si>
    <t>Hourly Incident Solar Radiation Cloudy Day May 4th Case 600 - Horizontal 16</t>
  </si>
  <si>
    <t>Hourly Incident Solar Radiation Cloudy Day May 4th Case 600 - Horizontal 17</t>
  </si>
  <si>
    <t>Hourly Incident Solar Radiation Cloudy Day May 4th Case 600 - Horizontal 18</t>
  </si>
  <si>
    <t>Hourly Incident Solar Radiation Cloudy Day May 4th Case 600 - Horizontal 19</t>
  </si>
  <si>
    <t>Hourly Incident Solar Radiation Cloudy Day May 4th Case 600 - Horizontal 20</t>
  </si>
  <si>
    <t>Hourly Incident Solar Radiation Cloudy Day May 4th Case 600 - Horizontal 21</t>
  </si>
  <si>
    <t>Hourly Incident Solar Radiation Cloudy Day May 4th Case 600 - Horizontal 22</t>
  </si>
  <si>
    <t>Hourly Incident Solar Radiation Cloudy Day May 4th Case 600 - Horizontal 23</t>
  </si>
  <si>
    <t>Hourly Incident Solar Radiation Cloudy Day May 4th Case 600 - Horizontal 24</t>
  </si>
  <si>
    <t>Hourly Incident Solar Radiation Cloudy Day May 4th Case 600 - South 1</t>
  </si>
  <si>
    <t>Hourly Incident Solar Radiation Cloudy Day May 4th Case 600 - South 2</t>
  </si>
  <si>
    <t>Hourly Incident Solar Radiation Cloudy Day May 4th Case 600 - South 3</t>
  </si>
  <si>
    <t>Hourly Incident Solar Radiation Cloudy Day May 4th Case 600 - South 4</t>
  </si>
  <si>
    <t>Hourly Incident Solar Radiation Cloudy Day May 4th Case 600 - South 5</t>
  </si>
  <si>
    <t>Hourly Incident Solar Radiation Cloudy Day May 4th Case 600 - South 6</t>
  </si>
  <si>
    <t>Hourly Incident Solar Radiation Cloudy Day May 4th Case 600 - South 7</t>
  </si>
  <si>
    <t>Hourly Incident Solar Radiation Cloudy Day May 4th Case 600 - South 8</t>
  </si>
  <si>
    <t>Hourly Incident Solar Radiation Cloudy Day May 4th Case 600 - South 9</t>
  </si>
  <si>
    <t>Hourly Incident Solar Radiation Cloudy Day May 4th Case 600 - South 10</t>
  </si>
  <si>
    <t>Hourly Incident Solar Radiation Cloudy Day May 4th Case 600 - South 11</t>
  </si>
  <si>
    <t>Hourly Incident Solar Radiation Cloudy Day May 4th Case 600 - South 12</t>
  </si>
  <si>
    <t>Hourly Incident Solar Radiation Cloudy Day May 4th Case 600 - South 13</t>
  </si>
  <si>
    <t>Hourly Incident Solar Radiation Cloudy Day May 4th Case 600 - South 14</t>
  </si>
  <si>
    <t>Hourly Incident Solar Radiation Cloudy Day May 4th Case 600 - South 15</t>
  </si>
  <si>
    <t>Hourly Incident Solar Radiation Cloudy Day May 4th Case 600 - South 16</t>
  </si>
  <si>
    <t>Hourly Incident Solar Radiation Cloudy Day May 4th Case 600 - South 17</t>
  </si>
  <si>
    <t>Hourly Incident Solar Radiation Cloudy Day May 4th Case 600 - South 18</t>
  </si>
  <si>
    <t>Hourly Incident Solar Radiation Cloudy Day May 4th Case 600 - South 19</t>
  </si>
  <si>
    <t>Hourly Incident Solar Radiation Cloudy Day May 4th Case 600 - South 20</t>
  </si>
  <si>
    <t>Hourly Incident Solar Radiation Cloudy Day May 4th Case 600 - South 21</t>
  </si>
  <si>
    <t>Hourly Incident Solar Radiation Cloudy Day May 4th Case 600 - South 22</t>
  </si>
  <si>
    <t>Hourly Incident Solar Radiation Cloudy Day May 4th Case 600 - South 23</t>
  </si>
  <si>
    <t>Hourly Incident Solar Radiation Cloudy Day May 4th Case 600 - South 24</t>
  </si>
  <si>
    <t>Hourly Incident Solar Radiation Cloudy Day May 4th Case 600 - West 1</t>
  </si>
  <si>
    <t>Hourly Incident Solar Radiation Cloudy Day May 4th Case 600 - West 2</t>
  </si>
  <si>
    <t>Hourly Incident Solar Radiation Cloudy Day May 4th Case 600 - West 3</t>
  </si>
  <si>
    <t>Hourly Incident Solar Radiation Cloudy Day May 4th Case 600 - West 4</t>
  </si>
  <si>
    <t>Hourly Incident Solar Radiation Cloudy Day May 4th Case 600 - West 5</t>
  </si>
  <si>
    <t>Hourly Incident Solar Radiation Cloudy Day May 4th Case 600 - West 6</t>
  </si>
  <si>
    <t>Hourly Incident Solar Radiation Cloudy Day May 4th Case 600 - West 7</t>
  </si>
  <si>
    <t>Hourly Incident Solar Radiation Cloudy Day May 4th Case 600 - West 8</t>
  </si>
  <si>
    <t>Hourly Incident Solar Radiation Cloudy Day May 4th Case 600 - West 9</t>
  </si>
  <si>
    <t>Hourly Incident Solar Radiation Cloudy Day May 4th Case 600 - West 10</t>
  </si>
  <si>
    <t>Hourly Incident Solar Radiation Cloudy Day May 4th Case 600 - West 11</t>
  </si>
  <si>
    <t>Hourly Incident Solar Radiation Cloudy Day May 4th Case 600 - West 12</t>
  </si>
  <si>
    <t>Hourly Incident Solar Radiation Cloudy Day May 4th Case 600 - West 13</t>
  </si>
  <si>
    <t>Hourly Incident Solar Radiation Cloudy Day May 4th Case 600 - West 14</t>
  </si>
  <si>
    <t>Hourly Incident Solar Radiation Cloudy Day May 4th Case 600 - West 15</t>
  </si>
  <si>
    <t>Hourly Incident Solar Radiation Cloudy Day May 4th Case 600 - West 16</t>
  </si>
  <si>
    <t>Hourly Incident Solar Radiation Cloudy Day May 4th Case 600 - West 17</t>
  </si>
  <si>
    <t>Hourly Incident Solar Radiation Cloudy Day May 4th Case 600 - West 18</t>
  </si>
  <si>
    <t>Hourly Incident Solar Radiation Cloudy Day May 4th Case 600 - West 19</t>
  </si>
  <si>
    <t>Hourly Incident Solar Radiation Cloudy Day May 4th Case 600 - West 20</t>
  </si>
  <si>
    <t>Hourly Incident Solar Radiation Cloudy Day May 4th Case 600 - West 21</t>
  </si>
  <si>
    <t>Hourly Incident Solar Radiation Cloudy Day May 4th Case 600 - West 22</t>
  </si>
  <si>
    <t>Hourly Incident Solar Radiation Cloudy Day May 4th Case 600 - West 23</t>
  </si>
  <si>
    <t>Hourly Incident Solar Radiation Cloudy Day May 4th Case 600 - West 24</t>
  </si>
  <si>
    <t>Hourly Incident Solar Radiation Cloudy Day July 14th Case 600 - Horizontal 1</t>
  </si>
  <si>
    <t>Hourly Incident Solar Radiation Cloudy Day July 14th Case 600 - Horizontal 2</t>
  </si>
  <si>
    <t>Hourly Incident Solar Radiation Cloudy Day July 14th Case 600 - Horizontal 3</t>
  </si>
  <si>
    <t>Hourly Incident Solar Radiation Cloudy Day July 14th Case 600 - Horizontal 4</t>
  </si>
  <si>
    <t>Hourly Incident Solar Radiation Cloudy Day July 14th Case 600 - Horizontal 5</t>
  </si>
  <si>
    <t>Hourly Incident Solar Radiation Cloudy Day July 14th Case 600 - Horizontal 6</t>
  </si>
  <si>
    <t>Hourly Incident Solar Radiation Cloudy Day July 14th Case 600 - Horizontal 7</t>
  </si>
  <si>
    <t>Hourly Incident Solar Radiation Cloudy Day July 14th Case 600 - Horizontal 8</t>
  </si>
  <si>
    <t>Hourly Incident Solar Radiation Cloudy Day July 14th Case 600 - Horizontal 9</t>
  </si>
  <si>
    <t>Hourly Incident Solar Radiation Cloudy Day July 14th Case 600 - Horizontal 10</t>
  </si>
  <si>
    <t>Hourly Incident Solar Radiation Cloudy Day July 14th Case 600 - Horizontal 11</t>
  </si>
  <si>
    <t>Hourly Incident Solar Radiation Cloudy Day July 14th Case 600 - Horizontal 12</t>
  </si>
  <si>
    <t>Hourly Incident Solar Radiation Cloudy Day July 14th Case 600 - Horizontal 13</t>
  </si>
  <si>
    <t>Hourly Incident Solar Radiation Cloudy Day July 14th Case 600 - Horizontal 14</t>
  </si>
  <si>
    <t>Hourly Incident Solar Radiation Cloudy Day July 14th Case 600 - Horizontal 15</t>
  </si>
  <si>
    <t>Hourly Incident Solar Radiation Cloudy Day July 14th Case 600 - Horizontal 16</t>
  </si>
  <si>
    <t>Hourly Incident Solar Radiation Cloudy Day July 14th Case 600 - Horizontal 17</t>
  </si>
  <si>
    <t>Hourly Incident Solar Radiation Cloudy Day July 14th Case 600 - Horizontal 18</t>
  </si>
  <si>
    <t>Hourly Incident Solar Radiation Cloudy Day July 14th Case 600 - Horizontal 19</t>
  </si>
  <si>
    <t>Hourly Incident Solar Radiation Cloudy Day July 14th Case 600 - Horizontal 20</t>
  </si>
  <si>
    <t>Hourly Incident Solar Radiation Cloudy Day July 14th Case 600 - Horizontal 21</t>
  </si>
  <si>
    <t>Hourly Incident Solar Radiation Cloudy Day July 14th Case 600 - Horizontal 22</t>
  </si>
  <si>
    <t>Hourly Incident Solar Radiation Cloudy Day July 14th Case 600 - Horizontal 23</t>
  </si>
  <si>
    <t>Hourly Incident Solar Radiation Cloudy Day July 14th Case 600 - Horizontal 24</t>
  </si>
  <si>
    <t>Hourly Incident Solar Radiation Clear Day July 14th Case 600 - South 1</t>
  </si>
  <si>
    <t>Hourly Incident Solar Radiation Clear Day July 14th Case 600 - South 2</t>
  </si>
  <si>
    <t>Hourly Incident Solar Radiation Clear Day July 14th Case 600 - South 3</t>
  </si>
  <si>
    <t>Hourly Incident Solar Radiation Clear Day July 14th Case 600 - South 4</t>
  </si>
  <si>
    <t>Hourly Incident Solar Radiation Clear Day July 14th Case 600 - South 5</t>
  </si>
  <si>
    <t>Hourly Incident Solar Radiation Clear Day July 14th Case 600 - South 6</t>
  </si>
  <si>
    <t>Hourly Incident Solar Radiation Clear Day July 14th Case 600 - South 7</t>
  </si>
  <si>
    <t>Hourly Incident Solar Radiation Clear Day July 14th Case 600 - South 8</t>
  </si>
  <si>
    <t>Hourly Incident Solar Radiation Clear Day July 14th Case 600 - South 9</t>
  </si>
  <si>
    <t>Hourly Incident Solar Radiation Clear Day July 14th Case 600 - South 10</t>
  </si>
  <si>
    <t>Hourly Incident Solar Radiation Clear Day July 14th Case 600 - South 11</t>
  </si>
  <si>
    <t>Hourly Incident Solar Radiation Clear Day July 14th Case 600 - South 12</t>
  </si>
  <si>
    <t>Hourly Incident Solar Radiation Clear Day July 14th Case 600 - South 13</t>
  </si>
  <si>
    <t>Hourly Incident Solar Radiation Clear Day July 14th Case 600 - South 14</t>
  </si>
  <si>
    <t>Hourly Incident Solar Radiation Clear Day July 14th Case 600 - South 15</t>
  </si>
  <si>
    <t>Hourly Incident Solar Radiation Clear Day July 14th Case 600 - South 16</t>
  </si>
  <si>
    <t>Hourly Incident Solar Radiation Clear Day July 14th Case 600 - South 17</t>
  </si>
  <si>
    <t>Hourly Incident Solar Radiation Clear Day July 14th Case 600 - South 18</t>
  </si>
  <si>
    <t>Hourly Incident Solar Radiation Clear Day July 14th Case 600 - South 19</t>
  </si>
  <si>
    <t>Hourly Incident Solar Radiation Clear Day July 14th Case 600 - South 20</t>
  </si>
  <si>
    <t>Hourly Incident Solar Radiation Clear Day July 14th Case 600 - South 21</t>
  </si>
  <si>
    <t>Hourly Incident Solar Radiation Clear Day July 14th Case 600 - South 22</t>
  </si>
  <si>
    <t>Hourly Incident Solar Radiation Clear Day July 14th Case 600 - South 23</t>
  </si>
  <si>
    <t>Hourly Incident Solar Radiation Clear Day July 14th Case 600 - South 24</t>
  </si>
  <si>
    <t>Hourly Incident Solar Radiation Clear Day July 14th Case 600 - West 1</t>
  </si>
  <si>
    <t>Hourly Incident Solar Radiation Clear Day July 14th Case 600 - West 2</t>
  </si>
  <si>
    <t>Hourly Incident Solar Radiation Clear Day July 14th Case 600 - West 3</t>
  </si>
  <si>
    <t>Hourly Incident Solar Radiation Clear Day July 14th Case 600 - West 4</t>
  </si>
  <si>
    <t>Hourly Incident Solar Radiation Clear Day July 14th Case 600 - West 5</t>
  </si>
  <si>
    <t>Hourly Incident Solar Radiation Clear Day July 14th Case 600 - West 6</t>
  </si>
  <si>
    <t>Hourly Incident Solar Radiation Clear Day July 14th Case 600 - West 7</t>
  </si>
  <si>
    <t>Hourly Incident Solar Radiation Clear Day July 14th Case 600 - West 8</t>
  </si>
  <si>
    <t>Hourly Incident Solar Radiation Clear Day July 14th Case 600 - West 9</t>
  </si>
  <si>
    <t>Hourly Incident Solar Radiation Clear Day July 14th Case 600 - West 10</t>
  </si>
  <si>
    <t>Hourly Incident Solar Radiation Clear Day July 14th Case 600 - West 11</t>
  </si>
  <si>
    <t>Hourly Incident Solar Radiation Clear Day July 14th Case 600 - West 12</t>
  </si>
  <si>
    <t>Hourly Incident Solar Radiation Clear Day July 14th Case 600 - West 13</t>
  </si>
  <si>
    <t>Hourly Incident Solar Radiation Clear Day July 14th Case 600 - West 14</t>
  </si>
  <si>
    <t>Hourly Incident Solar Radiation Clear Day July 14th Case 600 - West 15</t>
  </si>
  <si>
    <t>Hourly Incident Solar Radiation Clear Day July 14th Case 600 - West 16</t>
  </si>
  <si>
    <t>Hourly Incident Solar Radiation Clear Day July 14th Case 600 - West 17</t>
  </si>
  <si>
    <t>Hourly Incident Solar Radiation Clear Day July 14th Case 600 - West 18</t>
  </si>
  <si>
    <t>Hourly Incident Solar Radiation Clear Day July 14th Case 600 - West 19</t>
  </si>
  <si>
    <t>Hourly Incident Solar Radiation Clear Day July 14th Case 600 - West 20</t>
  </si>
  <si>
    <t>Hourly Incident Solar Radiation Clear Day July 14th Case 600 - West 21</t>
  </si>
  <si>
    <t>Hourly Incident Solar Radiation Clear Day July 14th Case 600 - West 22</t>
  </si>
  <si>
    <t>Hourly Incident Solar Radiation Clear Day July 14th Case 600 - West 23</t>
  </si>
  <si>
    <t>Hourly Incident Solar Radiation Clear Day July 14th Case 600 - West 24</t>
  </si>
  <si>
    <t>Hourly Sky Temperatures for February 1st, May 4th, July 14th Multiple Test Caes 600 1</t>
  </si>
  <si>
    <t>Hourly Sky Temperatures for February 1st, May 4th, July 14th Multiple Test Caes 600 2</t>
  </si>
  <si>
    <t>Hourly Sky Temperatures for February 1st, May 4th, July 14th Multiple Test Caes 600 3</t>
  </si>
  <si>
    <t>Hourly Sky Temperatures for February 1st, May 4th, July 14th Multiple Test Caes 600 4</t>
  </si>
  <si>
    <t>Hourly Sky Temperatures for February 1st, May 4th, July 14th Multiple Test Caes 600 5</t>
  </si>
  <si>
    <t>Hourly Sky Temperatures for February 1st, May 4th, July 14th Multiple Test Caes 600 6</t>
  </si>
  <si>
    <t>Hourly Sky Temperatures for February 1st, May 4th, July 14th Multiple Test Caes 600 7</t>
  </si>
  <si>
    <t>Hourly Sky Temperatures for February 1st, May 4th, July 14th Multiple Test Caes 600 8</t>
  </si>
  <si>
    <t>Hourly Sky Temperatures for February 1st, May 4th, July 14th Multiple Test Caes 600 9</t>
  </si>
  <si>
    <t>Hourly Sky Temperatures for February 1st, May 4th, July 14th Multiple Test Caes 600 10</t>
  </si>
  <si>
    <t>Hourly Sky Temperatures for February 1st, May 4th, July 14th Multiple Test Caes 600 11</t>
  </si>
  <si>
    <t>Hourly Sky Temperatures for February 1st, May 4th, July 14th Multiple Test Caes 600 12</t>
  </si>
  <si>
    <t>Hourly Sky Temperatures for February 1st, May 4th, July 14th Multiple Test Caes 600 13</t>
  </si>
  <si>
    <t>Hourly Sky Temperatures for February 1st, May 4th, July 14th Multiple Test Caes 600 14</t>
  </si>
  <si>
    <t>Hourly Sky Temperatures for February 1st, May 4th, July 14th Multiple Test Caes 600 15</t>
  </si>
  <si>
    <t>Hourly Sky Temperatures for February 1st, May 4th, July 14th Multiple Test Caes 600 16</t>
  </si>
  <si>
    <t>Hourly Sky Temperatures for February 1st, May 4th, July 14th Multiple Test Caes 600 17</t>
  </si>
  <si>
    <t>Hourly Sky Temperatures for February 1st, May 4th, July 14th Multiple Test Caes 600 18</t>
  </si>
  <si>
    <t>Hourly Sky Temperatures for February 1st, May 4th, July 14th Multiple Test Caes 600 19</t>
  </si>
  <si>
    <t>Hourly Sky Temperatures for February 1st, May 4th, July 14th Multiple Test Caes 600 20</t>
  </si>
  <si>
    <t>Hourly Sky Temperatures for February 1st, May 4th, July 14th Multiple Test Caes 600 21</t>
  </si>
  <si>
    <t>Hourly Sky Temperatures for February 1st, May 4th, July 14th Multiple Test Caes 600 22</t>
  </si>
  <si>
    <t>Hourly Sky Temperatures for February 1st, May 4th, July 14th Multiple Test Caes 600 23</t>
  </si>
  <si>
    <t>Hourly Sky Temperatures for February 1st, May 4th, July 14th Multiple Test Caes 600 24</t>
  </si>
  <si>
    <t>Hourly Transmitted Solar Radiation per Area February 1st, May 4th, July 14th Multiple Test Cases 1</t>
  </si>
  <si>
    <t>Hourly Transmitted Solar Radiation per Area February 1st, May 4th, July 14th Multiple Test Cases 2</t>
  </si>
  <si>
    <t>Hourly Transmitted Solar Radiation per Area February 1st, May 4th, July 14th Multiple Test Cases 3</t>
  </si>
  <si>
    <t>Hourly Transmitted Solar Radiation per Area February 1st, May 4th, July 14th Multiple Test Cases 4</t>
  </si>
  <si>
    <t>Hourly Transmitted Solar Radiation per Area February 1st, May 4th, July 14th Multiple Test Cases 5</t>
  </si>
  <si>
    <t>Hourly Transmitted Solar Radiation per Area February 1st, May 4th, July 14th Multiple Test Cases 6</t>
  </si>
  <si>
    <t>Hourly Transmitted Solar Radiation per Area February 1st, May 4th, July 14th Multiple Test Cases 7</t>
  </si>
  <si>
    <t>Hourly Transmitted Solar Radiation per Area February 1st, May 4th, July 14th Multiple Test Cases 8</t>
  </si>
  <si>
    <t>Hourly Transmitted Solar Radiation per Area February 1st, May 4th, July 14th Multiple Test Cases 9</t>
  </si>
  <si>
    <t>Hourly Transmitted Solar Radiation per Area February 1st, May 4th, July 14th Multiple Test Cases 10</t>
  </si>
  <si>
    <t>Hourly Transmitted Solar Radiation per Area February 1st, May 4th, July 14th Multiple Test Cases 11</t>
  </si>
  <si>
    <t>Hourly Transmitted Solar Radiation per Area February 1st, May 4th, July 14th Multiple Test Cases 12</t>
  </si>
  <si>
    <t>Hourly Transmitted Solar Radiation per Area February 1st, May 4th, July 14th Multiple Test Cases 13</t>
  </si>
  <si>
    <t>Hourly Transmitted Solar Radiation per Area February 1st, May 4th, July 14th Multiple Test Cases 14</t>
  </si>
  <si>
    <t>Hourly Transmitted Solar Radiation per Area February 1st, May 4th, July 14th Multiple Test Cases 15</t>
  </si>
  <si>
    <t>Hourly Transmitted Solar Radiation per Area February 1st, May 4th, July 14th Multiple Test Cases 16</t>
  </si>
  <si>
    <t>Hourly Transmitted Solar Radiation per Area February 1st, May 4th, July 14th Multiple Test Cases 17</t>
  </si>
  <si>
    <t>Hourly Transmitted Solar Radiation per Area February 1st, May 4th, July 14th Multiple Test Cases 18</t>
  </si>
  <si>
    <t>Hourly Transmitted Solar Radiation per Area February 1st, May 4th, July 14th Multiple Test Cases 19</t>
  </si>
  <si>
    <t>Hourly Transmitted Solar Radiation per Area February 1st, May 4th, July 14th Multiple Test Cases 20</t>
  </si>
  <si>
    <t>Hourly Transmitted Solar Radiation per Area February 1st, May 4th, July 14th Multiple Test Cases 21</t>
  </si>
  <si>
    <t>Hourly Transmitted Solar Radiation per Area February 1st, May 4th, July 14th Multiple Test Cases 22</t>
  </si>
  <si>
    <t>Hourly Transmitted Solar Radiation per Area February 1st, May 4th, July 14th Multiple Test Cases 23</t>
  </si>
  <si>
    <t>Hourly Transmitted Solar Radiation per Area February 1st, May 4th, July 14th Multiple Test Cases 24</t>
  </si>
  <si>
    <t>Hourly Heating and Cooling Load February 1st and July 14th Multiple Test Cases 1</t>
  </si>
  <si>
    <t>Hourly Heating and Cooling Load February 1st and July 14th Multiple Test Cases 2</t>
  </si>
  <si>
    <t>Hourly Heating and Cooling Load February 1st and July 14th Multiple Test Cases 3</t>
  </si>
  <si>
    <t>Hourly Heating and Cooling Load February 1st and July 14th Multiple Test Cases 4</t>
  </si>
  <si>
    <t>Hourly Heating and Cooling Load February 1st and July 14th Multiple Test Cases 5</t>
  </si>
  <si>
    <t>Hourly Heating and Cooling Load February 1st and July 14th Multiple Test Cases 6</t>
  </si>
  <si>
    <t>Hourly Heating and Cooling Load February 1st and July 14th Multiple Test Cases 7</t>
  </si>
  <si>
    <t>Hourly Heating and Cooling Load February 1st and July 14th Multiple Test Cases 8</t>
  </si>
  <si>
    <t>Hourly Heating and Cooling Load February 1st and July 14th Multiple Test Cases 9</t>
  </si>
  <si>
    <t>Hourly Heating and Cooling Load February 1st and July 14th Multiple Test Cases 10</t>
  </si>
  <si>
    <t>Hourly Heating and Cooling Load February 1st and July 14th Multiple Test Cases 11</t>
  </si>
  <si>
    <t>Hourly Heating and Cooling Load February 1st and July 14th Multiple Test Cases 12</t>
  </si>
  <si>
    <t>Hourly Heating and Cooling Load February 1st and July 14th Multiple Test Cases 13</t>
  </si>
  <si>
    <t>Hourly Heating and Cooling Load February 1st and July 14th Multiple Test Cases 14</t>
  </si>
  <si>
    <t>Hourly Heating and Cooling Load February 1st and July 14th Multiple Test Cases 15</t>
  </si>
  <si>
    <t>Hourly Heating and Cooling Load February 1st and July 14th Multiple Test Cases 16</t>
  </si>
  <si>
    <t>Hourly Heating and Cooling Load February 1st and July 14th Multiple Test Cases 17</t>
  </si>
  <si>
    <t>Hourly Heating and Cooling Load February 1st and July 14th Multiple Test Cases 18</t>
  </si>
  <si>
    <t>Hourly Heating and Cooling Load February 1st and July 14th Multiple Test Cases 19</t>
  </si>
  <si>
    <t>Hourly Heating and Cooling Load February 1st and July 14th Multiple Test Cases 20</t>
  </si>
  <si>
    <t>Hourly Heating and Cooling Load February 1st and July 14th Multiple Test Cases 21</t>
  </si>
  <si>
    <t>Hourly Heating and Cooling Load February 1st and July 14th Multiple Test Cases 22</t>
  </si>
  <si>
    <t>Hourly Heating and Cooling Load February 1st and July 14th Multiple Test Cases 23</t>
  </si>
  <si>
    <t>Hourly Heating and Cooling Load February 1st and July 14th Multiple Test Cases 24</t>
  </si>
  <si>
    <t>Hourly Free Float Temperatures February 1st and July 14th Multiple Test Cases 1</t>
  </si>
  <si>
    <t>Hourly Free Float Temperatures February 1st and July 14th Multiple Test Cases 2</t>
  </si>
  <si>
    <t>Hourly Free Float Temperatures February 1st and July 14th Multiple Test Cases 3</t>
  </si>
  <si>
    <t>Hourly Free Float Temperatures February 1st and July 14th Multiple Test Cases 4</t>
  </si>
  <si>
    <t>Hourly Free Float Temperatures February 1st and July 14th Multiple Test Cases 5</t>
  </si>
  <si>
    <t>Hourly Free Float Temperatures February 1st and July 14th Multiple Test Cases 6</t>
  </si>
  <si>
    <t>Hourly Free Float Temperatures February 1st and July 14th Multiple Test Cases 7</t>
  </si>
  <si>
    <t>Hourly Free Float Temperatures February 1st and July 14th Multiple Test Cases 8</t>
  </si>
  <si>
    <t>Hourly Free Float Temperatures February 1st and July 14th Multiple Test Cases 9</t>
  </si>
  <si>
    <t>Hourly Free Float Temperatures February 1st and July 14th Multiple Test Cases 10</t>
  </si>
  <si>
    <t>Hourly Free Float Temperatures February 1st and July 14th Multiple Test Cases 11</t>
  </si>
  <si>
    <t>Hourly Free Float Temperatures February 1st and July 14th Multiple Test Cases 12</t>
  </si>
  <si>
    <t>Hourly Free Float Temperatures February 1st and July 14th Multiple Test Cases 13</t>
  </si>
  <si>
    <t>Hourly Free Float Temperatures February 1st and July 14th Multiple Test Cases 14</t>
  </si>
  <si>
    <t>Hourly Free Float Temperatures February 1st and July 14th Multiple Test Cases 15</t>
  </si>
  <si>
    <t>Hourly Free Float Temperatures February 1st and July 14th Multiple Test Cases 16</t>
  </si>
  <si>
    <t>Hourly Free Float Temperatures February 1st and July 14th Multiple Test Cases 17</t>
  </si>
  <si>
    <t>Hourly Free Float Temperatures February 1st and July 14th Multiple Test Cases 18</t>
  </si>
  <si>
    <t>Hourly Free Float Temperatures February 1st and July 14th Multiple Test Cases 19</t>
  </si>
  <si>
    <t>Hourly Free Float Temperatures February 1st and July 14th Multiple Test Cases 20</t>
  </si>
  <si>
    <t>Hourly Free Float Temperatures February 1st and July 14th Multiple Test Cases 21</t>
  </si>
  <si>
    <t>Hourly Free Float Temperatures February 1st and July 14th Multiple Test Cases 22</t>
  </si>
  <si>
    <t>Hourly Free Float Temperatures February 1st and July 14th Multiple Test Cases 23</t>
  </si>
  <si>
    <t>Hourly Free Float Temperatures February 1st and July 14th Multiple Test Cases 24</t>
  </si>
  <si>
    <t>DEC</t>
  </si>
  <si>
    <t>FEB</t>
  </si>
  <si>
    <t>JAN</t>
  </si>
  <si>
    <t>NOV</t>
  </si>
  <si>
    <t>JUN</t>
  </si>
  <si>
    <t>OCT</t>
  </si>
  <si>
    <t>SEP</t>
  </si>
  <si>
    <t>AUG</t>
  </si>
  <si>
    <t>32-DEC</t>
  </si>
  <si>
    <t>EnergyPlus 23.1</t>
  </si>
  <si>
    <t>22.2 to 22.3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</si>
</sst>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/>
    <xf numFmtId="16" fontId="0" fillId="0" borderId="0" xfId="0" applyNumberFormat="1"/>
    <xf numFmtId="10" fontId="0" fillId="0" borderId="0" xfId="42" applyNumberFormat="1" applyFont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0" fontId="0" fillId="0" borderId="15" xfId="42" applyNumberFormat="1" applyFont="1" applyBorder="1" applyAlignment="1">
      <alignment horizontal="left"/>
    </xf>
    <xf numFmtId="0" fontId="0" fillId="0" borderId="0" xfId="0" applyAlignment="1">
      <alignment horizontal="left"/>
    </xf>
    <xf numFmtId="10" fontId="16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DD5C-0376-9C4E-9180-4D6E52ECB3E7}">
  <dimension ref="A1:K1967"/>
  <sheetViews>
    <sheetView tabSelected="1" workbookViewId="0">
      <pane xSplit="3" ySplit="6" topLeftCell="D7" activePane="bottomRight" state="frozen"/>
      <selection pane="topRight" activeCell="B1" sqref="B1"/>
      <selection pane="bottomLeft" activeCell="A7" sqref="A7"/>
      <selection pane="bottomRight" activeCell="D99" sqref="D99"/>
    </sheetView>
  </sheetViews>
  <sheetFormatPr baseColWidth="10" defaultRowHeight="16" x14ac:dyDescent="0.2"/>
  <cols>
    <col min="1" max="2" width="20.1640625" customWidth="1"/>
    <col min="3" max="3" width="51.1640625" customWidth="1"/>
    <col min="4" max="5" width="14.1640625" customWidth="1"/>
    <col min="6" max="7" width="16.33203125" customWidth="1"/>
    <col min="8" max="8" width="16.1640625" customWidth="1"/>
    <col min="9" max="9" width="21.5" customWidth="1"/>
    <col min="10" max="11" width="10.83203125" style="5"/>
  </cols>
  <sheetData>
    <row r="1" spans="1:11" s="3" customFormat="1" x14ac:dyDescent="0.2">
      <c r="A1" s="6" t="s">
        <v>1627</v>
      </c>
      <c r="B1" s="7">
        <f ca="1">COUNTIF(D7:D1967,TRUE)</f>
        <v>1845</v>
      </c>
      <c r="C1" t="s">
        <v>0</v>
      </c>
      <c r="D1" s="3" t="s">
        <v>57</v>
      </c>
      <c r="E1" s="3" t="s">
        <v>1653</v>
      </c>
      <c r="F1" t="s">
        <v>2358</v>
      </c>
      <c r="G1" t="s">
        <v>1658</v>
      </c>
      <c r="H1" t="s">
        <v>1656</v>
      </c>
      <c r="J1" s="13"/>
      <c r="K1" s="13"/>
    </row>
    <row r="2" spans="1:11" x14ac:dyDescent="0.2">
      <c r="A2" s="8" t="s">
        <v>1628</v>
      </c>
      <c r="B2" s="9">
        <f ca="1">COUNTIF(D7:D1967,FALSE)</f>
        <v>22</v>
      </c>
      <c r="C2" t="s">
        <v>1</v>
      </c>
      <c r="F2" s="1">
        <v>44648</v>
      </c>
      <c r="G2" s="1">
        <v>44831</v>
      </c>
      <c r="H2" s="1">
        <v>44649</v>
      </c>
    </row>
    <row r="3" spans="1:11" x14ac:dyDescent="0.2">
      <c r="A3" s="10" t="s">
        <v>1654</v>
      </c>
      <c r="B3" s="11">
        <v>1E-4</v>
      </c>
      <c r="C3" t="s">
        <v>2</v>
      </c>
      <c r="F3" t="s">
        <v>3</v>
      </c>
      <c r="G3" t="s">
        <v>3</v>
      </c>
      <c r="H3" t="s">
        <v>3</v>
      </c>
      <c r="J3" t="s">
        <v>2359</v>
      </c>
      <c r="K3" t="s">
        <v>1657</v>
      </c>
    </row>
    <row r="4" spans="1:11" x14ac:dyDescent="0.2">
      <c r="A4" s="12" t="s">
        <v>1655</v>
      </c>
      <c r="C4" t="s">
        <v>4</v>
      </c>
      <c r="F4" s="1">
        <v>44690</v>
      </c>
      <c r="G4" s="1">
        <v>44868</v>
      </c>
      <c r="H4" s="1">
        <v>44708</v>
      </c>
      <c r="J4">
        <f>COUNTIF(J7:J1967,"&gt;" &amp;$B3)</f>
        <v>22</v>
      </c>
      <c r="K4">
        <f>COUNTIF(K7:K1967,"&gt;" &amp;$B3)</f>
        <v>0</v>
      </c>
    </row>
    <row r="5" spans="1:11" x14ac:dyDescent="0.2">
      <c r="C5" t="s">
        <v>5</v>
      </c>
      <c r="F5" t="s">
        <v>6</v>
      </c>
      <c r="G5" t="s">
        <v>6</v>
      </c>
      <c r="H5" t="s">
        <v>6</v>
      </c>
    </row>
    <row r="6" spans="1:11" x14ac:dyDescent="0.2">
      <c r="C6" t="s">
        <v>7</v>
      </c>
      <c r="F6" t="s">
        <v>8</v>
      </c>
      <c r="G6" t="s">
        <v>8</v>
      </c>
      <c r="H6" t="s">
        <v>8</v>
      </c>
    </row>
    <row r="7" spans="1:11" x14ac:dyDescent="0.2">
      <c r="C7" t="s">
        <v>237</v>
      </c>
      <c r="D7" t="b">
        <f ca="1">IF(CELL("format",F7)="G",IF(ABS(F7-G7) &lt;= ABS(F7*B$3),TRUE,FALSE),IF(F7=G7,TRUE,FALSE))</f>
        <v>1</v>
      </c>
      <c r="E7" s="5">
        <f>ABS(F7-G7)/ABS(F7)</f>
        <v>0</v>
      </c>
      <c r="F7">
        <v>4.3222199999999997</v>
      </c>
      <c r="G7">
        <v>4.3222199999999997</v>
      </c>
      <c r="H7">
        <v>4.3222199999999997</v>
      </c>
      <c r="J7" s="5">
        <f>ABS(F7-G7)/ABS(F7)</f>
        <v>0</v>
      </c>
      <c r="K7" s="5">
        <f>ABS(G7-H7)/ABS(G7)</f>
        <v>0</v>
      </c>
    </row>
    <row r="8" spans="1:11" x14ac:dyDescent="0.2">
      <c r="C8" t="s">
        <v>236</v>
      </c>
      <c r="D8" t="b">
        <f ca="1">IF(CELL("format",F8)="G",IF(ABS(F8-G8) &lt;= ABS(F8*B$3),TRUE,FALSE),IF(F8=G8,TRUE,FALSE))</f>
        <v>1</v>
      </c>
      <c r="E8" s="5">
        <f>ABS(F8-G8)/ABS(F8)</f>
        <v>0</v>
      </c>
      <c r="F8">
        <v>4.3722200000000004</v>
      </c>
      <c r="G8">
        <v>4.3722200000000004</v>
      </c>
      <c r="H8">
        <v>4.3722200000000004</v>
      </c>
      <c r="J8" s="5">
        <f>ABS(F8-G8)/ABS(F8)</f>
        <v>0</v>
      </c>
      <c r="K8" s="5">
        <f>ABS(G8-H8)/ABS(G8)</f>
        <v>0</v>
      </c>
    </row>
    <row r="9" spans="1:11" x14ac:dyDescent="0.2">
      <c r="C9" t="s">
        <v>235</v>
      </c>
      <c r="D9" t="b">
        <f ca="1">IF(CELL("format",F9)="G",IF(ABS(F9-G9) &lt;= ABS(F9*B$3),TRUE,FALSE),IF(F9=G9,TRUE,FALSE))</f>
        <v>1</v>
      </c>
      <c r="E9" s="5">
        <f>ABS(F9-G9)/ABS(F9)</f>
        <v>0</v>
      </c>
      <c r="F9">
        <v>4.4805599999999997</v>
      </c>
      <c r="G9">
        <v>4.4805599999999997</v>
      </c>
      <c r="H9">
        <v>4.4805599999999997</v>
      </c>
      <c r="J9" s="5">
        <f>ABS(F9-G9)/ABS(F9)</f>
        <v>0</v>
      </c>
      <c r="K9" s="5">
        <f>ABS(G9-H9)/ABS(G9)</f>
        <v>0</v>
      </c>
    </row>
    <row r="10" spans="1:11" x14ac:dyDescent="0.2">
      <c r="C10" t="s">
        <v>234</v>
      </c>
      <c r="D10" t="b">
        <f ca="1">IF(CELL("format",F10)="G",IF(ABS(F10-G10) &lt;= ABS(F10*B$3),TRUE,FALSE),IF(F10=G10,TRUE,FALSE))</f>
        <v>1</v>
      </c>
      <c r="E10" s="5">
        <f>ABS(F10-G10)/ABS(F10)</f>
        <v>0</v>
      </c>
      <c r="F10">
        <v>4.7805600000000004</v>
      </c>
      <c r="G10">
        <v>4.7805600000000004</v>
      </c>
      <c r="H10">
        <v>4.7805600000000004</v>
      </c>
      <c r="J10" s="5">
        <f>ABS(F10-G10)/ABS(F10)</f>
        <v>0</v>
      </c>
      <c r="K10" s="5">
        <f>ABS(G10-H10)/ABS(G10)</f>
        <v>0</v>
      </c>
    </row>
    <row r="11" spans="1:11" x14ac:dyDescent="0.2">
      <c r="C11" t="s">
        <v>233</v>
      </c>
      <c r="D11" t="b">
        <f ca="1">IF(CELL("format",F11)="G",IF(ABS(F11-G11) &lt;= ABS(F11*B$3),TRUE,FALSE),IF(F11=G11,TRUE,FALSE))</f>
        <v>1</v>
      </c>
      <c r="E11" s="5">
        <f>ABS(F11-G11)/ABS(F11)</f>
        <v>0</v>
      </c>
      <c r="F11">
        <v>2.6611099999999999</v>
      </c>
      <c r="G11">
        <v>2.6611099999999999</v>
      </c>
      <c r="H11">
        <v>2.6611099999999999</v>
      </c>
      <c r="J11" s="5">
        <f>ABS(F11-G11)/ABS(F11)</f>
        <v>0</v>
      </c>
      <c r="K11" s="5">
        <f>ABS(G11-H11)/ABS(G11)</f>
        <v>0</v>
      </c>
    </row>
    <row r="12" spans="1:11" x14ac:dyDescent="0.2">
      <c r="C12" t="s">
        <v>232</v>
      </c>
      <c r="D12" t="b">
        <f ca="1">IF(CELL("format",F12)="G",IF(ABS(F12-G12) &lt;= ABS(F12*B$3),TRUE,FALSE),IF(F12=G12,TRUE,FALSE))</f>
        <v>1</v>
      </c>
      <c r="E12" s="5" t="e">
        <f>ABS(F12-G12)/ABS(F12)</f>
        <v>#DIV/0!</v>
      </c>
      <c r="F12">
        <v>0</v>
      </c>
      <c r="G12">
        <v>0</v>
      </c>
      <c r="H12">
        <v>0</v>
      </c>
      <c r="J12" s="5" t="e">
        <f>ABS(F12-G12)/ABS(F12)</f>
        <v>#DIV/0!</v>
      </c>
      <c r="K12" s="5" t="e">
        <f>ABS(G12-H12)/ABS(G12)</f>
        <v>#DIV/0!</v>
      </c>
    </row>
    <row r="13" spans="1:11" x14ac:dyDescent="0.2">
      <c r="C13" t="s">
        <v>1659</v>
      </c>
      <c r="D13" t="b">
        <f ca="1">IF(CELL("format",F13)="G",IF(ABS(F13-G13) &lt;= ABS(F13*B$3),TRUE,FALSE),IF(F13=G13,TRUE,FALSE))</f>
        <v>1</v>
      </c>
      <c r="E13" s="5">
        <f>ABS(F13-G13)/ABS(F13)</f>
        <v>0</v>
      </c>
      <c r="F13">
        <v>3.7055600000000002</v>
      </c>
      <c r="G13">
        <v>3.7055600000000002</v>
      </c>
      <c r="H13">
        <v>3.7055600000000002</v>
      </c>
      <c r="J13" s="5">
        <f>ABS(F13-G13)/ABS(F13)</f>
        <v>0</v>
      </c>
      <c r="K13" s="5">
        <f>ABS(G13-H13)/ABS(G13)</f>
        <v>0</v>
      </c>
    </row>
    <row r="14" spans="1:11" x14ac:dyDescent="0.2">
      <c r="C14" t="s">
        <v>1660</v>
      </c>
      <c r="D14" t="b">
        <f ca="1">IF(CELL("format",F14)="G",IF(ABS(F14-G14) &lt;= ABS(F14*B$3),TRUE,FALSE),IF(F14=G14,TRUE,FALSE))</f>
        <v>1</v>
      </c>
      <c r="E14" s="5">
        <f>ABS(F14-G14)/ABS(F14)</f>
        <v>0</v>
      </c>
      <c r="F14">
        <v>5.6138899999999996</v>
      </c>
      <c r="G14">
        <v>5.6138899999999996</v>
      </c>
      <c r="H14">
        <v>5.6138899999999996</v>
      </c>
      <c r="J14" s="5">
        <f>ABS(F14-G14)/ABS(F14)</f>
        <v>0</v>
      </c>
      <c r="K14" s="5">
        <f>ABS(G14-H14)/ABS(G14)</f>
        <v>0</v>
      </c>
    </row>
    <row r="15" spans="1:11" x14ac:dyDescent="0.2">
      <c r="C15" t="s">
        <v>1661</v>
      </c>
      <c r="D15" t="b">
        <f ca="1">IF(CELL("format",F15)="G",IF(ABS(F15-G15) &lt;= ABS(F15*B$3),TRUE,FALSE),IF(F15=G15,TRUE,FALSE))</f>
        <v>1</v>
      </c>
      <c r="E15" s="5">
        <f>ABS(F15-G15)/ABS(F15)</f>
        <v>0</v>
      </c>
      <c r="F15">
        <v>2.1777799999999998</v>
      </c>
      <c r="G15">
        <v>2.1777799999999998</v>
      </c>
      <c r="H15">
        <v>2.1777799999999998</v>
      </c>
      <c r="J15" s="5">
        <f>ABS(F15-G15)/ABS(F15)</f>
        <v>0</v>
      </c>
      <c r="K15" s="5">
        <f>ABS(G15-H15)/ABS(G15)</f>
        <v>0</v>
      </c>
    </row>
    <row r="16" spans="1:11" x14ac:dyDescent="0.2">
      <c r="C16" t="s">
        <v>1662</v>
      </c>
      <c r="D16" t="b">
        <f ca="1">IF(CELL("format",F16)="G",IF(ABS(F16-G16) &lt;= ABS(F16*B$3),TRUE,FALSE),IF(F16=G16,TRUE,FALSE))</f>
        <v>1</v>
      </c>
      <c r="E16" s="5">
        <f>ABS(F16-G16)/ABS(F16)</f>
        <v>0</v>
      </c>
      <c r="F16">
        <v>4.875</v>
      </c>
      <c r="G16">
        <v>4.875</v>
      </c>
      <c r="H16">
        <v>4.875</v>
      </c>
      <c r="J16" s="5">
        <f>ABS(F16-G16)/ABS(F16)</f>
        <v>0</v>
      </c>
      <c r="K16" s="5">
        <f>ABS(G16-H16)/ABS(G16)</f>
        <v>0</v>
      </c>
    </row>
    <row r="17" spans="3:11" x14ac:dyDescent="0.2">
      <c r="C17" t="s">
        <v>1663</v>
      </c>
      <c r="D17" t="b">
        <f ca="1">IF(CELL("format",F17)="G",IF(ABS(F17-G17) &lt;= ABS(F17*B$3),TRUE,FALSE),IF(F17=G17,TRUE,FALSE))</f>
        <v>1</v>
      </c>
      <c r="E17" s="5">
        <f>ABS(F17-G17)/ABS(F17)</f>
        <v>0</v>
      </c>
      <c r="F17">
        <v>2.8</v>
      </c>
      <c r="G17">
        <v>2.8</v>
      </c>
      <c r="H17">
        <v>2.8</v>
      </c>
      <c r="J17" s="5">
        <f>ABS(F17-G17)/ABS(F17)</f>
        <v>0</v>
      </c>
      <c r="K17" s="5">
        <f>ABS(G17-H17)/ABS(G17)</f>
        <v>0</v>
      </c>
    </row>
    <row r="18" spans="3:11" x14ac:dyDescent="0.2">
      <c r="C18" t="s">
        <v>231</v>
      </c>
      <c r="D18" t="b">
        <f ca="1">IF(CELL("format",F18)="G",IF(ABS(F18-G18) &lt;= ABS(F18*B$3),TRUE,FALSE),IF(F18=G18,TRUE,FALSE))</f>
        <v>1</v>
      </c>
      <c r="E18" s="5">
        <f>ABS(F18-G18)/ABS(F18)</f>
        <v>0</v>
      </c>
      <c r="F18">
        <v>1.6611100000000001</v>
      </c>
      <c r="G18">
        <v>1.6611100000000001</v>
      </c>
      <c r="H18">
        <v>1.6611100000000001</v>
      </c>
      <c r="J18" s="5">
        <f>ABS(F18-G18)/ABS(F18)</f>
        <v>0</v>
      </c>
      <c r="K18" s="5">
        <f>ABS(G18-H18)/ABS(G18)</f>
        <v>0</v>
      </c>
    </row>
    <row r="19" spans="3:11" x14ac:dyDescent="0.2">
      <c r="C19" t="s">
        <v>230</v>
      </c>
      <c r="D19" t="b">
        <f ca="1">IF(CELL("format",F19)="G",IF(ABS(F19-G19) &lt;= ABS(F19*B$3),TRUE,FALSE),IF(F19=G19,TRUE,FALSE))</f>
        <v>1</v>
      </c>
      <c r="E19" s="5">
        <f>ABS(F19-G19)/ABS(F19)</f>
        <v>0</v>
      </c>
      <c r="F19">
        <v>1.95278</v>
      </c>
      <c r="G19">
        <v>1.95278</v>
      </c>
      <c r="H19">
        <v>1.95278</v>
      </c>
      <c r="J19" s="5">
        <f>ABS(F19-G19)/ABS(F19)</f>
        <v>0</v>
      </c>
      <c r="K19" s="5">
        <f>ABS(G19-H19)/ABS(G19)</f>
        <v>0</v>
      </c>
    </row>
    <row r="20" spans="3:11" x14ac:dyDescent="0.2">
      <c r="C20" t="s">
        <v>229</v>
      </c>
      <c r="D20" t="b">
        <f ca="1">IF(CELL("format",F20)="G",IF(ABS(F20-G20) &lt;= ABS(F20*B$3),TRUE,FALSE),IF(F20=G20,TRUE,FALSE))</f>
        <v>1</v>
      </c>
      <c r="E20" s="5">
        <f>ABS(F20-G20)/ABS(F20)</f>
        <v>0</v>
      </c>
      <c r="F20">
        <v>3.3305600000000002</v>
      </c>
      <c r="G20">
        <v>3.3305600000000002</v>
      </c>
      <c r="H20">
        <v>3.3305600000000002</v>
      </c>
      <c r="J20" s="5">
        <f>ABS(F20-G20)/ABS(F20)</f>
        <v>0</v>
      </c>
      <c r="K20" s="5">
        <f>ABS(G20-H20)/ABS(G20)</f>
        <v>0</v>
      </c>
    </row>
    <row r="21" spans="3:11" x14ac:dyDescent="0.2">
      <c r="C21" t="s">
        <v>228</v>
      </c>
      <c r="D21" t="b">
        <f ca="1">IF(CELL("format",F21)="G",IF(ABS(F21-G21) &lt;= ABS(F21*B$3),TRUE,FALSE),IF(F21=G21,TRUE,FALSE))</f>
        <v>1</v>
      </c>
      <c r="E21" s="5">
        <f>ABS(F21-G21)/ABS(F21)</f>
        <v>0</v>
      </c>
      <c r="F21">
        <v>3.98889</v>
      </c>
      <c r="G21">
        <v>3.98889</v>
      </c>
      <c r="H21">
        <v>3.98889</v>
      </c>
      <c r="J21" s="5">
        <f>ABS(F21-G21)/ABS(F21)</f>
        <v>0</v>
      </c>
      <c r="K21" s="5">
        <f>ABS(G21-H21)/ABS(G21)</f>
        <v>0</v>
      </c>
    </row>
    <row r="22" spans="3:11" x14ac:dyDescent="0.2">
      <c r="C22" t="s">
        <v>227</v>
      </c>
      <c r="D22" t="b">
        <f ca="1">IF(CELL("format",F22)="G",IF(ABS(F22-G22) &lt;= ABS(F22*B$3),TRUE,FALSE),IF(F22=G22,TRUE,FALSE))</f>
        <v>1</v>
      </c>
      <c r="E22" s="5">
        <f>ABS(F22-G22)/ABS(F22)</f>
        <v>0</v>
      </c>
      <c r="F22">
        <v>1.06667</v>
      </c>
      <c r="G22">
        <v>1.06667</v>
      </c>
      <c r="H22">
        <v>1.06667</v>
      </c>
      <c r="J22" s="5">
        <f>ABS(F22-G22)/ABS(F22)</f>
        <v>0</v>
      </c>
      <c r="K22" s="5">
        <f>ABS(G22-H22)/ABS(G22)</f>
        <v>0</v>
      </c>
    </row>
    <row r="23" spans="3:11" x14ac:dyDescent="0.2">
      <c r="C23" t="s">
        <v>226</v>
      </c>
      <c r="D23" t="b">
        <f ca="1">IF(CELL("format",F23)="G",IF(ABS(F23-G23) &lt;= ABS(F23*B$3),TRUE,FALSE),IF(F23=G23,TRUE,FALSE))</f>
        <v>1</v>
      </c>
      <c r="E23" s="5" t="e">
        <f>ABS(F23-G23)/ABS(F23)</f>
        <v>#DIV/0!</v>
      </c>
      <c r="F23">
        <v>0</v>
      </c>
      <c r="G23">
        <v>0</v>
      </c>
      <c r="H23">
        <v>0</v>
      </c>
      <c r="J23" s="5" t="e">
        <f>ABS(F23-G23)/ABS(F23)</f>
        <v>#DIV/0!</v>
      </c>
      <c r="K23" s="5" t="e">
        <f>ABS(G23-H23)/ABS(G23)</f>
        <v>#DIV/0!</v>
      </c>
    </row>
    <row r="24" spans="3:11" x14ac:dyDescent="0.2">
      <c r="C24" t="s">
        <v>225</v>
      </c>
      <c r="D24" t="b">
        <f ca="1">IF(CELL("format",F24)="G",IF(ABS(F24-G24) &lt;= ABS(F24*B$3),TRUE,FALSE),IF(F24=G24,TRUE,FALSE))</f>
        <v>1</v>
      </c>
      <c r="E24" s="5">
        <f>ABS(F24-G24)/ABS(F24)</f>
        <v>0</v>
      </c>
      <c r="F24">
        <v>2.7027800000000002</v>
      </c>
      <c r="G24">
        <v>2.7027800000000002</v>
      </c>
      <c r="H24">
        <v>2.7027800000000002</v>
      </c>
      <c r="J24" s="5">
        <f>ABS(F24-G24)/ABS(F24)</f>
        <v>0</v>
      </c>
      <c r="K24" s="5">
        <f>ABS(G24-H24)/ABS(G24)</f>
        <v>0</v>
      </c>
    </row>
    <row r="25" spans="3:11" x14ac:dyDescent="0.2">
      <c r="C25" t="s">
        <v>1664</v>
      </c>
      <c r="D25" t="b">
        <f ca="1">IF(CELL("format",F25)="G",IF(ABS(F25-G25) &lt;= ABS(F25*B$3),TRUE,FALSE),IF(F25=G25,TRUE,FALSE))</f>
        <v>1</v>
      </c>
      <c r="E25" s="5">
        <f>ABS(F25-G25)/ABS(F25)</f>
        <v>0</v>
      </c>
      <c r="F25">
        <v>0.40555600000000003</v>
      </c>
      <c r="G25">
        <v>0.40555600000000003</v>
      </c>
      <c r="H25">
        <v>0.40555600000000003</v>
      </c>
      <c r="J25" s="5">
        <f>ABS(F25-G25)/ABS(F25)</f>
        <v>0</v>
      </c>
      <c r="K25" s="5">
        <f>ABS(G25-H25)/ABS(G25)</f>
        <v>0</v>
      </c>
    </row>
    <row r="26" spans="3:11" x14ac:dyDescent="0.2">
      <c r="C26" t="s">
        <v>1665</v>
      </c>
      <c r="D26" t="b">
        <f ca="1">IF(CELL("format",F26)="G",IF(ABS(F26-G26) &lt;= ABS(F26*B$3),TRUE,FALSE),IF(F26=G26,TRUE,FALSE))</f>
        <v>1</v>
      </c>
      <c r="E26" s="5">
        <f>ABS(F26-G26)/ABS(F26)</f>
        <v>0</v>
      </c>
      <c r="F26">
        <v>2.3666700000000001</v>
      </c>
      <c r="G26">
        <v>2.3666700000000001</v>
      </c>
      <c r="H26">
        <v>2.3666700000000001</v>
      </c>
      <c r="J26" s="5">
        <f>ABS(F26-G26)/ABS(F26)</f>
        <v>0</v>
      </c>
      <c r="K26" s="5">
        <f>ABS(G26-H26)/ABS(G26)</f>
        <v>0</v>
      </c>
    </row>
    <row r="27" spans="3:11" x14ac:dyDescent="0.2">
      <c r="C27" t="s">
        <v>1666</v>
      </c>
      <c r="D27" t="b">
        <f ca="1">IF(CELL("format",F27)="G",IF(ABS(F27-G27) &lt;= ABS(F27*B$3),TRUE,FALSE),IF(F27=G27,TRUE,FALSE))</f>
        <v>1</v>
      </c>
      <c r="E27" s="5">
        <f>ABS(F27-G27)/ABS(F27)</f>
        <v>0</v>
      </c>
      <c r="F27">
        <v>1</v>
      </c>
      <c r="G27">
        <v>1</v>
      </c>
      <c r="H27">
        <v>1</v>
      </c>
      <c r="J27" s="5">
        <f>ABS(F27-G27)/ABS(F27)</f>
        <v>0</v>
      </c>
      <c r="K27" s="5">
        <f>ABS(G27-H27)/ABS(G27)</f>
        <v>0</v>
      </c>
    </row>
    <row r="28" spans="3:11" x14ac:dyDescent="0.2">
      <c r="C28" t="s">
        <v>224</v>
      </c>
      <c r="D28" t="b">
        <f ca="1">IF(CELL("format",F28)="G",IF(ABS(F28-G28) &lt;= ABS(F28*B$3),TRUE,FALSE),IF(F28=G28,TRUE,FALSE))</f>
        <v>1</v>
      </c>
      <c r="E28" s="5">
        <f>ABS(F28-G28)/ABS(F28)</f>
        <v>0</v>
      </c>
      <c r="F28">
        <v>4.0722199999999997</v>
      </c>
      <c r="G28">
        <v>4.0722199999999997</v>
      </c>
      <c r="H28">
        <v>4.0722199999999997</v>
      </c>
      <c r="J28" s="5">
        <f>ABS(F28-G28)/ABS(F28)</f>
        <v>0</v>
      </c>
      <c r="K28" s="5">
        <f>ABS(G28-H28)/ABS(G28)</f>
        <v>0</v>
      </c>
    </row>
    <row r="29" spans="3:11" x14ac:dyDescent="0.2">
      <c r="C29" t="s">
        <v>223</v>
      </c>
      <c r="D29" t="b">
        <f ca="1">IF(CELL("format",F29)="G",IF(ABS(F29-G29) &lt;= ABS(F29*B$3),TRUE,FALSE),IF(F29=G29,TRUE,FALSE))</f>
        <v>1</v>
      </c>
      <c r="E29" s="5">
        <f>ABS(F29-G29)/ABS(F29)</f>
        <v>0</v>
      </c>
      <c r="F29">
        <v>5.1055599999999997</v>
      </c>
      <c r="G29">
        <v>5.1055599999999997</v>
      </c>
      <c r="H29">
        <v>5.1055599999999997</v>
      </c>
      <c r="J29" s="5">
        <f>ABS(F29-G29)/ABS(F29)</f>
        <v>0</v>
      </c>
      <c r="K29" s="5">
        <f>ABS(G29-H29)/ABS(G29)</f>
        <v>0</v>
      </c>
    </row>
    <row r="30" spans="3:11" x14ac:dyDescent="0.2">
      <c r="C30" t="s">
        <v>222</v>
      </c>
      <c r="D30" t="b">
        <f ca="1">IF(CELL("format",F30)="G",IF(ABS(F30-G30) &lt;= ABS(F30*B$3),TRUE,FALSE),IF(F30=G30,TRUE,FALSE))</f>
        <v>1</v>
      </c>
      <c r="E30" s="5">
        <f>ABS(F30-G30)/ABS(F30)</f>
        <v>0</v>
      </c>
      <c r="F30">
        <v>6.0472200000000003</v>
      </c>
      <c r="G30">
        <v>6.0472200000000003</v>
      </c>
      <c r="H30">
        <v>6.0472200000000003</v>
      </c>
      <c r="J30" s="5">
        <f>ABS(F30-G30)/ABS(F30)</f>
        <v>0</v>
      </c>
      <c r="K30" s="5">
        <f>ABS(G30-H30)/ABS(G30)</f>
        <v>0</v>
      </c>
    </row>
    <row r="31" spans="3:11" x14ac:dyDescent="0.2">
      <c r="C31" t="s">
        <v>221</v>
      </c>
      <c r="D31" t="b">
        <f ca="1">IF(CELL("format",F31)="G",IF(ABS(F31-G31) &lt;= ABS(F31*B$3),TRUE,FALSE),IF(F31=G31,TRUE,FALSE))</f>
        <v>1</v>
      </c>
      <c r="E31" s="5">
        <f>ABS(F31-G31)/ABS(F31)</f>
        <v>0</v>
      </c>
      <c r="F31">
        <v>5.4027799999999999</v>
      </c>
      <c r="G31">
        <v>5.4027799999999999</v>
      </c>
      <c r="H31">
        <v>5.4027799999999999</v>
      </c>
      <c r="J31" s="5">
        <f>ABS(F31-G31)/ABS(F31)</f>
        <v>0</v>
      </c>
      <c r="K31" s="5">
        <f>ABS(G31-H31)/ABS(G31)</f>
        <v>0</v>
      </c>
    </row>
    <row r="32" spans="3:11" x14ac:dyDescent="0.2">
      <c r="C32" t="s">
        <v>220</v>
      </c>
      <c r="D32" t="b">
        <f ca="1">IF(CELL("format",F32)="G",IF(ABS(F32-G32) &lt;= ABS(F32*B$3),TRUE,FALSE),IF(F32=G32,TRUE,FALSE))</f>
        <v>1</v>
      </c>
      <c r="E32" s="5">
        <f>ABS(F32-G32)/ABS(F32)</f>
        <v>0</v>
      </c>
      <c r="F32">
        <v>6.4527799999999997</v>
      </c>
      <c r="G32">
        <v>6.4527799999999997</v>
      </c>
      <c r="H32">
        <v>6.4527799999999997</v>
      </c>
      <c r="J32" s="5">
        <f>ABS(F32-G32)/ABS(F32)</f>
        <v>0</v>
      </c>
      <c r="K32" s="5">
        <f>ABS(G32-H32)/ABS(G32)</f>
        <v>0</v>
      </c>
    </row>
    <row r="33" spans="3:11" x14ac:dyDescent="0.2">
      <c r="C33" t="s">
        <v>219</v>
      </c>
      <c r="D33" t="b">
        <f ca="1">IF(CELL("format",F33)="G",IF(ABS(F33-G33) &lt;= ABS(F33*B$3),TRUE,FALSE),IF(F33=G33,TRUE,FALSE))</f>
        <v>1</v>
      </c>
      <c r="E33" s="5">
        <f>ABS(F33-G33)/ABS(F33)</f>
        <v>0</v>
      </c>
      <c r="F33">
        <v>9.9277800000000003</v>
      </c>
      <c r="G33">
        <v>9.9277800000000003</v>
      </c>
      <c r="H33">
        <v>9.9277800000000003</v>
      </c>
      <c r="J33" s="5">
        <f>ABS(F33-G33)/ABS(F33)</f>
        <v>0</v>
      </c>
      <c r="K33" s="5">
        <f>ABS(G33-H33)/ABS(G33)</f>
        <v>0</v>
      </c>
    </row>
    <row r="34" spans="3:11" x14ac:dyDescent="0.2">
      <c r="C34" t="s">
        <v>218</v>
      </c>
      <c r="D34" t="b">
        <f ca="1">IF(CELL("format",F34)="G",IF(ABS(F34-G34) &lt;= ABS(F34*B$3),TRUE,FALSE),IF(F34=G34,TRUE,FALSE))</f>
        <v>1</v>
      </c>
      <c r="E34" s="5">
        <f>ABS(F34-G34)/ABS(F34)</f>
        <v>0</v>
      </c>
      <c r="F34">
        <v>5.2777799999999999</v>
      </c>
      <c r="G34">
        <v>5.2777799999999999</v>
      </c>
      <c r="H34">
        <v>5.2777799999999999</v>
      </c>
      <c r="J34" s="5">
        <f>ABS(F34-G34)/ABS(F34)</f>
        <v>0</v>
      </c>
      <c r="K34" s="5">
        <f>ABS(G34-H34)/ABS(G34)</f>
        <v>0</v>
      </c>
    </row>
    <row r="35" spans="3:11" x14ac:dyDescent="0.2">
      <c r="C35" t="s">
        <v>217</v>
      </c>
      <c r="D35" t="b">
        <f ca="1">IF(CELL("format",F35)="G",IF(ABS(F35-G35) &lt;= ABS(F35*B$3),TRUE,FALSE),IF(F35=G35,TRUE,FALSE))</f>
        <v>1</v>
      </c>
      <c r="E35" s="5">
        <f>ABS(F35-G35)/ABS(F35)</f>
        <v>0</v>
      </c>
      <c r="F35">
        <v>4.8944400000000003</v>
      </c>
      <c r="G35">
        <v>4.8944400000000003</v>
      </c>
      <c r="H35">
        <v>4.8944400000000003</v>
      </c>
      <c r="J35" s="5">
        <f>ABS(F35-G35)/ABS(F35)</f>
        <v>0</v>
      </c>
      <c r="K35" s="5">
        <f>ABS(G35-H35)/ABS(G35)</f>
        <v>0</v>
      </c>
    </row>
    <row r="36" spans="3:11" x14ac:dyDescent="0.2">
      <c r="C36" t="s">
        <v>216</v>
      </c>
      <c r="D36" t="b">
        <f ca="1">IF(CELL("format",F36)="G",IF(ABS(F36-G36) &lt;= ABS(F36*B$3),TRUE,FALSE),IF(F36=G36,TRUE,FALSE))</f>
        <v>1</v>
      </c>
      <c r="E36" s="5">
        <f>ABS(F36-G36)/ABS(F36)</f>
        <v>0</v>
      </c>
      <c r="F36">
        <v>4.3861100000000004</v>
      </c>
      <c r="G36">
        <v>4.3861100000000004</v>
      </c>
      <c r="H36">
        <v>4.3861100000000004</v>
      </c>
      <c r="J36" s="5">
        <f>ABS(F36-G36)/ABS(F36)</f>
        <v>0</v>
      </c>
      <c r="K36" s="5">
        <f>ABS(G36-H36)/ABS(G36)</f>
        <v>0</v>
      </c>
    </row>
    <row r="37" spans="3:11" x14ac:dyDescent="0.2">
      <c r="C37" t="s">
        <v>215</v>
      </c>
      <c r="D37" t="b">
        <f ca="1">IF(CELL("format",F37)="G",IF(ABS(F37-G37) &lt;= ABS(F37*B$3),TRUE,FALSE),IF(F37=G37,TRUE,FALSE))</f>
        <v>1</v>
      </c>
      <c r="E37" s="5">
        <f>ABS(F37-G37)/ABS(F37)</f>
        <v>0</v>
      </c>
      <c r="F37">
        <v>4.5694400000000002</v>
      </c>
      <c r="G37">
        <v>4.5694400000000002</v>
      </c>
      <c r="H37">
        <v>4.5694400000000002</v>
      </c>
      <c r="J37" s="5">
        <f>ABS(F37-G37)/ABS(F37)</f>
        <v>0</v>
      </c>
      <c r="K37" s="5">
        <f>ABS(G37-H37)/ABS(G37)</f>
        <v>0</v>
      </c>
    </row>
    <row r="38" spans="3:11" x14ac:dyDescent="0.2">
      <c r="C38" t="s">
        <v>214</v>
      </c>
      <c r="D38" t="b">
        <f ca="1">IF(CELL("format",F38)="G",IF(ABS(F38-G38) &lt;= ABS(F38*B$3),TRUE,FALSE),IF(F38=G38,TRUE,FALSE))</f>
        <v>1</v>
      </c>
      <c r="E38" s="5">
        <f>ABS(F38-G38)/ABS(F38)</f>
        <v>0</v>
      </c>
      <c r="F38">
        <v>4.4249999999999998</v>
      </c>
      <c r="G38">
        <v>4.4249999999999998</v>
      </c>
      <c r="H38">
        <v>4.4249999999999998</v>
      </c>
      <c r="J38" s="5">
        <f>ABS(F38-G38)/ABS(F38)</f>
        <v>0</v>
      </c>
      <c r="K38" s="5">
        <f>ABS(G38-H38)/ABS(G38)</f>
        <v>0</v>
      </c>
    </row>
    <row r="39" spans="3:11" x14ac:dyDescent="0.2">
      <c r="C39" t="s">
        <v>213</v>
      </c>
      <c r="D39" t="b">
        <f ca="1">IF(CELL("format",F39)="G",IF(ABS(F39-G39) &lt;= ABS(F39*B$3),TRUE,FALSE),IF(F39=G39,TRUE,FALSE))</f>
        <v>1</v>
      </c>
      <c r="E39" s="5">
        <f>ABS(F39-G39)/ABS(F39)</f>
        <v>0</v>
      </c>
      <c r="F39">
        <v>4.4222200000000003</v>
      </c>
      <c r="G39">
        <v>4.4222200000000003</v>
      </c>
      <c r="H39">
        <v>4.4222200000000003</v>
      </c>
      <c r="J39" s="5">
        <f>ABS(F39-G39)/ABS(F39)</f>
        <v>0</v>
      </c>
      <c r="K39" s="5">
        <f>ABS(G39-H39)/ABS(G39)</f>
        <v>0</v>
      </c>
    </row>
    <row r="40" spans="3:11" x14ac:dyDescent="0.2">
      <c r="C40" t="s">
        <v>212</v>
      </c>
      <c r="D40" t="b">
        <f ca="1">IF(CELL("format",F40)="G",IF(ABS(F40-G40) &lt;= ABS(F40*B$3),TRUE,FALSE),IF(F40=G40,TRUE,FALSE))</f>
        <v>1</v>
      </c>
      <c r="E40" s="5">
        <f>ABS(F40-G40)/ABS(F40)</f>
        <v>0</v>
      </c>
      <c r="F40">
        <v>4.6888899999999998</v>
      </c>
      <c r="G40">
        <v>4.6888899999999998</v>
      </c>
      <c r="H40">
        <v>4.6888899999999998</v>
      </c>
      <c r="J40" s="5">
        <f>ABS(F40-G40)/ABS(F40)</f>
        <v>0</v>
      </c>
      <c r="K40" s="5">
        <f>ABS(G40-H40)/ABS(G40)</f>
        <v>0</v>
      </c>
    </row>
    <row r="41" spans="3:11" x14ac:dyDescent="0.2">
      <c r="C41" t="s">
        <v>211</v>
      </c>
      <c r="D41" t="b">
        <f ca="1">IF(CELL("format",F41)="G",IF(ABS(F41-G41) &lt;= ABS(F41*B$3),TRUE,FALSE),IF(F41=G41,TRUE,FALSE))</f>
        <v>1</v>
      </c>
      <c r="E41" s="5">
        <f>ABS(F41-G41)/ABS(F41)</f>
        <v>0</v>
      </c>
      <c r="F41">
        <v>3.7694399999999999</v>
      </c>
      <c r="G41">
        <v>3.7694399999999999</v>
      </c>
      <c r="H41">
        <v>3.7694399999999999</v>
      </c>
      <c r="J41" s="5">
        <f>ABS(F41-G41)/ABS(F41)</f>
        <v>0</v>
      </c>
      <c r="K41" s="5">
        <f>ABS(G41-H41)/ABS(G41)</f>
        <v>0</v>
      </c>
    </row>
    <row r="42" spans="3:11" x14ac:dyDescent="0.2">
      <c r="C42" t="s">
        <v>210</v>
      </c>
      <c r="D42" t="b">
        <f ca="1">IF(CELL("format",F42)="G",IF(ABS(F42-G42) &lt;= ABS(F42*B$3),TRUE,FALSE),IF(F42=G42,TRUE,FALSE))</f>
        <v>1</v>
      </c>
      <c r="E42" s="5">
        <f>ABS(F42-G42)/ABS(F42)</f>
        <v>0</v>
      </c>
      <c r="F42">
        <v>4.6416700000000004</v>
      </c>
      <c r="G42">
        <v>4.6416700000000004</v>
      </c>
      <c r="H42">
        <v>4.6416700000000004</v>
      </c>
      <c r="J42" s="5">
        <f>ABS(F42-G42)/ABS(F42)</f>
        <v>0</v>
      </c>
      <c r="K42" s="5">
        <f>ABS(G42-H42)/ABS(G42)</f>
        <v>0</v>
      </c>
    </row>
    <row r="43" spans="3:11" x14ac:dyDescent="0.2">
      <c r="C43" t="s">
        <v>209</v>
      </c>
      <c r="D43" t="b">
        <f ca="1">IF(CELL("format",F43)="G",IF(ABS(F43-G43) &lt;= ABS(F43*B$3),TRUE,FALSE),IF(F43=G43,TRUE,FALSE))</f>
        <v>1</v>
      </c>
      <c r="E43" s="5">
        <f>ABS(F43-G43)/ABS(F43)</f>
        <v>0</v>
      </c>
      <c r="F43">
        <v>6.3472200000000001</v>
      </c>
      <c r="G43">
        <v>6.3472200000000001</v>
      </c>
      <c r="H43">
        <v>6.3472200000000001</v>
      </c>
      <c r="J43" s="5">
        <f>ABS(F43-G43)/ABS(F43)</f>
        <v>0</v>
      </c>
      <c r="K43" s="5">
        <f>ABS(G43-H43)/ABS(G43)</f>
        <v>0</v>
      </c>
    </row>
    <row r="44" spans="3:11" x14ac:dyDescent="0.2">
      <c r="C44" t="s">
        <v>208</v>
      </c>
      <c r="D44" t="b">
        <f ca="1">IF(CELL("format",F44)="G",IF(ABS(F44-G44) &lt;= ABS(F44*B$3),TRUE,FALSE),IF(F44=G44,TRUE,FALSE))</f>
        <v>1</v>
      </c>
      <c r="E44" s="5">
        <f>ABS(F44-G44)/ABS(F44)</f>
        <v>0</v>
      </c>
      <c r="F44">
        <v>8.0777800000000006</v>
      </c>
      <c r="G44">
        <v>8.0777800000000006</v>
      </c>
      <c r="H44">
        <v>8.0777800000000006</v>
      </c>
      <c r="J44" s="5">
        <f>ABS(F44-G44)/ABS(F44)</f>
        <v>0</v>
      </c>
      <c r="K44" s="5">
        <f>ABS(G44-H44)/ABS(G44)</f>
        <v>0</v>
      </c>
    </row>
    <row r="45" spans="3:11" x14ac:dyDescent="0.2">
      <c r="C45" t="s">
        <v>207</v>
      </c>
      <c r="D45" t="b">
        <f ca="1">IF(CELL("format",F45)="G",IF(ABS(F45-G45) &lt;= ABS(F45*B$3),TRUE,FALSE),IF(F45=G45,TRUE,FALSE))</f>
        <v>1</v>
      </c>
      <c r="E45" s="5">
        <f>ABS(F45-G45)/ABS(F45)</f>
        <v>0</v>
      </c>
      <c r="F45">
        <v>6.9055600000000004</v>
      </c>
      <c r="G45">
        <v>6.9055600000000004</v>
      </c>
      <c r="H45">
        <v>6.9055600000000004</v>
      </c>
      <c r="J45" s="5">
        <f>ABS(F45-G45)/ABS(F45)</f>
        <v>0</v>
      </c>
      <c r="K45" s="5">
        <f>ABS(G45-H45)/ABS(G45)</f>
        <v>0</v>
      </c>
    </row>
    <row r="46" spans="3:11" x14ac:dyDescent="0.2">
      <c r="C46" t="s">
        <v>206</v>
      </c>
      <c r="D46" t="b">
        <f ca="1">IF(CELL("format",F46)="G",IF(ABS(F46-G46) &lt;= ABS(F46*B$3),TRUE,FALSE),IF(F46=G46,TRUE,FALSE))</f>
        <v>1</v>
      </c>
      <c r="E46" s="5">
        <f>ABS(F46-G46)/ABS(F46)</f>
        <v>0</v>
      </c>
      <c r="F46">
        <v>5.6138899999999996</v>
      </c>
      <c r="G46">
        <v>5.6138899999999996</v>
      </c>
      <c r="H46">
        <v>5.6138899999999996</v>
      </c>
      <c r="J46" s="5">
        <f>ABS(F46-G46)/ABS(F46)</f>
        <v>0</v>
      </c>
      <c r="K46" s="5">
        <f>ABS(G46-H46)/ABS(G46)</f>
        <v>0</v>
      </c>
    </row>
    <row r="47" spans="3:11" x14ac:dyDescent="0.2">
      <c r="C47" t="s">
        <v>205</v>
      </c>
      <c r="D47" t="b">
        <f ca="1">IF(CELL("format",F47)="G",IF(ABS(F47-G47) &lt;= ABS(F47*B$3),TRUE,FALSE),IF(F47=G47,TRUE,FALSE))</f>
        <v>1</v>
      </c>
      <c r="E47" s="5">
        <f>ABS(F47-G47)/ABS(F47)</f>
        <v>0</v>
      </c>
      <c r="F47">
        <v>4.5</v>
      </c>
      <c r="G47">
        <v>4.5</v>
      </c>
      <c r="H47">
        <v>4.5</v>
      </c>
      <c r="J47" s="5">
        <f>ABS(F47-G47)/ABS(F47)</f>
        <v>0</v>
      </c>
      <c r="K47" s="5">
        <f>ABS(G47-H47)/ABS(G47)</f>
        <v>0</v>
      </c>
    </row>
    <row r="48" spans="3:11" x14ac:dyDescent="0.2">
      <c r="C48" t="s">
        <v>1667</v>
      </c>
      <c r="D48" t="b">
        <f ca="1">IF(CELL("format",F48)="G",IF(ABS(F48-G48) &lt;= ABS(F48*B$3),TRUE,FALSE),IF(F48=G48,TRUE,FALSE))</f>
        <v>1</v>
      </c>
      <c r="E48" s="5">
        <f>ABS(F48-G48)/ABS(F48)</f>
        <v>0</v>
      </c>
      <c r="F48">
        <v>3.9638900000000001</v>
      </c>
      <c r="G48">
        <v>3.9638900000000001</v>
      </c>
      <c r="H48">
        <v>3.9638900000000001</v>
      </c>
      <c r="J48" s="5">
        <f>ABS(F48-G48)/ABS(F48)</f>
        <v>0</v>
      </c>
      <c r="K48" s="5">
        <f>ABS(G48-H48)/ABS(G48)</f>
        <v>0</v>
      </c>
    </row>
    <row r="49" spans="3:11" x14ac:dyDescent="0.2">
      <c r="C49" t="s">
        <v>1668</v>
      </c>
      <c r="D49" t="b">
        <f ca="1">IF(CELL("format",F49)="G",IF(ABS(F49-G49) &lt;= ABS(F49*B$3),TRUE,FALSE),IF(F49=G49,TRUE,FALSE))</f>
        <v>1</v>
      </c>
      <c r="E49" s="5">
        <f>ABS(F49-G49)/ABS(F49)</f>
        <v>0</v>
      </c>
      <c r="F49">
        <v>4.1916700000000002</v>
      </c>
      <c r="G49">
        <v>4.1916700000000002</v>
      </c>
      <c r="H49">
        <v>4.1916700000000002</v>
      </c>
      <c r="J49" s="5">
        <f>ABS(F49-G49)/ABS(F49)</f>
        <v>0</v>
      </c>
      <c r="K49" s="5">
        <f>ABS(G49-H49)/ABS(G49)</f>
        <v>0</v>
      </c>
    </row>
    <row r="50" spans="3:11" x14ac:dyDescent="0.2">
      <c r="C50" t="s">
        <v>1669</v>
      </c>
      <c r="D50" t="b">
        <f ca="1">IF(CELL("format",F50)="G",IF(ABS(F50-G50) &lt;= ABS(F50*B$3),TRUE,FALSE),IF(F50=G50,TRUE,FALSE))</f>
        <v>1</v>
      </c>
      <c r="E50" s="5">
        <f>ABS(F50-G50)/ABS(F50)</f>
        <v>0</v>
      </c>
      <c r="F50">
        <v>4.0944399999999996</v>
      </c>
      <c r="G50">
        <v>4.0944399999999996</v>
      </c>
      <c r="H50">
        <v>4.0944399999999996</v>
      </c>
      <c r="J50" s="5">
        <f>ABS(F50-G50)/ABS(F50)</f>
        <v>0</v>
      </c>
      <c r="K50" s="5">
        <f>ABS(G50-H50)/ABS(G50)</f>
        <v>0</v>
      </c>
    </row>
    <row r="51" spans="3:11" x14ac:dyDescent="0.2">
      <c r="C51" t="s">
        <v>204</v>
      </c>
      <c r="D51" t="b">
        <f ca="1">IF(CELL("format",F51)="G",IF(ABS(F51-G51) &lt;= ABS(F51*B$3),TRUE,FALSE),IF(F51=G51,TRUE,FALSE))</f>
        <v>1</v>
      </c>
      <c r="E51" s="5">
        <f>ABS(F51-G51)/ABS(F51)</f>
        <v>0</v>
      </c>
      <c r="F51">
        <v>5.1083299999999996</v>
      </c>
      <c r="G51">
        <v>5.1083299999999996</v>
      </c>
      <c r="H51">
        <v>5.1083299999999996</v>
      </c>
      <c r="J51" s="5">
        <f>ABS(F51-G51)/ABS(F51)</f>
        <v>0</v>
      </c>
      <c r="K51" s="5">
        <f>ABS(G51-H51)/ABS(G51)</f>
        <v>0</v>
      </c>
    </row>
    <row r="52" spans="3:11" x14ac:dyDescent="0.2">
      <c r="C52" t="s">
        <v>203</v>
      </c>
      <c r="D52" t="b">
        <f ca="1">IF(CELL("format",F52)="G",IF(ABS(F52-G52) &lt;= ABS(F52*B$3),TRUE,FALSE),IF(F52=G52,TRUE,FALSE))</f>
        <v>1</v>
      </c>
      <c r="E52" s="5">
        <f>ABS(F52-G52)/ABS(F52)</f>
        <v>0</v>
      </c>
      <c r="F52">
        <v>2.3388900000000001</v>
      </c>
      <c r="G52">
        <v>2.3388900000000001</v>
      </c>
      <c r="H52">
        <v>2.3388900000000001</v>
      </c>
      <c r="J52" s="5">
        <f>ABS(F52-G52)/ABS(F52)</f>
        <v>0</v>
      </c>
      <c r="K52" s="5">
        <f>ABS(G52-H52)/ABS(G52)</f>
        <v>0</v>
      </c>
    </row>
    <row r="53" spans="3:11" x14ac:dyDescent="0.2">
      <c r="C53" t="s">
        <v>202</v>
      </c>
      <c r="D53" t="b">
        <f ca="1">IF(CELL("format",F53)="G",IF(ABS(F53-G53) &lt;= ABS(F53*B$3),TRUE,FALSE),IF(F53=G53,TRUE,FALSE))</f>
        <v>1</v>
      </c>
      <c r="E53" s="5">
        <f>ABS(F53-G53)/ABS(F53)</f>
        <v>0</v>
      </c>
      <c r="F53">
        <v>6.0333300000000003</v>
      </c>
      <c r="G53">
        <v>6.0333300000000003</v>
      </c>
      <c r="H53">
        <v>6.0333300000000003</v>
      </c>
      <c r="J53" s="5">
        <f>ABS(F53-G53)/ABS(F53)</f>
        <v>0</v>
      </c>
      <c r="K53" s="5">
        <f>ABS(G53-H53)/ABS(G53)</f>
        <v>0</v>
      </c>
    </row>
    <row r="54" spans="3:11" x14ac:dyDescent="0.2">
      <c r="C54" t="s">
        <v>201</v>
      </c>
      <c r="D54" t="b">
        <f ca="1">IF(CELL("format",F54)="G",IF(ABS(F54-G54) &lt;= ABS(F54*B$3),TRUE,FALSE),IF(F54=G54,TRUE,FALSE))</f>
        <v>1</v>
      </c>
      <c r="E54" s="5">
        <f>ABS(F54-G54)/ABS(F54)</f>
        <v>0</v>
      </c>
      <c r="F54">
        <v>4.3388900000000001</v>
      </c>
      <c r="G54">
        <v>4.3388900000000001</v>
      </c>
      <c r="H54">
        <v>4.3388900000000001</v>
      </c>
      <c r="J54" s="5">
        <f>ABS(F54-G54)/ABS(F54)</f>
        <v>0</v>
      </c>
      <c r="K54" s="5">
        <f>ABS(G54-H54)/ABS(G54)</f>
        <v>0</v>
      </c>
    </row>
    <row r="55" spans="3:11" x14ac:dyDescent="0.2">
      <c r="C55" t="s">
        <v>200</v>
      </c>
      <c r="D55" t="b">
        <f ca="1">IF(CELL("format",F55)="G",IF(ABS(F55-G55) &lt;= ABS(F55*B$3),TRUE,FALSE),IF(F55=G55,TRUE,FALSE))</f>
        <v>1</v>
      </c>
      <c r="E55" s="5">
        <f>ABS(F55-G55)/ABS(F55)</f>
        <v>0</v>
      </c>
      <c r="F55">
        <v>4.0638899999999998</v>
      </c>
      <c r="G55">
        <v>4.0638899999999998</v>
      </c>
      <c r="H55">
        <v>4.0638899999999998</v>
      </c>
      <c r="J55" s="5">
        <f>ABS(F55-G55)/ABS(F55)</f>
        <v>0</v>
      </c>
      <c r="K55" s="5">
        <f>ABS(G55-H55)/ABS(G55)</f>
        <v>0</v>
      </c>
    </row>
    <row r="56" spans="3:11" x14ac:dyDescent="0.2">
      <c r="C56" t="s">
        <v>199</v>
      </c>
      <c r="D56" t="b">
        <f ca="1">IF(CELL("format",F56)="G",IF(ABS(F56-G56) &lt;= ABS(F56*B$3),TRUE,FALSE),IF(F56=G56,TRUE,FALSE))</f>
        <v>1</v>
      </c>
      <c r="E56" s="5">
        <f>ABS(F56-G56)/ABS(F56)</f>
        <v>0</v>
      </c>
      <c r="F56">
        <v>2.8388900000000001</v>
      </c>
      <c r="G56">
        <v>2.8388900000000001</v>
      </c>
      <c r="H56">
        <v>2.8388900000000001</v>
      </c>
      <c r="J56" s="5">
        <f>ABS(F56-G56)/ABS(F56)</f>
        <v>0</v>
      </c>
      <c r="K56" s="5">
        <f>ABS(G56-H56)/ABS(G56)</f>
        <v>0</v>
      </c>
    </row>
    <row r="57" spans="3:11" x14ac:dyDescent="0.2">
      <c r="C57" t="s">
        <v>198</v>
      </c>
      <c r="D57" t="b">
        <f ca="1">IF(CELL("format",F57)="G",IF(ABS(F57-G57) &lt;= ABS(F57*B$3),TRUE,FALSE),IF(F57=G57,TRUE,FALSE))</f>
        <v>1</v>
      </c>
      <c r="E57" s="5">
        <f>ABS(F57-G57)/ABS(F57)</f>
        <v>0</v>
      </c>
      <c r="F57">
        <v>5.7694400000000003</v>
      </c>
      <c r="G57">
        <v>5.7694400000000003</v>
      </c>
      <c r="H57">
        <v>5.7694400000000003</v>
      </c>
      <c r="J57" s="5">
        <f>ABS(F57-G57)/ABS(F57)</f>
        <v>0</v>
      </c>
      <c r="K57" s="5">
        <f>ABS(G57-H57)/ABS(G57)</f>
        <v>0</v>
      </c>
    </row>
    <row r="58" spans="3:11" x14ac:dyDescent="0.2">
      <c r="C58" t="s">
        <v>197</v>
      </c>
      <c r="D58" t="b">
        <f ca="1">IF(CELL("format",F58)="G",IF(ABS(F58-G58) &lt;= ABS(F58*B$3),TRUE,FALSE),IF(F58=G58,TRUE,FALSE))</f>
        <v>1</v>
      </c>
      <c r="E58" s="5">
        <f>ABS(F58-G58)/ABS(F58)</f>
        <v>0</v>
      </c>
      <c r="F58">
        <v>4.8222199999999997</v>
      </c>
      <c r="G58">
        <v>4.8222199999999997</v>
      </c>
      <c r="H58">
        <v>4.8222199999999997</v>
      </c>
      <c r="J58" s="5">
        <f>ABS(F58-G58)/ABS(F58)</f>
        <v>0</v>
      </c>
      <c r="K58" s="5">
        <f>ABS(G58-H58)/ABS(G58)</f>
        <v>0</v>
      </c>
    </row>
    <row r="59" spans="3:11" x14ac:dyDescent="0.2">
      <c r="C59" t="s">
        <v>1670</v>
      </c>
      <c r="D59" t="b">
        <f ca="1">IF(CELL("format",F59)="G",IF(ABS(F59-G59) &lt;= ABS(F59*B$3),TRUE,FALSE),IF(F59=G59,TRUE,FALSE))</f>
        <v>1</v>
      </c>
      <c r="E59" s="5">
        <f>ABS(F59-G59)/ABS(F59)</f>
        <v>0</v>
      </c>
      <c r="F59">
        <v>3.23611</v>
      </c>
      <c r="G59">
        <v>3.23611</v>
      </c>
      <c r="H59">
        <v>3.23611</v>
      </c>
      <c r="J59" s="5">
        <f>ABS(F59-G59)/ABS(F59)</f>
        <v>0</v>
      </c>
      <c r="K59" s="5">
        <f>ABS(G59-H59)/ABS(G59)</f>
        <v>0</v>
      </c>
    </row>
    <row r="60" spans="3:11" x14ac:dyDescent="0.2">
      <c r="C60" t="s">
        <v>1671</v>
      </c>
      <c r="D60" t="b">
        <f ca="1">IF(CELL("format",F60)="G",IF(ABS(F60-G60) &lt;= ABS(F60*B$3),TRUE,FALSE),IF(F60=G60,TRUE,FALSE))</f>
        <v>1</v>
      </c>
      <c r="E60" s="5">
        <f>ABS(F60-G60)/ABS(F60)</f>
        <v>0</v>
      </c>
      <c r="F60">
        <v>6.63056</v>
      </c>
      <c r="G60">
        <v>6.63056</v>
      </c>
      <c r="H60">
        <v>6.63056</v>
      </c>
      <c r="J60" s="5">
        <f>ABS(F60-G60)/ABS(F60)</f>
        <v>0</v>
      </c>
      <c r="K60" s="5">
        <f>ABS(G60-H60)/ABS(G60)</f>
        <v>0</v>
      </c>
    </row>
    <row r="61" spans="3:11" x14ac:dyDescent="0.2">
      <c r="C61" t="s">
        <v>1672</v>
      </c>
      <c r="D61" t="b">
        <f ca="1">IF(CELL("format",F61)="G",IF(ABS(F61-G61) &lt;= ABS(F61*B$3),TRUE,FALSE),IF(F61=G61,TRUE,FALSE))</f>
        <v>1</v>
      </c>
      <c r="E61" s="5">
        <f>ABS(F61-G61)/ABS(F61)</f>
        <v>0</v>
      </c>
      <c r="F61">
        <v>6.4472199999999997</v>
      </c>
      <c r="G61">
        <v>6.4472199999999997</v>
      </c>
      <c r="H61">
        <v>6.4472199999999997</v>
      </c>
      <c r="J61" s="5">
        <f>ABS(F61-G61)/ABS(F61)</f>
        <v>0</v>
      </c>
      <c r="K61" s="5">
        <f>ABS(G61-H61)/ABS(G61)</f>
        <v>0</v>
      </c>
    </row>
    <row r="62" spans="3:11" x14ac:dyDescent="0.2">
      <c r="C62" t="s">
        <v>1673</v>
      </c>
      <c r="D62" t="b">
        <f ca="1">IF(CELL("format",F62)="G",IF(ABS(F62-G62) &lt;= ABS(F62*B$3),TRUE,FALSE),IF(F62=G62,TRUE,FALSE))</f>
        <v>1</v>
      </c>
      <c r="E62" s="5">
        <f>ABS(F62-G62)/ABS(F62)</f>
        <v>0</v>
      </c>
      <c r="F62">
        <v>9.125</v>
      </c>
      <c r="G62">
        <v>9.125</v>
      </c>
      <c r="H62">
        <v>9.125</v>
      </c>
      <c r="J62" s="5">
        <f>ABS(F62-G62)/ABS(F62)</f>
        <v>0</v>
      </c>
      <c r="K62" s="5">
        <f>ABS(G62-H62)/ABS(G62)</f>
        <v>0</v>
      </c>
    </row>
    <row r="63" spans="3:11" x14ac:dyDescent="0.2">
      <c r="C63" t="s">
        <v>1674</v>
      </c>
      <c r="D63" t="b">
        <f ca="1">IF(CELL("format",F63)="G",IF(ABS(F63-G63) &lt;= ABS(F63*B$3),TRUE,FALSE),IF(F63=G63,TRUE,FALSE))</f>
        <v>1</v>
      </c>
      <c r="E63" s="5">
        <f>ABS(F63-G63)/ABS(F63)</f>
        <v>0</v>
      </c>
      <c r="F63">
        <v>9.1750000000000007</v>
      </c>
      <c r="G63">
        <v>9.1750000000000007</v>
      </c>
      <c r="H63">
        <v>9.1750000000000007</v>
      </c>
      <c r="J63" s="5">
        <f>ABS(F63-G63)/ABS(F63)</f>
        <v>0</v>
      </c>
      <c r="K63" s="5">
        <f>ABS(G63-H63)/ABS(G63)</f>
        <v>0</v>
      </c>
    </row>
    <row r="64" spans="3:11" x14ac:dyDescent="0.2">
      <c r="C64" t="s">
        <v>196</v>
      </c>
      <c r="D64" t="b">
        <f ca="1">IF(CELL("format",F64)="G",IF(ABS(F64-G64) &lt;= ABS(F64*B$3),TRUE,FALSE),IF(F64=G64,TRUE,FALSE))</f>
        <v>1</v>
      </c>
      <c r="E64" s="5">
        <f>ABS(F64-G64)/ABS(F64)</f>
        <v>0</v>
      </c>
      <c r="F64">
        <v>2.4916700000000001</v>
      </c>
      <c r="G64">
        <v>2.4916700000000001</v>
      </c>
      <c r="H64">
        <v>2.4916700000000001</v>
      </c>
      <c r="J64" s="5">
        <f>ABS(F64-G64)/ABS(F64)</f>
        <v>0</v>
      </c>
      <c r="K64" s="5">
        <f>ABS(G64-H64)/ABS(G64)</f>
        <v>0</v>
      </c>
    </row>
    <row r="65" spans="3:11" x14ac:dyDescent="0.2">
      <c r="C65" t="s">
        <v>195</v>
      </c>
      <c r="D65" t="b">
        <f ca="1">IF(CELL("format",F65)="G",IF(ABS(F65-G65) &lt;= ABS(F65*B$3),TRUE,FALSE),IF(F65=G65,TRUE,FALSE))</f>
        <v>1</v>
      </c>
      <c r="E65" s="5">
        <f>ABS(F65-G65)/ABS(F65)</f>
        <v>0</v>
      </c>
      <c r="F65">
        <v>1.38611</v>
      </c>
      <c r="G65">
        <v>1.38611</v>
      </c>
      <c r="H65">
        <v>1.38611</v>
      </c>
      <c r="J65" s="5">
        <f>ABS(F65-G65)/ABS(F65)</f>
        <v>0</v>
      </c>
      <c r="K65" s="5">
        <f>ABS(G65-H65)/ABS(G65)</f>
        <v>0</v>
      </c>
    </row>
    <row r="66" spans="3:11" x14ac:dyDescent="0.2">
      <c r="C66" t="s">
        <v>194</v>
      </c>
      <c r="D66" t="b">
        <f ca="1">IF(CELL("format",F66)="G",IF(ABS(F66-G66) &lt;= ABS(F66*B$3),TRUE,FALSE),IF(F66=G66,TRUE,FALSE))</f>
        <v>1</v>
      </c>
      <c r="E66" s="5">
        <f>ABS(F66-G66)/ABS(F66)</f>
        <v>0</v>
      </c>
      <c r="F66">
        <v>2.73333</v>
      </c>
      <c r="G66">
        <v>2.73333</v>
      </c>
      <c r="H66">
        <v>2.73333</v>
      </c>
      <c r="J66" s="5">
        <f>ABS(F66-G66)/ABS(F66)</f>
        <v>0</v>
      </c>
      <c r="K66" s="5">
        <f>ABS(G66-H66)/ABS(G66)</f>
        <v>0</v>
      </c>
    </row>
    <row r="67" spans="3:11" x14ac:dyDescent="0.2">
      <c r="C67" t="s">
        <v>193</v>
      </c>
      <c r="D67" t="b">
        <f ca="1">IF(CELL("format",F67)="G",IF(ABS(F67-G67) &lt;= ABS(F67*B$3),TRUE,FALSE),IF(F67=G67,TRUE,FALSE))</f>
        <v>1</v>
      </c>
      <c r="E67" s="5">
        <f>ABS(F67-G67)/ABS(F67)</f>
        <v>0</v>
      </c>
      <c r="F67">
        <v>1.92222</v>
      </c>
      <c r="G67">
        <v>1.92222</v>
      </c>
      <c r="H67">
        <v>1.92222</v>
      </c>
      <c r="J67" s="5">
        <f>ABS(F67-G67)/ABS(F67)</f>
        <v>0</v>
      </c>
      <c r="K67" s="5">
        <f>ABS(G67-H67)/ABS(G67)</f>
        <v>0</v>
      </c>
    </row>
    <row r="68" spans="3:11" x14ac:dyDescent="0.2">
      <c r="C68" t="s">
        <v>192</v>
      </c>
      <c r="D68" t="b">
        <f ca="1">IF(CELL("format",F68)="G",IF(ABS(F68-G68) &lt;= ABS(F68*B$3),TRUE,FALSE),IF(F68=G68,TRUE,FALSE))</f>
        <v>1</v>
      </c>
      <c r="E68" s="5">
        <f>ABS(F68-G68)/ABS(F68)</f>
        <v>0</v>
      </c>
      <c r="F68">
        <v>2.4277799999999998</v>
      </c>
      <c r="G68">
        <v>2.4277799999999998</v>
      </c>
      <c r="H68">
        <v>2.4277799999999998</v>
      </c>
      <c r="J68" s="5">
        <f>ABS(F68-G68)/ABS(F68)</f>
        <v>0</v>
      </c>
      <c r="K68" s="5">
        <f>ABS(G68-H68)/ABS(G68)</f>
        <v>0</v>
      </c>
    </row>
    <row r="69" spans="3:11" x14ac:dyDescent="0.2">
      <c r="C69" t="s">
        <v>191</v>
      </c>
      <c r="D69" t="b">
        <f ca="1">IF(CELL("format",F69)="G",IF(ABS(F69-G69) &lt;= ABS(F69*B$3),TRUE,FALSE),IF(F69=G69,TRUE,FALSE))</f>
        <v>1</v>
      </c>
      <c r="E69" s="5">
        <f>ABS(F69-G69)/ABS(F69)</f>
        <v>0</v>
      </c>
      <c r="F69">
        <v>0.69166700000000003</v>
      </c>
      <c r="G69">
        <v>0.69166700000000003</v>
      </c>
      <c r="H69">
        <v>0.69166700000000003</v>
      </c>
      <c r="J69" s="5">
        <f>ABS(F69-G69)/ABS(F69)</f>
        <v>0</v>
      </c>
      <c r="K69" s="5">
        <f>ABS(G69-H69)/ABS(G69)</f>
        <v>0</v>
      </c>
    </row>
    <row r="70" spans="3:11" x14ac:dyDescent="0.2">
      <c r="C70" t="s">
        <v>190</v>
      </c>
      <c r="D70" t="b">
        <f ca="1">IF(CELL("format",F70)="G",IF(ABS(F70-G70) &lt;= ABS(F70*B$3),TRUE,FALSE),IF(F70=G70,TRUE,FALSE))</f>
        <v>1</v>
      </c>
      <c r="E70" s="5">
        <f>ABS(F70-G70)/ABS(F70)</f>
        <v>0</v>
      </c>
      <c r="F70">
        <v>0.90277799999999997</v>
      </c>
      <c r="G70">
        <v>0.90277799999999997</v>
      </c>
      <c r="H70">
        <v>0.90277799999999997</v>
      </c>
      <c r="J70" s="5">
        <f>ABS(F70-G70)/ABS(F70)</f>
        <v>0</v>
      </c>
      <c r="K70" s="5">
        <f>ABS(G70-H70)/ABS(G70)</f>
        <v>0</v>
      </c>
    </row>
    <row r="71" spans="3:11" x14ac:dyDescent="0.2">
      <c r="C71" t="s">
        <v>1675</v>
      </c>
      <c r="D71" t="b">
        <f ca="1">IF(CELL("format",F71)="G",IF(ABS(F71-G71) &lt;= ABS(F71*B$3),TRUE,FALSE),IF(F71=G71,TRUE,FALSE))</f>
        <v>1</v>
      </c>
      <c r="E71" s="5">
        <f>ABS(F71-G71)/ABS(F71)</f>
        <v>0</v>
      </c>
      <c r="F71">
        <v>3.7277800000000001</v>
      </c>
      <c r="G71">
        <v>3.7277800000000001</v>
      </c>
      <c r="H71">
        <v>3.7277800000000001</v>
      </c>
      <c r="J71" s="5">
        <f>ABS(F71-G71)/ABS(F71)</f>
        <v>0</v>
      </c>
      <c r="K71" s="5">
        <f>ABS(G71-H71)/ABS(G71)</f>
        <v>0</v>
      </c>
    </row>
    <row r="72" spans="3:11" x14ac:dyDescent="0.2">
      <c r="C72" t="s">
        <v>1676</v>
      </c>
      <c r="D72" t="b">
        <f ca="1">IF(CELL("format",F72)="G",IF(ABS(F72-G72) &lt;= ABS(F72*B$3),TRUE,FALSE),IF(F72=G72,TRUE,FALSE))</f>
        <v>1</v>
      </c>
      <c r="E72" s="5">
        <f>ABS(F72-G72)/ABS(F72)</f>
        <v>0</v>
      </c>
      <c r="F72">
        <v>6.3638899999999996</v>
      </c>
      <c r="G72">
        <v>6.3638899999999996</v>
      </c>
      <c r="H72">
        <v>6.3638899999999996</v>
      </c>
      <c r="J72" s="5">
        <f>ABS(F72-G72)/ABS(F72)</f>
        <v>0</v>
      </c>
      <c r="K72" s="5">
        <f>ABS(G72-H72)/ABS(G72)</f>
        <v>0</v>
      </c>
    </row>
    <row r="73" spans="3:11" x14ac:dyDescent="0.2">
      <c r="C73" t="s">
        <v>1677</v>
      </c>
      <c r="D73" t="b">
        <f ca="1">IF(CELL("format",F73)="G",IF(ABS(F73-G73) &lt;= ABS(F73*B$3),TRUE,FALSE),IF(F73=G73,TRUE,FALSE))</f>
        <v>1</v>
      </c>
      <c r="E73" s="5">
        <f>ABS(F73-G73)/ABS(F73)</f>
        <v>0</v>
      </c>
      <c r="F73">
        <v>7.2138900000000001</v>
      </c>
      <c r="G73">
        <v>7.2138900000000001</v>
      </c>
      <c r="H73">
        <v>7.2138900000000001</v>
      </c>
      <c r="J73" s="5">
        <f>ABS(F73-G73)/ABS(F73)</f>
        <v>0</v>
      </c>
      <c r="K73" s="5">
        <f>ABS(G73-H73)/ABS(G73)</f>
        <v>0</v>
      </c>
    </row>
    <row r="74" spans="3:11" x14ac:dyDescent="0.2">
      <c r="C74" t="s">
        <v>189</v>
      </c>
      <c r="D74" t="b">
        <f ca="1">IF(CELL("format",F74)="G",IF(ABS(F74-G74) &lt;= ABS(F74*B$3),TRUE,FALSE),IF(F74=G74,TRUE,FALSE))</f>
        <v>1</v>
      </c>
      <c r="E74" s="5">
        <f>ABS(F74-G74)/ABS(F74)</f>
        <v>0</v>
      </c>
      <c r="F74">
        <v>0.61111099999999996</v>
      </c>
      <c r="G74">
        <v>0.61111099999999996</v>
      </c>
      <c r="H74">
        <v>0.61111099999999996</v>
      </c>
      <c r="J74" s="5">
        <f>ABS(F74-G74)/ABS(F74)</f>
        <v>0</v>
      </c>
      <c r="K74" s="5">
        <f>ABS(G74-H74)/ABS(G74)</f>
        <v>0</v>
      </c>
    </row>
    <row r="75" spans="3:11" x14ac:dyDescent="0.2">
      <c r="C75" t="s">
        <v>188</v>
      </c>
      <c r="D75" t="b">
        <f ca="1">IF(CELL("format",F75)="G",IF(ABS(F75-G75) &lt;= ABS(F75*B$3),TRUE,FALSE),IF(F75=G75,TRUE,FALSE))</f>
        <v>1</v>
      </c>
      <c r="E75" s="5">
        <f>ABS(F75-G75)/ABS(F75)</f>
        <v>0</v>
      </c>
      <c r="F75">
        <v>0.81388899999999997</v>
      </c>
      <c r="G75">
        <v>0.81388899999999997</v>
      </c>
      <c r="H75">
        <v>0.81388899999999997</v>
      </c>
      <c r="J75" s="5">
        <f>ABS(F75-G75)/ABS(F75)</f>
        <v>0</v>
      </c>
      <c r="K75" s="5">
        <f>ABS(G75-H75)/ABS(G75)</f>
        <v>0</v>
      </c>
    </row>
    <row r="76" spans="3:11" x14ac:dyDescent="0.2">
      <c r="C76" t="s">
        <v>187</v>
      </c>
      <c r="D76" t="b">
        <f ca="1">IF(CELL("format",F76)="G",IF(ABS(F76-G76) &lt;= ABS(F76*B$3),TRUE,FALSE),IF(F76=G76,TRUE,FALSE))</f>
        <v>1</v>
      </c>
      <c r="E76" s="5">
        <f>ABS(F76-G76)/ABS(F76)</f>
        <v>0</v>
      </c>
      <c r="F76">
        <v>0.56111100000000003</v>
      </c>
      <c r="G76">
        <v>0.56111100000000003</v>
      </c>
      <c r="H76">
        <v>0.56111100000000003</v>
      </c>
      <c r="J76" s="5">
        <f>ABS(F76-G76)/ABS(F76)</f>
        <v>0</v>
      </c>
      <c r="K76" s="5">
        <f>ABS(G76-H76)/ABS(G76)</f>
        <v>0</v>
      </c>
    </row>
    <row r="77" spans="3:11" x14ac:dyDescent="0.2">
      <c r="C77" t="s">
        <v>186</v>
      </c>
      <c r="D77" t="b">
        <f ca="1">IF(CELL("format",F77)="G",IF(ABS(F77-G77) &lt;= ABS(F77*B$3),TRUE,FALSE),IF(F77=G77,TRUE,FALSE))</f>
        <v>1</v>
      </c>
      <c r="E77" s="5">
        <f>ABS(F77-G77)/ABS(F77)</f>
        <v>0</v>
      </c>
      <c r="F77">
        <v>0.87777799999999995</v>
      </c>
      <c r="G77">
        <v>0.87777799999999995</v>
      </c>
      <c r="H77">
        <v>0.87777799999999995</v>
      </c>
      <c r="J77" s="5">
        <f>ABS(F77-G77)/ABS(F77)</f>
        <v>0</v>
      </c>
      <c r="K77" s="5">
        <f>ABS(G77-H77)/ABS(G77)</f>
        <v>0</v>
      </c>
    </row>
    <row r="78" spans="3:11" x14ac:dyDescent="0.2">
      <c r="C78" t="s">
        <v>185</v>
      </c>
      <c r="D78" t="b">
        <f ca="1">IF(CELL("format",F78)="G",IF(ABS(F78-G78) &lt;= ABS(F78*B$3),TRUE,FALSE),IF(F78=G78,TRUE,FALSE))</f>
        <v>1</v>
      </c>
      <c r="E78" s="5">
        <f>ABS(F78-G78)/ABS(F78)</f>
        <v>0</v>
      </c>
      <c r="F78">
        <v>0.61111099999999996</v>
      </c>
      <c r="G78">
        <v>0.61111099999999996</v>
      </c>
      <c r="H78">
        <v>0.61111099999999996</v>
      </c>
      <c r="J78" s="5">
        <f>ABS(F78-G78)/ABS(F78)</f>
        <v>0</v>
      </c>
      <c r="K78" s="5">
        <f>ABS(G78-H78)/ABS(G78)</f>
        <v>0</v>
      </c>
    </row>
    <row r="79" spans="3:11" x14ac:dyDescent="0.2">
      <c r="C79" t="s">
        <v>184</v>
      </c>
      <c r="D79" t="b">
        <f ca="1">IF(CELL("format",F79)="G",IF(ABS(F79-G79) &lt;= ABS(F79*B$3),TRUE,FALSE),IF(F79=G79,TRUE,FALSE))</f>
        <v>1</v>
      </c>
      <c r="E79" s="5">
        <f>ABS(F79-G79)/ABS(F79)</f>
        <v>0</v>
      </c>
      <c r="F79">
        <v>0.99166699999999997</v>
      </c>
      <c r="G79">
        <v>0.99166699999999997</v>
      </c>
      <c r="H79">
        <v>0.99166699999999997</v>
      </c>
      <c r="J79" s="5">
        <f>ABS(F79-G79)/ABS(F79)</f>
        <v>0</v>
      </c>
      <c r="K79" s="5">
        <f>ABS(G79-H79)/ABS(G79)</f>
        <v>0</v>
      </c>
    </row>
    <row r="80" spans="3:11" x14ac:dyDescent="0.2">
      <c r="C80" t="s">
        <v>183</v>
      </c>
      <c r="D80" t="b">
        <f ca="1">IF(CELL("format",F80)="G",IF(ABS(F80-G80) &lt;= ABS(F80*B$3),TRUE,FALSE),IF(F80=G80,TRUE,FALSE))</f>
        <v>1</v>
      </c>
      <c r="E80" s="5">
        <f>ABS(F80-G80)/ABS(F80)</f>
        <v>0</v>
      </c>
      <c r="F80">
        <v>0.97777800000000004</v>
      </c>
      <c r="G80">
        <v>0.97777800000000004</v>
      </c>
      <c r="H80">
        <v>0.97777800000000004</v>
      </c>
      <c r="J80" s="5">
        <f>ABS(F80-G80)/ABS(F80)</f>
        <v>0</v>
      </c>
      <c r="K80" s="5">
        <f>ABS(G80-H80)/ABS(G80)</f>
        <v>0</v>
      </c>
    </row>
    <row r="81" spans="3:11" x14ac:dyDescent="0.2">
      <c r="C81" t="s">
        <v>182</v>
      </c>
      <c r="D81" t="b">
        <f ca="1">IF(CELL("format",F81)="G",IF(ABS(F81-G81) &lt;= ABS(F81*B$3),TRUE,FALSE),IF(F81=G81,TRUE,FALSE))</f>
        <v>1</v>
      </c>
      <c r="E81" s="5">
        <f>ABS(F81-G81)/ABS(F81)</f>
        <v>0</v>
      </c>
      <c r="F81">
        <v>3.1944400000000002</v>
      </c>
      <c r="G81">
        <v>3.1944400000000002</v>
      </c>
      <c r="H81">
        <v>3.1944400000000002</v>
      </c>
      <c r="J81" s="5">
        <f>ABS(F81-G81)/ABS(F81)</f>
        <v>0</v>
      </c>
      <c r="K81" s="5">
        <f>ABS(G81-H81)/ABS(G81)</f>
        <v>0</v>
      </c>
    </row>
    <row r="82" spans="3:11" x14ac:dyDescent="0.2">
      <c r="C82" t="s">
        <v>181</v>
      </c>
      <c r="D82" t="b">
        <f ca="1">IF(CELL("format",F82)="G",IF(ABS(F82-G82) &lt;= ABS(F82*B$3),TRUE,FALSE),IF(F82=G82,TRUE,FALSE))</f>
        <v>1</v>
      </c>
      <c r="E82" s="5">
        <f>ABS(F82-G82)/ABS(F82)</f>
        <v>0</v>
      </c>
      <c r="F82">
        <v>7.5222199999999999</v>
      </c>
      <c r="G82">
        <v>7.5222199999999999</v>
      </c>
      <c r="H82">
        <v>7.5222199999999999</v>
      </c>
      <c r="J82" s="5">
        <f>ABS(F82-G82)/ABS(F82)</f>
        <v>0</v>
      </c>
      <c r="K82" s="5">
        <f>ABS(G82-H82)/ABS(G82)</f>
        <v>0</v>
      </c>
    </row>
    <row r="83" spans="3:11" x14ac:dyDescent="0.2">
      <c r="C83" t="s">
        <v>180</v>
      </c>
      <c r="D83" t="b">
        <f ca="1">IF(CELL("format",F83)="G",IF(ABS(F83-G83) &lt;= ABS(F83*B$3),TRUE,FALSE),IF(F83=G83,TRUE,FALSE))</f>
        <v>1</v>
      </c>
      <c r="E83" s="5">
        <f>ABS(F83-G83)/ABS(F83)</f>
        <v>0</v>
      </c>
      <c r="F83">
        <v>5.1861100000000002</v>
      </c>
      <c r="G83">
        <v>5.1861100000000002</v>
      </c>
      <c r="H83">
        <v>5.1861100000000002</v>
      </c>
      <c r="J83" s="5">
        <f>ABS(F83-G83)/ABS(F83)</f>
        <v>0</v>
      </c>
      <c r="K83" s="5">
        <f>ABS(G83-H83)/ABS(G83)</f>
        <v>0</v>
      </c>
    </row>
    <row r="84" spans="3:11" x14ac:dyDescent="0.2">
      <c r="C84" t="s">
        <v>179</v>
      </c>
      <c r="D84" t="b">
        <f ca="1">IF(CELL("format",F84)="G",IF(ABS(F84-G84) &lt;= ABS(F84*B$3),TRUE,FALSE),IF(F84=G84,TRUE,FALSE))</f>
        <v>1</v>
      </c>
      <c r="E84" s="5">
        <f>ABS(F84-G84)/ABS(F84)</f>
        <v>0</v>
      </c>
      <c r="F84">
        <v>5.74444</v>
      </c>
      <c r="G84">
        <v>5.74444</v>
      </c>
      <c r="H84">
        <v>5.74444</v>
      </c>
      <c r="J84" s="5">
        <f>ABS(F84-G84)/ABS(F84)</f>
        <v>0</v>
      </c>
      <c r="K84" s="5">
        <f>ABS(G84-H84)/ABS(G84)</f>
        <v>0</v>
      </c>
    </row>
    <row r="85" spans="3:11" x14ac:dyDescent="0.2">
      <c r="C85" t="s">
        <v>178</v>
      </c>
      <c r="D85" t="b">
        <f ca="1">IF(CELL("format",F85)="G",IF(ABS(F85-G85) &lt;= ABS(F85*B$3),TRUE,FALSE),IF(F85=G85,TRUE,FALSE))</f>
        <v>1</v>
      </c>
      <c r="E85" s="5">
        <f>ABS(F85-G85)/ABS(F85)</f>
        <v>0</v>
      </c>
      <c r="F85">
        <v>5.1527799999999999</v>
      </c>
      <c r="G85">
        <v>5.1527799999999999</v>
      </c>
      <c r="H85">
        <v>5.1527799999999999</v>
      </c>
      <c r="J85" s="5">
        <f>ABS(F85-G85)/ABS(F85)</f>
        <v>0</v>
      </c>
      <c r="K85" s="5">
        <f>ABS(G85-H85)/ABS(G85)</f>
        <v>0</v>
      </c>
    </row>
    <row r="86" spans="3:11" x14ac:dyDescent="0.2">
      <c r="C86" t="s">
        <v>177</v>
      </c>
      <c r="D86" t="b">
        <f ca="1">IF(CELL("format",F86)="G",IF(ABS(F86-G86) &lt;= ABS(F86*B$3),TRUE,FALSE),IF(F86=G86,TRUE,FALSE))</f>
        <v>1</v>
      </c>
      <c r="E86" s="5">
        <f>ABS(F86-G86)/ABS(F86)</f>
        <v>0</v>
      </c>
      <c r="F86">
        <v>3.6694399999999998</v>
      </c>
      <c r="G86">
        <v>3.6694399999999998</v>
      </c>
      <c r="H86">
        <v>3.6694399999999998</v>
      </c>
      <c r="J86" s="5">
        <f>ABS(F86-G86)/ABS(F86)</f>
        <v>0</v>
      </c>
      <c r="K86" s="5">
        <f>ABS(G86-H86)/ABS(G86)</f>
        <v>0</v>
      </c>
    </row>
    <row r="87" spans="3:11" x14ac:dyDescent="0.2">
      <c r="C87" t="s">
        <v>176</v>
      </c>
      <c r="D87" t="b">
        <f ca="1">IF(CELL("format",F87)="G",IF(ABS(F87-G87) &lt;= ABS(F87*B$3),TRUE,FALSE),IF(F87=G87,TRUE,FALSE))</f>
        <v>1</v>
      </c>
      <c r="E87" s="5">
        <f>ABS(F87-G87)/ABS(F87)</f>
        <v>0</v>
      </c>
      <c r="F87">
        <v>4.9888899999999996</v>
      </c>
      <c r="G87">
        <v>4.9888899999999996</v>
      </c>
      <c r="H87">
        <v>4.9888899999999996</v>
      </c>
      <c r="J87" s="5">
        <f>ABS(F87-G87)/ABS(F87)</f>
        <v>0</v>
      </c>
      <c r="K87" s="5">
        <f>ABS(G87-H87)/ABS(G87)</f>
        <v>0</v>
      </c>
    </row>
    <row r="88" spans="3:11" x14ac:dyDescent="0.2">
      <c r="C88" t="s">
        <v>175</v>
      </c>
      <c r="D88" t="b">
        <f ca="1">IF(CELL("format",F88)="G",IF(ABS(F88-G88) &lt;= ABS(F88*B$3),TRUE,FALSE),IF(F88=G88,TRUE,FALSE))</f>
        <v>1</v>
      </c>
      <c r="E88" s="5">
        <f>ABS(F88-G88)/ABS(F88)</f>
        <v>0</v>
      </c>
      <c r="F88">
        <v>1.11111E-2</v>
      </c>
      <c r="G88">
        <v>1.11111E-2</v>
      </c>
      <c r="H88">
        <v>1.11111E-2</v>
      </c>
      <c r="J88" s="5">
        <f>ABS(F88-G88)/ABS(F88)</f>
        <v>0</v>
      </c>
      <c r="K88" s="5">
        <f>ABS(G88-H88)/ABS(G88)</f>
        <v>0</v>
      </c>
    </row>
    <row r="89" spans="3:11" x14ac:dyDescent="0.2">
      <c r="C89" t="s">
        <v>174</v>
      </c>
      <c r="D89" t="b">
        <f ca="1">IF(CELL("format",F89)="G",IF(ABS(F89-G89) &lt;= ABS(F89*B$3),TRUE,FALSE),IF(F89=G89,TRUE,FALSE))</f>
        <v>1</v>
      </c>
      <c r="E89" s="5">
        <f>ABS(F89-G89)/ABS(F89)</f>
        <v>0</v>
      </c>
      <c r="F89">
        <v>3.0555599999999999E-2</v>
      </c>
      <c r="G89">
        <v>3.0555599999999999E-2</v>
      </c>
      <c r="H89">
        <v>3.0555599999999999E-2</v>
      </c>
      <c r="J89" s="5">
        <f>ABS(F89-G89)/ABS(F89)</f>
        <v>0</v>
      </c>
      <c r="K89" s="5">
        <f>ABS(G89-H89)/ABS(G89)</f>
        <v>0</v>
      </c>
    </row>
    <row r="90" spans="3:11" x14ac:dyDescent="0.2">
      <c r="C90" t="s">
        <v>173</v>
      </c>
      <c r="D90" t="b">
        <f ca="1">IF(CELL("format",F90)="G",IF(ABS(F90-G90) &lt;= ABS(F90*B$3),TRUE,FALSE),IF(F90=G90,TRUE,FALSE))</f>
        <v>1</v>
      </c>
      <c r="E90" s="5">
        <f>ABS(F90-G90)/ABS(F90)</f>
        <v>0</v>
      </c>
      <c r="F90">
        <v>5.8333299999999998E-2</v>
      </c>
      <c r="G90">
        <v>5.8333299999999998E-2</v>
      </c>
      <c r="H90">
        <v>5.8333299999999998E-2</v>
      </c>
      <c r="J90" s="5">
        <f>ABS(F90-G90)/ABS(F90)</f>
        <v>0</v>
      </c>
      <c r="K90" s="5">
        <f>ABS(G90-H90)/ABS(G90)</f>
        <v>0</v>
      </c>
    </row>
    <row r="91" spans="3:11" x14ac:dyDescent="0.2">
      <c r="C91" t="s">
        <v>172</v>
      </c>
      <c r="D91" t="b">
        <f ca="1">IF(CELL("format",F91)="G",IF(ABS(F91-G91) &lt;= ABS(F91*B$3),TRUE,FALSE),IF(F91=G91,TRUE,FALSE))</f>
        <v>1</v>
      </c>
      <c r="E91" s="5">
        <f>ABS(F91-G91)/ABS(F91)</f>
        <v>0</v>
      </c>
      <c r="F91">
        <v>0.152778</v>
      </c>
      <c r="G91">
        <v>0.152778</v>
      </c>
      <c r="H91">
        <v>0.152778</v>
      </c>
      <c r="J91" s="5">
        <f>ABS(F91-G91)/ABS(F91)</f>
        <v>0</v>
      </c>
      <c r="K91" s="5">
        <f>ABS(G91-H91)/ABS(G91)</f>
        <v>0</v>
      </c>
    </row>
    <row r="92" spans="3:11" x14ac:dyDescent="0.2">
      <c r="C92" t="s">
        <v>171</v>
      </c>
      <c r="D92" t="b">
        <f ca="1">IF(CELL("format",F92)="G",IF(ABS(F92-G92) &lt;= ABS(F92*B$3),TRUE,FALSE),IF(F92=G92,TRUE,FALSE))</f>
        <v>1</v>
      </c>
      <c r="E92" s="5">
        <f>ABS(F92-G92)/ABS(F92)</f>
        <v>0</v>
      </c>
      <c r="F92">
        <v>0.85833300000000001</v>
      </c>
      <c r="G92">
        <v>0.85833300000000001</v>
      </c>
      <c r="H92">
        <v>0.85833300000000001</v>
      </c>
      <c r="J92" s="5">
        <f>ABS(F92-G92)/ABS(F92)</f>
        <v>0</v>
      </c>
      <c r="K92" s="5">
        <f>ABS(G92-H92)/ABS(G92)</f>
        <v>0</v>
      </c>
    </row>
    <row r="93" spans="3:11" x14ac:dyDescent="0.2">
      <c r="C93" t="s">
        <v>170</v>
      </c>
      <c r="D93" t="b">
        <f ca="1">IF(CELL("format",F93)="G",IF(ABS(F93-G93) &lt;= ABS(F93*B$3),TRUE,FALSE),IF(F93=G93,TRUE,FALSE))</f>
        <v>1</v>
      </c>
      <c r="E93" s="5">
        <f>ABS(F93-G93)/ABS(F93)</f>
        <v>0</v>
      </c>
      <c r="F93">
        <v>4.0916699999999997</v>
      </c>
      <c r="G93">
        <v>4.0916699999999997</v>
      </c>
      <c r="H93">
        <v>4.0916699999999997</v>
      </c>
      <c r="J93" s="5">
        <f>ABS(F93-G93)/ABS(F93)</f>
        <v>0</v>
      </c>
      <c r="K93" s="5">
        <f>ABS(G93-H93)/ABS(G93)</f>
        <v>0</v>
      </c>
    </row>
    <row r="94" spans="3:11" x14ac:dyDescent="0.2">
      <c r="C94" t="s">
        <v>1678</v>
      </c>
      <c r="D94" t="b">
        <f ca="1">IF(CELL("format",F94)="G",IF(ABS(F94-G94) &lt;= ABS(F94*B$3),TRUE,FALSE),IF(F94=G94,TRUE,FALSE))</f>
        <v>1</v>
      </c>
      <c r="E94" s="5">
        <f>ABS(F94-G94)/ABS(F94)</f>
        <v>0</v>
      </c>
      <c r="F94">
        <v>6.50556</v>
      </c>
      <c r="G94">
        <v>6.50556</v>
      </c>
      <c r="H94">
        <v>6.50556</v>
      </c>
      <c r="J94" s="5">
        <f>ABS(F94-G94)/ABS(F94)</f>
        <v>0</v>
      </c>
      <c r="K94" s="5">
        <f>ABS(G94-H94)/ABS(G94)</f>
        <v>0</v>
      </c>
    </row>
    <row r="95" spans="3:11" x14ac:dyDescent="0.2">
      <c r="C95" t="s">
        <v>1679</v>
      </c>
      <c r="D95" t="b">
        <f ca="1">IF(CELL("format",F95)="G",IF(ABS(F95-G95) &lt;= ABS(F95*B$3),TRUE,FALSE),IF(F95=G95,TRUE,FALSE))</f>
        <v>1</v>
      </c>
      <c r="E95" s="5">
        <f>ABS(F95-G95)/ABS(F95)</f>
        <v>0</v>
      </c>
      <c r="F95">
        <v>6.4805599999999997</v>
      </c>
      <c r="G95">
        <v>6.4805599999999997</v>
      </c>
      <c r="H95">
        <v>6.4805599999999997</v>
      </c>
      <c r="J95" s="5">
        <f>ABS(F95-G95)/ABS(F95)</f>
        <v>0</v>
      </c>
      <c r="K95" s="5">
        <f>ABS(G95-H95)/ABS(G95)</f>
        <v>0</v>
      </c>
    </row>
    <row r="96" spans="3:11" x14ac:dyDescent="0.2">
      <c r="C96" t="s">
        <v>1680</v>
      </c>
      <c r="D96" t="b">
        <f ca="1">IF(CELL("format",F96)="G",IF(ABS(F96-G96) &lt;= ABS(F96*B$3),TRUE,FALSE),IF(F96=G96,TRUE,FALSE))</f>
        <v>1</v>
      </c>
      <c r="E96" s="5">
        <f>ABS(F96-G96)/ABS(F96)</f>
        <v>0</v>
      </c>
      <c r="F96">
        <v>6.0277799999999999</v>
      </c>
      <c r="G96">
        <v>6.0277799999999999</v>
      </c>
      <c r="H96">
        <v>6.0277799999999999</v>
      </c>
      <c r="J96" s="5">
        <f>ABS(F96-G96)/ABS(F96)</f>
        <v>0</v>
      </c>
      <c r="K96" s="5">
        <f>ABS(G96-H96)/ABS(G96)</f>
        <v>0</v>
      </c>
    </row>
    <row r="97" spans="3:11" x14ac:dyDescent="0.2">
      <c r="C97" t="s">
        <v>169</v>
      </c>
      <c r="D97" t="b">
        <f ca="1">IF(CELL("format",F97)="G",IF(ABS(F97-G97) &lt;= ABS(F97*B$3),TRUE,FALSE),IF(F97=G97,TRUE,FALSE))</f>
        <v>1</v>
      </c>
      <c r="E97" s="5">
        <f>ABS(F97-G97)/ABS(F97)</f>
        <v>0</v>
      </c>
      <c r="F97">
        <v>0.375</v>
      </c>
      <c r="G97">
        <v>0.375</v>
      </c>
      <c r="H97">
        <v>0.375</v>
      </c>
      <c r="J97" s="5">
        <f>ABS(F97-G97)/ABS(F97)</f>
        <v>0</v>
      </c>
      <c r="K97" s="5">
        <f>ABS(G97-H97)/ABS(G97)</f>
        <v>0</v>
      </c>
    </row>
    <row r="98" spans="3:11" x14ac:dyDescent="0.2">
      <c r="C98" t="s">
        <v>168</v>
      </c>
      <c r="D98" t="b">
        <f ca="1">IF(CELL("format",F98)="G",IF(ABS(F98-G98) &lt;= ABS(F98*B$3),TRUE,FALSE),IF(F98=G98,TRUE,FALSE))</f>
        <v>1</v>
      </c>
      <c r="E98" s="5">
        <f>ABS(F98-G98)/ABS(F98)</f>
        <v>0</v>
      </c>
      <c r="F98">
        <v>1.51111</v>
      </c>
      <c r="G98">
        <v>1.51111</v>
      </c>
      <c r="H98">
        <v>1.51111</v>
      </c>
      <c r="J98" s="5">
        <f>ABS(F98-G98)/ABS(F98)</f>
        <v>0</v>
      </c>
      <c r="K98" s="5">
        <f>ABS(G98-H98)/ABS(G98)</f>
        <v>0</v>
      </c>
    </row>
    <row r="99" spans="3:11" x14ac:dyDescent="0.2">
      <c r="C99" t="s">
        <v>1681</v>
      </c>
      <c r="D99" t="b">
        <f ca="1">IF(CELL("format",F99)="G",IF(ABS(F99-G99) &lt;= ABS(F99*B$3),TRUE,FALSE),IF(F99=G99,TRUE,FALSE))</f>
        <v>1</v>
      </c>
      <c r="E99" s="5">
        <f>ABS(F99-G99)/ABS(F99)</f>
        <v>0</v>
      </c>
      <c r="F99">
        <v>3.2041300000000001</v>
      </c>
      <c r="G99">
        <v>3.2041300000000001</v>
      </c>
      <c r="H99">
        <v>3.2041300000000001</v>
      </c>
      <c r="J99" s="5">
        <f>ABS(F99-G99)/ABS(F99)</f>
        <v>0</v>
      </c>
      <c r="K99" s="5">
        <f>ABS(G99-H99)/ABS(G99)</f>
        <v>0</v>
      </c>
    </row>
    <row r="100" spans="3:11" x14ac:dyDescent="0.2">
      <c r="C100" t="s">
        <v>1682</v>
      </c>
      <c r="D100" t="e">
        <f ca="1">IF(CELL("format",F100)="G",IF(ABS(F100-G100) &lt;= ABS(F100*B$3),TRUE,FALSE),IF(F100=G100,TRUE,FALSE))</f>
        <v>#VALUE!</v>
      </c>
      <c r="E100" s="5" t="e">
        <f>ABS(F100-G100)/ABS(F100)</f>
        <v>#VALUE!</v>
      </c>
      <c r="F100" t="s">
        <v>2349</v>
      </c>
      <c r="G100" t="s">
        <v>2349</v>
      </c>
      <c r="H100" t="s">
        <v>2349</v>
      </c>
      <c r="J100" s="5" t="e">
        <f>ABS(F100-G100)/ABS(F100)</f>
        <v>#VALUE!</v>
      </c>
      <c r="K100" s="5" t="e">
        <f>ABS(G100-H100)/ABS(G100)</f>
        <v>#VALUE!</v>
      </c>
    </row>
    <row r="101" spans="3:11" x14ac:dyDescent="0.2">
      <c r="C101" t="s">
        <v>1683</v>
      </c>
      <c r="D101" t="b">
        <f ca="1">IF(CELL("format",F101)="G",IF(ABS(F101-G101) &lt;= ABS(F101*B$3),TRUE,FALSE),IF(F101=G101,TRUE,FALSE))</f>
        <v>1</v>
      </c>
      <c r="E101" s="5">
        <f>ABS(F101-G101)/ABS(F101)</f>
        <v>0</v>
      </c>
      <c r="F101">
        <v>31</v>
      </c>
      <c r="G101">
        <v>31</v>
      </c>
      <c r="H101">
        <v>31</v>
      </c>
      <c r="J101" s="5">
        <f>ABS(F101-G101)/ABS(F101)</f>
        <v>0</v>
      </c>
      <c r="K101" s="5">
        <f>ABS(G101-H101)/ABS(G101)</f>
        <v>0</v>
      </c>
    </row>
    <row r="102" spans="3:11" x14ac:dyDescent="0.2">
      <c r="C102" t="s">
        <v>1684</v>
      </c>
      <c r="D102" t="b">
        <f ca="1">IF(CELL("format",F102)="G",IF(ABS(F102-G102) &lt;= ABS(F102*B$3),TRUE,FALSE),IF(F102=G102,TRUE,FALSE))</f>
        <v>1</v>
      </c>
      <c r="E102" s="5">
        <f>ABS(F102-G102)/ABS(F102)</f>
        <v>0</v>
      </c>
      <c r="F102">
        <v>24</v>
      </c>
      <c r="G102">
        <v>24</v>
      </c>
      <c r="H102">
        <v>24</v>
      </c>
      <c r="J102" s="5">
        <f>ABS(F102-G102)/ABS(F102)</f>
        <v>0</v>
      </c>
      <c r="K102" s="5">
        <f>ABS(G102-H102)/ABS(G102)</f>
        <v>0</v>
      </c>
    </row>
    <row r="103" spans="3:11" x14ac:dyDescent="0.2">
      <c r="C103" t="s">
        <v>1685</v>
      </c>
      <c r="D103" t="b">
        <f ca="1">IF(CELL("format",F103)="G",IF(ABS(F103-G103) &lt;= ABS(F103*B$3),TRUE,FALSE),IF(F103=G103,TRUE,FALSE))</f>
        <v>1</v>
      </c>
      <c r="E103" s="5">
        <f>ABS(F103-G103)/ABS(F103)</f>
        <v>0</v>
      </c>
      <c r="F103">
        <v>3.1915200000000001</v>
      </c>
      <c r="G103">
        <v>3.1915200000000001</v>
      </c>
      <c r="H103">
        <v>3.1915200000000001</v>
      </c>
      <c r="J103" s="5">
        <f>ABS(F103-G103)/ABS(F103)</f>
        <v>0</v>
      </c>
      <c r="K103" s="5">
        <f>ABS(G103-H103)/ABS(G103)</f>
        <v>0</v>
      </c>
    </row>
    <row r="104" spans="3:11" x14ac:dyDescent="0.2">
      <c r="C104" t="s">
        <v>1686</v>
      </c>
      <c r="D104" t="e">
        <f ca="1">IF(CELL("format",F104)="G",IF(ABS(F104-G104) &lt;= ABS(F104*B$3),TRUE,FALSE),IF(F104=G104,TRUE,FALSE))</f>
        <v>#VALUE!</v>
      </c>
      <c r="E104" s="5" t="e">
        <f>ABS(F104-G104)/ABS(F104)</f>
        <v>#VALUE!</v>
      </c>
      <c r="F104" t="s">
        <v>2349</v>
      </c>
      <c r="G104" t="s">
        <v>2349</v>
      </c>
      <c r="H104" t="s">
        <v>2349</v>
      </c>
      <c r="J104" s="5" t="e">
        <f>ABS(F104-G104)/ABS(F104)</f>
        <v>#VALUE!</v>
      </c>
      <c r="K104" s="5" t="e">
        <f>ABS(G104-H104)/ABS(G104)</f>
        <v>#VALUE!</v>
      </c>
    </row>
    <row r="105" spans="3:11" x14ac:dyDescent="0.2">
      <c r="C105" t="s">
        <v>1687</v>
      </c>
      <c r="D105" t="b">
        <f ca="1">IF(CELL("format",F105)="G",IF(ABS(F105-G105) &lt;= ABS(F105*B$3),TRUE,FALSE),IF(F105=G105,TRUE,FALSE))</f>
        <v>1</v>
      </c>
      <c r="E105" s="5">
        <f>ABS(F105-G105)/ABS(F105)</f>
        <v>0</v>
      </c>
      <c r="F105">
        <v>31</v>
      </c>
      <c r="G105">
        <v>31</v>
      </c>
      <c r="H105">
        <v>31</v>
      </c>
      <c r="J105" s="5">
        <f>ABS(F105-G105)/ABS(F105)</f>
        <v>0</v>
      </c>
      <c r="K105" s="5">
        <f>ABS(G105-H105)/ABS(G105)</f>
        <v>0</v>
      </c>
    </row>
    <row r="106" spans="3:11" x14ac:dyDescent="0.2">
      <c r="C106" t="s">
        <v>1688</v>
      </c>
      <c r="D106" t="b">
        <f ca="1">IF(CELL("format",F106)="G",IF(ABS(F106-G106) &lt;= ABS(F106*B$3),TRUE,FALSE),IF(F106=G106,TRUE,FALSE))</f>
        <v>1</v>
      </c>
      <c r="E106" s="5">
        <f>ABS(F106-G106)/ABS(F106)</f>
        <v>0</v>
      </c>
      <c r="F106">
        <v>24</v>
      </c>
      <c r="G106">
        <v>24</v>
      </c>
      <c r="H106">
        <v>24</v>
      </c>
      <c r="J106" s="5">
        <f>ABS(F106-G106)/ABS(F106)</f>
        <v>0</v>
      </c>
      <c r="K106" s="5">
        <f>ABS(G106-H106)/ABS(G106)</f>
        <v>0</v>
      </c>
    </row>
    <row r="107" spans="3:11" x14ac:dyDescent="0.2">
      <c r="C107" t="s">
        <v>1689</v>
      </c>
      <c r="D107" t="b">
        <f ca="1">IF(CELL("format",F107)="G",IF(ABS(F107-G107) &lt;= ABS(F107*B$3),TRUE,FALSE),IF(F107=G107,TRUE,FALSE))</f>
        <v>1</v>
      </c>
      <c r="E107" s="5">
        <f>ABS(F107-G107)/ABS(F107)</f>
        <v>0</v>
      </c>
      <c r="F107">
        <v>3.2292999999999998</v>
      </c>
      <c r="G107">
        <v>3.2292999999999998</v>
      </c>
      <c r="H107">
        <v>3.2292999999999998</v>
      </c>
      <c r="J107" s="5">
        <f>ABS(F107-G107)/ABS(F107)</f>
        <v>0</v>
      </c>
      <c r="K107" s="5">
        <f>ABS(G107-H107)/ABS(G107)</f>
        <v>0</v>
      </c>
    </row>
    <row r="108" spans="3:11" x14ac:dyDescent="0.2">
      <c r="C108" t="s">
        <v>1690</v>
      </c>
      <c r="D108" t="e">
        <f ca="1">IF(CELL("format",F108)="G",IF(ABS(F108-G108) &lt;= ABS(F108*B$3),TRUE,FALSE),IF(F108=G108,TRUE,FALSE))</f>
        <v>#VALUE!</v>
      </c>
      <c r="E108" s="5" t="e">
        <f>ABS(F108-G108)/ABS(F108)</f>
        <v>#VALUE!</v>
      </c>
      <c r="F108" t="s">
        <v>2349</v>
      </c>
      <c r="G108" t="s">
        <v>2349</v>
      </c>
      <c r="H108" t="s">
        <v>2349</v>
      </c>
      <c r="J108" s="5" t="e">
        <f>ABS(F108-G108)/ABS(F108)</f>
        <v>#VALUE!</v>
      </c>
      <c r="K108" s="5" t="e">
        <f>ABS(G108-H108)/ABS(G108)</f>
        <v>#VALUE!</v>
      </c>
    </row>
    <row r="109" spans="3:11" x14ac:dyDescent="0.2">
      <c r="C109" t="s">
        <v>1691</v>
      </c>
      <c r="D109" t="b">
        <f ca="1">IF(CELL("format",F109)="G",IF(ABS(F109-G109) &lt;= ABS(F109*B$3),TRUE,FALSE),IF(F109=G109,TRUE,FALSE))</f>
        <v>1</v>
      </c>
      <c r="E109" s="5">
        <f>ABS(F109-G109)/ABS(F109)</f>
        <v>0</v>
      </c>
      <c r="F109">
        <v>31</v>
      </c>
      <c r="G109">
        <v>31</v>
      </c>
      <c r="H109">
        <v>31</v>
      </c>
      <c r="J109" s="5">
        <f>ABS(F109-G109)/ABS(F109)</f>
        <v>0</v>
      </c>
      <c r="K109" s="5">
        <f>ABS(G109-H109)/ABS(G109)</f>
        <v>0</v>
      </c>
    </row>
    <row r="110" spans="3:11" x14ac:dyDescent="0.2">
      <c r="C110" t="s">
        <v>1692</v>
      </c>
      <c r="D110" t="b">
        <f ca="1">IF(CELL("format",F110)="G",IF(ABS(F110-G110) &lt;= ABS(F110*B$3),TRUE,FALSE),IF(F110=G110,TRUE,FALSE))</f>
        <v>1</v>
      </c>
      <c r="E110" s="5">
        <f>ABS(F110-G110)/ABS(F110)</f>
        <v>0</v>
      </c>
      <c r="F110">
        <v>24</v>
      </c>
      <c r="G110">
        <v>24</v>
      </c>
      <c r="H110">
        <v>24</v>
      </c>
      <c r="J110" s="5">
        <f>ABS(F110-G110)/ABS(F110)</f>
        <v>0</v>
      </c>
      <c r="K110" s="5">
        <f>ABS(G110-H110)/ABS(G110)</f>
        <v>0</v>
      </c>
    </row>
    <row r="111" spans="3:11" x14ac:dyDescent="0.2">
      <c r="C111" t="s">
        <v>1693</v>
      </c>
      <c r="D111" t="b">
        <f ca="1">IF(CELL("format",F111)="G",IF(ABS(F111-G111) &lt;= ABS(F111*B$3),TRUE,FALSE),IF(F111=G111,TRUE,FALSE))</f>
        <v>1</v>
      </c>
      <c r="E111" s="5">
        <f>ABS(F111-G111)/ABS(F111)</f>
        <v>0</v>
      </c>
      <c r="F111">
        <v>3.2067399999999999</v>
      </c>
      <c r="G111">
        <v>3.2067399999999999</v>
      </c>
      <c r="H111">
        <v>3.2067399999999999</v>
      </c>
      <c r="J111" s="5">
        <f>ABS(F111-G111)/ABS(F111)</f>
        <v>0</v>
      </c>
      <c r="K111" s="5">
        <f>ABS(G111-H111)/ABS(G111)</f>
        <v>0</v>
      </c>
    </row>
    <row r="112" spans="3:11" x14ac:dyDescent="0.2">
      <c r="C112" t="s">
        <v>1694</v>
      </c>
      <c r="D112" t="e">
        <f ca="1">IF(CELL("format",F112)="G",IF(ABS(F112-G112) &lt;= ABS(F112*B$3),TRUE,FALSE),IF(F112=G112,TRUE,FALSE))</f>
        <v>#VALUE!</v>
      </c>
      <c r="E112" s="5" t="e">
        <f>ABS(F112-G112)/ABS(F112)</f>
        <v>#VALUE!</v>
      </c>
      <c r="F112" t="s">
        <v>2349</v>
      </c>
      <c r="G112" t="s">
        <v>2349</v>
      </c>
      <c r="H112" t="s">
        <v>2349</v>
      </c>
      <c r="J112" s="5" t="e">
        <f>ABS(F112-G112)/ABS(F112)</f>
        <v>#VALUE!</v>
      </c>
      <c r="K112" s="5" t="e">
        <f>ABS(G112-H112)/ABS(G112)</f>
        <v>#VALUE!</v>
      </c>
    </row>
    <row r="113" spans="3:11" x14ac:dyDescent="0.2">
      <c r="C113" t="s">
        <v>1695</v>
      </c>
      <c r="D113" t="b">
        <f ca="1">IF(CELL("format",F113)="G",IF(ABS(F113-G113) &lt;= ABS(F113*B$3),TRUE,FALSE),IF(F113=G113,TRUE,FALSE))</f>
        <v>1</v>
      </c>
      <c r="E113" s="5">
        <f>ABS(F113-G113)/ABS(F113)</f>
        <v>0</v>
      </c>
      <c r="F113">
        <v>31</v>
      </c>
      <c r="G113">
        <v>31</v>
      </c>
      <c r="H113">
        <v>31</v>
      </c>
      <c r="J113" s="5">
        <f>ABS(F113-G113)/ABS(F113)</f>
        <v>0</v>
      </c>
      <c r="K113" s="5">
        <f>ABS(G113-H113)/ABS(G113)</f>
        <v>0</v>
      </c>
    </row>
    <row r="114" spans="3:11" x14ac:dyDescent="0.2">
      <c r="C114" t="s">
        <v>1696</v>
      </c>
      <c r="D114" t="b">
        <f ca="1">IF(CELL("format",F114)="G",IF(ABS(F114-G114) &lt;= ABS(F114*B$3),TRUE,FALSE),IF(F114=G114,TRUE,FALSE))</f>
        <v>1</v>
      </c>
      <c r="E114" s="5">
        <f>ABS(F114-G114)/ABS(F114)</f>
        <v>0</v>
      </c>
      <c r="F114">
        <v>24</v>
      </c>
      <c r="G114">
        <v>24</v>
      </c>
      <c r="H114">
        <v>24</v>
      </c>
      <c r="J114" s="5">
        <f>ABS(F114-G114)/ABS(F114)</f>
        <v>0</v>
      </c>
      <c r="K114" s="5">
        <f>ABS(G114-H114)/ABS(G114)</f>
        <v>0</v>
      </c>
    </row>
    <row r="115" spans="3:11" x14ac:dyDescent="0.2">
      <c r="C115" t="s">
        <v>1697</v>
      </c>
      <c r="D115" t="b">
        <f ca="1">IF(CELL("format",F115)="G",IF(ABS(F115-G115) &lt;= ABS(F115*B$3),TRUE,FALSE),IF(F115=G115,TRUE,FALSE))</f>
        <v>1</v>
      </c>
      <c r="E115" s="5">
        <f>ABS(F115-G115)/ABS(F115)</f>
        <v>0</v>
      </c>
      <c r="F115">
        <v>4.5585199999999997</v>
      </c>
      <c r="G115">
        <v>4.5585199999999997</v>
      </c>
      <c r="H115">
        <v>4.5585199999999997</v>
      </c>
      <c r="J115" s="5">
        <f>ABS(F115-G115)/ABS(F115)</f>
        <v>0</v>
      </c>
      <c r="K115" s="5">
        <f>ABS(G115-H115)/ABS(G115)</f>
        <v>0</v>
      </c>
    </row>
    <row r="116" spans="3:11" x14ac:dyDescent="0.2">
      <c r="C116" t="s">
        <v>1698</v>
      </c>
      <c r="D116" t="e">
        <f ca="1">IF(CELL("format",F116)="G",IF(ABS(F116-G116) &lt;= ABS(F116*B$3),TRUE,FALSE),IF(F116=G116,TRUE,FALSE))</f>
        <v>#VALUE!</v>
      </c>
      <c r="E116" s="5" t="e">
        <f>ABS(F116-G116)/ABS(F116)</f>
        <v>#VALUE!</v>
      </c>
      <c r="F116" t="s">
        <v>2350</v>
      </c>
      <c r="G116" t="s">
        <v>2350</v>
      </c>
      <c r="H116" t="s">
        <v>2350</v>
      </c>
      <c r="J116" s="5" t="e">
        <f>ABS(F116-G116)/ABS(F116)</f>
        <v>#VALUE!</v>
      </c>
      <c r="K116" s="5" t="e">
        <f>ABS(G116-H116)/ABS(G116)</f>
        <v>#VALUE!</v>
      </c>
    </row>
    <row r="117" spans="3:11" x14ac:dyDescent="0.2">
      <c r="C117" t="s">
        <v>1699</v>
      </c>
      <c r="D117" t="b">
        <f ca="1">IF(CELL("format",F117)="G",IF(ABS(F117-G117) &lt;= ABS(F117*B$3),TRUE,FALSE),IF(F117=G117,TRUE,FALSE))</f>
        <v>1</v>
      </c>
      <c r="E117" s="5">
        <f>ABS(F117-G117)/ABS(F117)</f>
        <v>0</v>
      </c>
      <c r="F117">
        <v>8</v>
      </c>
      <c r="G117">
        <v>8</v>
      </c>
      <c r="H117">
        <v>8</v>
      </c>
      <c r="J117" s="5">
        <f>ABS(F117-G117)/ABS(F117)</f>
        <v>0</v>
      </c>
      <c r="K117" s="5">
        <f>ABS(G117-H117)/ABS(G117)</f>
        <v>0</v>
      </c>
    </row>
    <row r="118" spans="3:11" x14ac:dyDescent="0.2">
      <c r="C118" t="s">
        <v>1700</v>
      </c>
      <c r="D118" t="b">
        <f ca="1">IF(CELL("format",F118)="G",IF(ABS(F118-G118) &lt;= ABS(F118*B$3),TRUE,FALSE),IF(F118=G118,TRUE,FALSE))</f>
        <v>1</v>
      </c>
      <c r="E118" s="5">
        <f>ABS(F118-G118)/ABS(F118)</f>
        <v>0</v>
      </c>
      <c r="F118">
        <v>8</v>
      </c>
      <c r="G118">
        <v>8</v>
      </c>
      <c r="H118">
        <v>8</v>
      </c>
      <c r="J118" s="5">
        <f>ABS(F118-G118)/ABS(F118)</f>
        <v>0</v>
      </c>
      <c r="K118" s="5">
        <f>ABS(G118-H118)/ABS(G118)</f>
        <v>0</v>
      </c>
    </row>
    <row r="119" spans="3:11" x14ac:dyDescent="0.2">
      <c r="C119" t="s">
        <v>1701</v>
      </c>
      <c r="D119" t="b">
        <f ca="1">IF(CELL("format",F119)="G",IF(ABS(F119-G119) &lt;= ABS(F119*B$3),TRUE,FALSE),IF(F119=G119,TRUE,FALSE))</f>
        <v>1</v>
      </c>
      <c r="E119" s="5" t="e">
        <f>ABS(F119-G119)/ABS(F119)</f>
        <v>#DIV/0!</v>
      </c>
      <c r="F119">
        <v>0</v>
      </c>
      <c r="G119">
        <v>0</v>
      </c>
      <c r="H119">
        <v>0</v>
      </c>
      <c r="J119" s="5" t="e">
        <f>ABS(F119-G119)/ABS(F119)</f>
        <v>#DIV/0!</v>
      </c>
      <c r="K119" s="5" t="e">
        <f>ABS(G119-H119)/ABS(G119)</f>
        <v>#DIV/0!</v>
      </c>
    </row>
    <row r="120" spans="3:11" x14ac:dyDescent="0.2">
      <c r="C120" t="s">
        <v>1702</v>
      </c>
      <c r="D120" t="e">
        <f ca="1">IF(CELL("format",F120)="G",IF(ABS(F120-G120) &lt;= ABS(F120*B$3),TRUE,FALSE),IF(F120=G120,TRUE,FALSE))</f>
        <v>#VALUE!</v>
      </c>
      <c r="E120" s="5" t="e">
        <f>ABS(F120-G120)/ABS(F120)</f>
        <v>#VALUE!</v>
      </c>
      <c r="F120" t="s">
        <v>2351</v>
      </c>
      <c r="G120" t="s">
        <v>2351</v>
      </c>
      <c r="H120" t="s">
        <v>2351</v>
      </c>
      <c r="J120" s="5" t="e">
        <f>ABS(F120-G120)/ABS(F120)</f>
        <v>#VALUE!</v>
      </c>
      <c r="K120" s="5" t="e">
        <f>ABS(G120-H120)/ABS(G120)</f>
        <v>#VALUE!</v>
      </c>
    </row>
    <row r="121" spans="3:11" x14ac:dyDescent="0.2">
      <c r="C121" t="s">
        <v>1703</v>
      </c>
      <c r="D121" t="b">
        <f ca="1">IF(CELL("format",F121)="G",IF(ABS(F121-G121) &lt;= ABS(F121*B$3),TRUE,FALSE),IF(F121=G121,TRUE,FALSE))</f>
        <v>1</v>
      </c>
      <c r="E121" s="5">
        <f>ABS(F121-G121)/ABS(F121)</f>
        <v>0</v>
      </c>
      <c r="F121">
        <v>1</v>
      </c>
      <c r="G121">
        <v>1</v>
      </c>
      <c r="H121">
        <v>1</v>
      </c>
      <c r="J121" s="5">
        <f>ABS(F121-G121)/ABS(F121)</f>
        <v>0</v>
      </c>
      <c r="K121" s="5">
        <f>ABS(G121-H121)/ABS(G121)</f>
        <v>0</v>
      </c>
    </row>
    <row r="122" spans="3:11" x14ac:dyDescent="0.2">
      <c r="C122" t="s">
        <v>1704</v>
      </c>
      <c r="D122" t="b">
        <f ca="1">IF(CELL("format",F122)="G",IF(ABS(F122-G122) &lt;= ABS(F122*B$3),TRUE,FALSE),IF(F122=G122,TRUE,FALSE))</f>
        <v>1</v>
      </c>
      <c r="E122" s="5">
        <f>ABS(F122-G122)/ABS(F122)</f>
        <v>0</v>
      </c>
      <c r="F122">
        <v>1</v>
      </c>
      <c r="G122">
        <v>1</v>
      </c>
      <c r="H122">
        <v>1</v>
      </c>
      <c r="J122" s="5">
        <f>ABS(F122-G122)/ABS(F122)</f>
        <v>0</v>
      </c>
      <c r="K122" s="5">
        <f>ABS(G122-H122)/ABS(G122)</f>
        <v>0</v>
      </c>
    </row>
    <row r="123" spans="3:11" x14ac:dyDescent="0.2">
      <c r="C123" t="s">
        <v>1705</v>
      </c>
      <c r="D123" t="b">
        <f ca="1">IF(CELL("format",F123)="G",IF(ABS(F123-G123) &lt;= ABS(F123*B$3),TRUE,FALSE),IF(F123=G123,TRUE,FALSE))</f>
        <v>1</v>
      </c>
      <c r="E123" s="5">
        <f>ABS(F123-G123)/ABS(F123)</f>
        <v>0</v>
      </c>
      <c r="F123">
        <v>2.83094</v>
      </c>
      <c r="G123">
        <v>2.83094</v>
      </c>
      <c r="H123">
        <v>2.83094</v>
      </c>
      <c r="J123" s="5">
        <f>ABS(F123-G123)/ABS(F123)</f>
        <v>0</v>
      </c>
      <c r="K123" s="5">
        <f>ABS(G123-H123)/ABS(G123)</f>
        <v>0</v>
      </c>
    </row>
    <row r="124" spans="3:11" x14ac:dyDescent="0.2">
      <c r="C124" t="s">
        <v>1706</v>
      </c>
      <c r="D124" t="e">
        <f ca="1">IF(CELL("format",F124)="G",IF(ABS(F124-G124) &lt;= ABS(F124*B$3),TRUE,FALSE),IF(F124=G124,TRUE,FALSE))</f>
        <v>#VALUE!</v>
      </c>
      <c r="E124" s="5" t="e">
        <f>ABS(F124-G124)/ABS(F124)</f>
        <v>#VALUE!</v>
      </c>
      <c r="F124" t="s">
        <v>2349</v>
      </c>
      <c r="G124" t="s">
        <v>2349</v>
      </c>
      <c r="H124" t="s">
        <v>2349</v>
      </c>
      <c r="J124" s="5" t="e">
        <f>ABS(F124-G124)/ABS(F124)</f>
        <v>#VALUE!</v>
      </c>
      <c r="K124" s="5" t="e">
        <f>ABS(G124-H124)/ABS(G124)</f>
        <v>#VALUE!</v>
      </c>
    </row>
    <row r="125" spans="3:11" x14ac:dyDescent="0.2">
      <c r="C125" t="s">
        <v>1707</v>
      </c>
      <c r="D125" t="b">
        <f ca="1">IF(CELL("format",F125)="G",IF(ABS(F125-G125) &lt;= ABS(F125*B$3),TRUE,FALSE),IF(F125=G125,TRUE,FALSE))</f>
        <v>1</v>
      </c>
      <c r="E125" s="5">
        <f>ABS(F125-G125)/ABS(F125)</f>
        <v>0</v>
      </c>
      <c r="F125">
        <v>31</v>
      </c>
      <c r="G125">
        <v>31</v>
      </c>
      <c r="H125">
        <v>31</v>
      </c>
      <c r="J125" s="5">
        <f>ABS(F125-G125)/ABS(F125)</f>
        <v>0</v>
      </c>
      <c r="K125" s="5">
        <f>ABS(G125-H125)/ABS(G125)</f>
        <v>0</v>
      </c>
    </row>
    <row r="126" spans="3:11" x14ac:dyDescent="0.2">
      <c r="C126" t="s">
        <v>1708</v>
      </c>
      <c r="D126" t="b">
        <f ca="1">IF(CELL("format",F126)="G",IF(ABS(F126-G126) &lt;= ABS(F126*B$3),TRUE,FALSE),IF(F126=G126,TRUE,FALSE))</f>
        <v>1</v>
      </c>
      <c r="E126" s="5">
        <f>ABS(F126-G126)/ABS(F126)</f>
        <v>0</v>
      </c>
      <c r="F126">
        <v>24</v>
      </c>
      <c r="G126">
        <v>24</v>
      </c>
      <c r="H126">
        <v>24</v>
      </c>
      <c r="J126" s="5">
        <f>ABS(F126-G126)/ABS(F126)</f>
        <v>0</v>
      </c>
      <c r="K126" s="5">
        <f>ABS(G126-H126)/ABS(G126)</f>
        <v>0</v>
      </c>
    </row>
    <row r="127" spans="3:11" x14ac:dyDescent="0.2">
      <c r="C127" t="s">
        <v>1709</v>
      </c>
      <c r="D127" t="b">
        <f ca="1">IF(CELL("format",F127)="G",IF(ABS(F127-G127) &lt;= ABS(F127*B$3),TRUE,FALSE),IF(F127=G127,TRUE,FALSE))</f>
        <v>1</v>
      </c>
      <c r="E127" s="5">
        <f>ABS(F127-G127)/ABS(F127)</f>
        <v>0</v>
      </c>
      <c r="F127">
        <v>3.85351</v>
      </c>
      <c r="G127">
        <v>3.85351</v>
      </c>
      <c r="H127">
        <v>3.85351</v>
      </c>
      <c r="J127" s="5">
        <f>ABS(F127-G127)/ABS(F127)</f>
        <v>0</v>
      </c>
      <c r="K127" s="5">
        <f>ABS(G127-H127)/ABS(G127)</f>
        <v>0</v>
      </c>
    </row>
    <row r="128" spans="3:11" x14ac:dyDescent="0.2">
      <c r="C128" t="s">
        <v>1710</v>
      </c>
      <c r="D128" t="e">
        <f ca="1">IF(CELL("format",F128)="G",IF(ABS(F128-G128) &lt;= ABS(F128*B$3),TRUE,FALSE),IF(F128=G128,TRUE,FALSE))</f>
        <v>#VALUE!</v>
      </c>
      <c r="E128" s="5" t="e">
        <f>ABS(F128-G128)/ABS(F128)</f>
        <v>#VALUE!</v>
      </c>
      <c r="F128" t="s">
        <v>2352</v>
      </c>
      <c r="G128" t="s">
        <v>2352</v>
      </c>
      <c r="H128" t="s">
        <v>2352</v>
      </c>
      <c r="J128" s="5" t="e">
        <f>ABS(F128-G128)/ABS(F128)</f>
        <v>#VALUE!</v>
      </c>
      <c r="K128" s="5" t="e">
        <f>ABS(G128-H128)/ABS(G128)</f>
        <v>#VALUE!</v>
      </c>
    </row>
    <row r="129" spans="3:11" x14ac:dyDescent="0.2">
      <c r="C129" t="s">
        <v>1711</v>
      </c>
      <c r="D129" t="b">
        <f ca="1">IF(CELL("format",F129)="G",IF(ABS(F129-G129) &lt;= ABS(F129*B$3),TRUE,FALSE),IF(F129=G129,TRUE,FALSE))</f>
        <v>1</v>
      </c>
      <c r="E129" s="5">
        <f>ABS(F129-G129)/ABS(F129)</f>
        <v>0</v>
      </c>
      <c r="F129">
        <v>26</v>
      </c>
      <c r="G129">
        <v>26</v>
      </c>
      <c r="H129">
        <v>26</v>
      </c>
      <c r="J129" s="5">
        <f>ABS(F129-G129)/ABS(F129)</f>
        <v>0</v>
      </c>
      <c r="K129" s="5">
        <f>ABS(G129-H129)/ABS(G129)</f>
        <v>0</v>
      </c>
    </row>
    <row r="130" spans="3:11" x14ac:dyDescent="0.2">
      <c r="C130" t="s">
        <v>1712</v>
      </c>
      <c r="D130" t="b">
        <f ca="1">IF(CELL("format",F130)="G",IF(ABS(F130-G130) &lt;= ABS(F130*B$3),TRUE,FALSE),IF(F130=G130,TRUE,FALSE))</f>
        <v>1</v>
      </c>
      <c r="E130" s="5">
        <f>ABS(F130-G130)/ABS(F130)</f>
        <v>0</v>
      </c>
      <c r="F130">
        <v>7</v>
      </c>
      <c r="G130">
        <v>7</v>
      </c>
      <c r="H130">
        <v>7</v>
      </c>
      <c r="J130" s="5">
        <f>ABS(F130-G130)/ABS(F130)</f>
        <v>0</v>
      </c>
      <c r="K130" s="5">
        <f>ABS(G130-H130)/ABS(G130)</f>
        <v>0</v>
      </c>
    </row>
    <row r="131" spans="3:11" x14ac:dyDescent="0.2">
      <c r="C131" t="s">
        <v>1713</v>
      </c>
      <c r="D131" t="b">
        <f ca="1">IF(CELL("format",F131)="G",IF(ABS(F131-G131) &lt;= ABS(F131*B$3),TRUE,FALSE),IF(F131=G131,TRUE,FALSE))</f>
        <v>1</v>
      </c>
      <c r="E131" s="5">
        <f>ABS(F131-G131)/ABS(F131)</f>
        <v>0</v>
      </c>
      <c r="F131">
        <v>2.0524</v>
      </c>
      <c r="G131">
        <v>2.0524</v>
      </c>
      <c r="H131">
        <v>2.0524</v>
      </c>
      <c r="J131" s="5">
        <f>ABS(F131-G131)/ABS(F131)</f>
        <v>0</v>
      </c>
      <c r="K131" s="5">
        <f>ABS(G131-H131)/ABS(G131)</f>
        <v>0</v>
      </c>
    </row>
    <row r="132" spans="3:11" x14ac:dyDescent="0.2">
      <c r="C132" t="s">
        <v>1714</v>
      </c>
      <c r="D132" t="e">
        <f ca="1">IF(CELL("format",F132)="G",IF(ABS(F132-G132) &lt;= ABS(F132*B$3),TRUE,FALSE),IF(F132=G132,TRUE,FALSE))</f>
        <v>#VALUE!</v>
      </c>
      <c r="E132" s="5" t="e">
        <f>ABS(F132-G132)/ABS(F132)</f>
        <v>#VALUE!</v>
      </c>
      <c r="F132" t="s">
        <v>2352</v>
      </c>
      <c r="G132" t="s">
        <v>2352</v>
      </c>
      <c r="H132" t="s">
        <v>2352</v>
      </c>
      <c r="J132" s="5" t="e">
        <f>ABS(F132-G132)/ABS(F132)</f>
        <v>#VALUE!</v>
      </c>
      <c r="K132" s="5" t="e">
        <f>ABS(G132-H132)/ABS(G132)</f>
        <v>#VALUE!</v>
      </c>
    </row>
    <row r="133" spans="3:11" x14ac:dyDescent="0.2">
      <c r="C133" t="s">
        <v>1715</v>
      </c>
      <c r="D133" t="b">
        <f ca="1">IF(CELL("format",F133)="G",IF(ABS(F133-G133) &lt;= ABS(F133*B$3),TRUE,FALSE),IF(F133=G133,TRUE,FALSE))</f>
        <v>1</v>
      </c>
      <c r="E133" s="5">
        <f>ABS(F133-G133)/ABS(F133)</f>
        <v>0</v>
      </c>
      <c r="F133">
        <v>26</v>
      </c>
      <c r="G133">
        <v>26</v>
      </c>
      <c r="H133">
        <v>26</v>
      </c>
      <c r="J133" s="5">
        <f>ABS(F133-G133)/ABS(F133)</f>
        <v>0</v>
      </c>
      <c r="K133" s="5">
        <f>ABS(G133-H133)/ABS(G133)</f>
        <v>0</v>
      </c>
    </row>
    <row r="134" spans="3:11" x14ac:dyDescent="0.2">
      <c r="C134" t="s">
        <v>1716</v>
      </c>
      <c r="D134" t="b">
        <f ca="1">IF(CELL("format",F134)="G",IF(ABS(F134-G134) &lt;= ABS(F134*B$3),TRUE,FALSE),IF(F134=G134,TRUE,FALSE))</f>
        <v>1</v>
      </c>
      <c r="E134" s="5">
        <f>ABS(F134-G134)/ABS(F134)</f>
        <v>0</v>
      </c>
      <c r="F134">
        <v>7</v>
      </c>
      <c r="G134">
        <v>7</v>
      </c>
      <c r="H134">
        <v>7</v>
      </c>
      <c r="J134" s="5">
        <f>ABS(F134-G134)/ABS(F134)</f>
        <v>0</v>
      </c>
      <c r="K134" s="5">
        <f>ABS(G134-H134)/ABS(G134)</f>
        <v>0</v>
      </c>
    </row>
    <row r="135" spans="3:11" x14ac:dyDescent="0.2">
      <c r="C135" t="s">
        <v>1717</v>
      </c>
      <c r="D135" t="b">
        <f ca="1">IF(CELL("format",F135)="G",IF(ABS(F135-G135) &lt;= ABS(F135*B$3),TRUE,FALSE),IF(F135=G135,TRUE,FALSE))</f>
        <v>1</v>
      </c>
      <c r="E135" s="5">
        <f>ABS(F135-G135)/ABS(F135)</f>
        <v>0</v>
      </c>
      <c r="F135">
        <v>3.2229299999999999</v>
      </c>
      <c r="G135">
        <v>3.2229299999999999</v>
      </c>
      <c r="H135">
        <v>3.2229299999999999</v>
      </c>
      <c r="J135" s="5">
        <f>ABS(F135-G135)/ABS(F135)</f>
        <v>0</v>
      </c>
      <c r="K135" s="5">
        <f>ABS(G135-H135)/ABS(G135)</f>
        <v>0</v>
      </c>
    </row>
    <row r="136" spans="3:11" x14ac:dyDescent="0.2">
      <c r="C136" t="s">
        <v>1718</v>
      </c>
      <c r="D136" t="e">
        <f ca="1">IF(CELL("format",F136)="G",IF(ABS(F136-G136) &lt;= ABS(F136*B$3),TRUE,FALSE),IF(F136=G136,TRUE,FALSE))</f>
        <v>#VALUE!</v>
      </c>
      <c r="E136" s="5" t="e">
        <f>ABS(F136-G136)/ABS(F136)</f>
        <v>#VALUE!</v>
      </c>
      <c r="F136" t="s">
        <v>2349</v>
      </c>
      <c r="G136" t="s">
        <v>2349</v>
      </c>
      <c r="H136" t="s">
        <v>2349</v>
      </c>
      <c r="J136" s="5" t="e">
        <f>ABS(F136-G136)/ABS(F136)</f>
        <v>#VALUE!</v>
      </c>
      <c r="K136" s="5" t="e">
        <f>ABS(G136-H136)/ABS(G136)</f>
        <v>#VALUE!</v>
      </c>
    </row>
    <row r="137" spans="3:11" x14ac:dyDescent="0.2">
      <c r="C137" t="s">
        <v>1719</v>
      </c>
      <c r="D137" t="b">
        <f ca="1">IF(CELL("format",F137)="G",IF(ABS(F137-G137) &lt;= ABS(F137*B$3),TRUE,FALSE),IF(F137=G137,TRUE,FALSE))</f>
        <v>1</v>
      </c>
      <c r="E137" s="5">
        <f>ABS(F137-G137)/ABS(F137)</f>
        <v>0</v>
      </c>
      <c r="F137">
        <v>31</v>
      </c>
      <c r="G137">
        <v>31</v>
      </c>
      <c r="H137">
        <v>31</v>
      </c>
      <c r="J137" s="5">
        <f>ABS(F137-G137)/ABS(F137)</f>
        <v>0</v>
      </c>
      <c r="K137" s="5">
        <f>ABS(G137-H137)/ABS(G137)</f>
        <v>0</v>
      </c>
    </row>
    <row r="138" spans="3:11" x14ac:dyDescent="0.2">
      <c r="C138" t="s">
        <v>1720</v>
      </c>
      <c r="D138" t="b">
        <f ca="1">IF(CELL("format",F138)="G",IF(ABS(F138-G138) &lt;= ABS(F138*B$3),TRUE,FALSE),IF(F138=G138,TRUE,FALSE))</f>
        <v>1</v>
      </c>
      <c r="E138" s="5">
        <f>ABS(F138-G138)/ABS(F138)</f>
        <v>0</v>
      </c>
      <c r="F138">
        <v>24</v>
      </c>
      <c r="G138">
        <v>24</v>
      </c>
      <c r="H138">
        <v>24</v>
      </c>
      <c r="J138" s="5">
        <f>ABS(F138-G138)/ABS(F138)</f>
        <v>0</v>
      </c>
      <c r="K138" s="5">
        <f>ABS(G138-H138)/ABS(G138)</f>
        <v>0</v>
      </c>
    </row>
    <row r="139" spans="3:11" x14ac:dyDescent="0.2">
      <c r="C139" t="s">
        <v>1721</v>
      </c>
      <c r="D139" t="b">
        <f ca="1">IF(CELL("format",F139)="G",IF(ABS(F139-G139) &lt;= ABS(F139*B$3),TRUE,FALSE),IF(F139=G139,TRUE,FALSE))</f>
        <v>1</v>
      </c>
      <c r="E139" s="5">
        <f>ABS(F139-G139)/ABS(F139)</f>
        <v>0</v>
      </c>
      <c r="F139">
        <v>2.0714999999999999</v>
      </c>
      <c r="G139">
        <v>2.0714999999999999</v>
      </c>
      <c r="H139">
        <v>2.0714999999999999</v>
      </c>
      <c r="J139" s="5">
        <f>ABS(F139-G139)/ABS(F139)</f>
        <v>0</v>
      </c>
      <c r="K139" s="5">
        <f>ABS(G139-H139)/ABS(G139)</f>
        <v>0</v>
      </c>
    </row>
    <row r="140" spans="3:11" x14ac:dyDescent="0.2">
      <c r="C140" t="s">
        <v>1722</v>
      </c>
      <c r="D140" t="e">
        <f ca="1">IF(CELL("format",F140)="G",IF(ABS(F140-G140) &lt;= ABS(F140*B$3),TRUE,FALSE),IF(F140=G140,TRUE,FALSE))</f>
        <v>#VALUE!</v>
      </c>
      <c r="E140" s="5" t="e">
        <f>ABS(F140-G140)/ABS(F140)</f>
        <v>#VALUE!</v>
      </c>
      <c r="F140" t="s">
        <v>2349</v>
      </c>
      <c r="G140" t="s">
        <v>2349</v>
      </c>
      <c r="H140" t="s">
        <v>2349</v>
      </c>
      <c r="J140" s="5" t="e">
        <f>ABS(F140-G140)/ABS(F140)</f>
        <v>#VALUE!</v>
      </c>
      <c r="K140" s="5" t="e">
        <f>ABS(G140-H140)/ABS(G140)</f>
        <v>#VALUE!</v>
      </c>
    </row>
    <row r="141" spans="3:11" x14ac:dyDescent="0.2">
      <c r="C141" t="s">
        <v>1723</v>
      </c>
      <c r="D141" t="b">
        <f ca="1">IF(CELL("format",F141)="G",IF(ABS(F141-G141) &lt;= ABS(F141*B$3),TRUE,FALSE),IF(F141=G141,TRUE,FALSE))</f>
        <v>1</v>
      </c>
      <c r="E141" s="5">
        <f>ABS(F141-G141)/ABS(F141)</f>
        <v>0</v>
      </c>
      <c r="F141">
        <v>31</v>
      </c>
      <c r="G141">
        <v>31</v>
      </c>
      <c r="H141">
        <v>31</v>
      </c>
      <c r="J141" s="5">
        <f>ABS(F141-G141)/ABS(F141)</f>
        <v>0</v>
      </c>
      <c r="K141" s="5">
        <f>ABS(G141-H141)/ABS(G141)</f>
        <v>0</v>
      </c>
    </row>
    <row r="142" spans="3:11" x14ac:dyDescent="0.2">
      <c r="C142" t="s">
        <v>1724</v>
      </c>
      <c r="D142" t="b">
        <f ca="1">IF(CELL("format",F142)="G",IF(ABS(F142-G142) &lt;= ABS(F142*B$3),TRUE,FALSE),IF(F142=G142,TRUE,FALSE))</f>
        <v>1</v>
      </c>
      <c r="E142" s="5">
        <f>ABS(F142-G142)/ABS(F142)</f>
        <v>0</v>
      </c>
      <c r="F142">
        <v>24</v>
      </c>
      <c r="G142">
        <v>24</v>
      </c>
      <c r="H142">
        <v>24</v>
      </c>
      <c r="J142" s="5">
        <f>ABS(F142-G142)/ABS(F142)</f>
        <v>0</v>
      </c>
      <c r="K142" s="5">
        <f>ABS(G142-H142)/ABS(G142)</f>
        <v>0</v>
      </c>
    </row>
    <row r="143" spans="3:11" x14ac:dyDescent="0.2">
      <c r="C143" t="s">
        <v>1725</v>
      </c>
      <c r="D143" t="b">
        <f ca="1">IF(CELL("format",F143)="G",IF(ABS(F143-G143) &lt;= ABS(F143*B$3),TRUE,FALSE),IF(F143=G143,TRUE,FALSE))</f>
        <v>1</v>
      </c>
      <c r="E143" s="5">
        <f>ABS(F143-G143)/ABS(F143)</f>
        <v>0</v>
      </c>
      <c r="F143">
        <v>2.6874799999999999</v>
      </c>
      <c r="G143">
        <v>2.6874799999999999</v>
      </c>
      <c r="H143">
        <v>2.6874799999999999</v>
      </c>
      <c r="J143" s="5">
        <f>ABS(F143-G143)/ABS(F143)</f>
        <v>0</v>
      </c>
      <c r="K143" s="5">
        <f>ABS(G143-H143)/ABS(G143)</f>
        <v>0</v>
      </c>
    </row>
    <row r="144" spans="3:11" x14ac:dyDescent="0.2">
      <c r="C144" t="s">
        <v>1726</v>
      </c>
      <c r="D144" t="e">
        <f ca="1">IF(CELL("format",F144)="G",IF(ABS(F144-G144) &lt;= ABS(F144*B$3),TRUE,FALSE),IF(F144=G144,TRUE,FALSE))</f>
        <v>#VALUE!</v>
      </c>
      <c r="E144" s="5" t="e">
        <f>ABS(F144-G144)/ABS(F144)</f>
        <v>#VALUE!</v>
      </c>
      <c r="F144" t="s">
        <v>2350</v>
      </c>
      <c r="G144" t="s">
        <v>2350</v>
      </c>
      <c r="H144" t="s">
        <v>2350</v>
      </c>
      <c r="J144" s="5" t="e">
        <f>ABS(F144-G144)/ABS(F144)</f>
        <v>#VALUE!</v>
      </c>
      <c r="K144" s="5" t="e">
        <f>ABS(G144-H144)/ABS(G144)</f>
        <v>#VALUE!</v>
      </c>
    </row>
    <row r="145" spans="3:11" x14ac:dyDescent="0.2">
      <c r="C145" t="s">
        <v>1727</v>
      </c>
      <c r="D145" t="b">
        <f ca="1">IF(CELL("format",F145)="G",IF(ABS(F145-G145) &lt;= ABS(F145*B$3),TRUE,FALSE),IF(F145=G145,TRUE,FALSE))</f>
        <v>1</v>
      </c>
      <c r="E145" s="5">
        <f>ABS(F145-G145)/ABS(F145)</f>
        <v>0</v>
      </c>
      <c r="F145">
        <v>9</v>
      </c>
      <c r="G145">
        <v>9</v>
      </c>
      <c r="H145">
        <v>9</v>
      </c>
      <c r="J145" s="5">
        <f>ABS(F145-G145)/ABS(F145)</f>
        <v>0</v>
      </c>
      <c r="K145" s="5">
        <f>ABS(G145-H145)/ABS(G145)</f>
        <v>0</v>
      </c>
    </row>
    <row r="146" spans="3:11" x14ac:dyDescent="0.2">
      <c r="C146" t="s">
        <v>1728</v>
      </c>
      <c r="D146" t="b">
        <f ca="1">IF(CELL("format",F146)="G",IF(ABS(F146-G146) &lt;= ABS(F146*B$3),TRUE,FALSE),IF(F146=G146,TRUE,FALSE))</f>
        <v>1</v>
      </c>
      <c r="E146" s="5">
        <f>ABS(F146-G146)/ABS(F146)</f>
        <v>0</v>
      </c>
      <c r="F146">
        <v>6</v>
      </c>
      <c r="G146">
        <v>6</v>
      </c>
      <c r="H146">
        <v>6</v>
      </c>
      <c r="J146" s="5">
        <f>ABS(F146-G146)/ABS(F146)</f>
        <v>0</v>
      </c>
      <c r="K146" s="5">
        <f>ABS(G146-H146)/ABS(G146)</f>
        <v>0</v>
      </c>
    </row>
    <row r="147" spans="3:11" x14ac:dyDescent="0.2">
      <c r="C147" t="s">
        <v>1729</v>
      </c>
      <c r="D147" t="b">
        <f ca="1">IF(CELL("format",F147)="G",IF(ABS(F147-G147) &lt;= ABS(F147*B$3),TRUE,FALSE),IF(F147=G147,TRUE,FALSE))</f>
        <v>1</v>
      </c>
      <c r="E147" s="5">
        <f>ABS(F147-G147)/ABS(F147)</f>
        <v>0</v>
      </c>
      <c r="F147">
        <v>2.6989200000000002</v>
      </c>
      <c r="G147">
        <v>2.6989200000000002</v>
      </c>
      <c r="H147">
        <v>2.6989200000000002</v>
      </c>
      <c r="J147" s="5">
        <f>ABS(F147-G147)/ABS(F147)</f>
        <v>0</v>
      </c>
      <c r="K147" s="5">
        <f>ABS(G147-H147)/ABS(G147)</f>
        <v>0</v>
      </c>
    </row>
    <row r="148" spans="3:11" x14ac:dyDescent="0.2">
      <c r="C148" t="s">
        <v>1730</v>
      </c>
      <c r="D148" t="e">
        <f ca="1">IF(CELL("format",F148)="G",IF(ABS(F148-G148) &lt;= ABS(F148*B$3),TRUE,FALSE),IF(F148=G148,TRUE,FALSE))</f>
        <v>#VALUE!</v>
      </c>
      <c r="E148" s="5" t="e">
        <f>ABS(F148-G148)/ABS(F148)</f>
        <v>#VALUE!</v>
      </c>
      <c r="F148" t="s">
        <v>2350</v>
      </c>
      <c r="G148" t="s">
        <v>2350</v>
      </c>
      <c r="H148" t="s">
        <v>2350</v>
      </c>
      <c r="J148" s="5" t="e">
        <f>ABS(F148-G148)/ABS(F148)</f>
        <v>#VALUE!</v>
      </c>
      <c r="K148" s="5" t="e">
        <f>ABS(G148-H148)/ABS(G148)</f>
        <v>#VALUE!</v>
      </c>
    </row>
    <row r="149" spans="3:11" x14ac:dyDescent="0.2">
      <c r="C149" t="s">
        <v>1731</v>
      </c>
      <c r="D149" t="b">
        <f ca="1">IF(CELL("format",F149)="G",IF(ABS(F149-G149) &lt;= ABS(F149*B$3),TRUE,FALSE),IF(F149=G149,TRUE,FALSE))</f>
        <v>1</v>
      </c>
      <c r="E149" s="5">
        <f>ABS(F149-G149)/ABS(F149)</f>
        <v>0</v>
      </c>
      <c r="F149">
        <v>9</v>
      </c>
      <c r="G149">
        <v>9</v>
      </c>
      <c r="H149">
        <v>9</v>
      </c>
      <c r="J149" s="5">
        <f>ABS(F149-G149)/ABS(F149)</f>
        <v>0</v>
      </c>
      <c r="K149" s="5">
        <f>ABS(G149-H149)/ABS(G149)</f>
        <v>0</v>
      </c>
    </row>
    <row r="150" spans="3:11" x14ac:dyDescent="0.2">
      <c r="C150" t="s">
        <v>1732</v>
      </c>
      <c r="D150" t="b">
        <f ca="1">IF(CELL("format",F150)="G",IF(ABS(F150-G150) &lt;= ABS(F150*B$3),TRUE,FALSE),IF(F150=G150,TRUE,FALSE))</f>
        <v>1</v>
      </c>
      <c r="E150" s="5">
        <f>ABS(F150-G150)/ABS(F150)</f>
        <v>0</v>
      </c>
      <c r="F150">
        <v>6</v>
      </c>
      <c r="G150">
        <v>6</v>
      </c>
      <c r="H150">
        <v>6</v>
      </c>
      <c r="J150" s="5">
        <f>ABS(F150-G150)/ABS(F150)</f>
        <v>0</v>
      </c>
      <c r="K150" s="5">
        <f>ABS(G150-H150)/ABS(G150)</f>
        <v>0</v>
      </c>
    </row>
    <row r="151" spans="3:11" x14ac:dyDescent="0.2">
      <c r="C151" t="s">
        <v>1733</v>
      </c>
      <c r="D151" t="b">
        <f ca="1">IF(CELL("format",F151)="G",IF(ABS(F151-G151) &lt;= ABS(F151*B$3),TRUE,FALSE),IF(F151=G151,TRUE,FALSE))</f>
        <v>1</v>
      </c>
      <c r="E151" s="5">
        <f>ABS(F151-G151)/ABS(F151)</f>
        <v>0</v>
      </c>
      <c r="F151">
        <v>2.77041</v>
      </c>
      <c r="G151">
        <v>2.77041</v>
      </c>
      <c r="H151">
        <v>2.77041</v>
      </c>
      <c r="J151" s="5">
        <f>ABS(F151-G151)/ABS(F151)</f>
        <v>0</v>
      </c>
      <c r="K151" s="5">
        <f>ABS(G151-H151)/ABS(G151)</f>
        <v>0</v>
      </c>
    </row>
    <row r="152" spans="3:11" x14ac:dyDescent="0.2">
      <c r="C152" t="s">
        <v>1734</v>
      </c>
      <c r="D152" t="e">
        <f ca="1">IF(CELL("format",F152)="G",IF(ABS(F152-G152) &lt;= ABS(F152*B$3),TRUE,FALSE),IF(F152=G152,TRUE,FALSE))</f>
        <v>#VALUE!</v>
      </c>
      <c r="E152" s="5" t="e">
        <f>ABS(F152-G152)/ABS(F152)</f>
        <v>#VALUE!</v>
      </c>
      <c r="F152" t="s">
        <v>2350</v>
      </c>
      <c r="G152" t="s">
        <v>2350</v>
      </c>
      <c r="H152" t="s">
        <v>2350</v>
      </c>
      <c r="J152" s="5" t="e">
        <f>ABS(F152-G152)/ABS(F152)</f>
        <v>#VALUE!</v>
      </c>
      <c r="K152" s="5" t="e">
        <f>ABS(G152-H152)/ABS(G152)</f>
        <v>#VALUE!</v>
      </c>
    </row>
    <row r="153" spans="3:11" x14ac:dyDescent="0.2">
      <c r="C153" t="s">
        <v>1735</v>
      </c>
      <c r="D153" t="b">
        <f ca="1">IF(CELL("format",F153)="G",IF(ABS(F153-G153) &lt;= ABS(F153*B$3),TRUE,FALSE),IF(F153=G153,TRUE,FALSE))</f>
        <v>1</v>
      </c>
      <c r="E153" s="5">
        <f>ABS(F153-G153)/ABS(F153)</f>
        <v>0</v>
      </c>
      <c r="F153">
        <v>9</v>
      </c>
      <c r="G153">
        <v>9</v>
      </c>
      <c r="H153">
        <v>9</v>
      </c>
      <c r="J153" s="5">
        <f>ABS(F153-G153)/ABS(F153)</f>
        <v>0</v>
      </c>
      <c r="K153" s="5">
        <f>ABS(G153-H153)/ABS(G153)</f>
        <v>0</v>
      </c>
    </row>
    <row r="154" spans="3:11" x14ac:dyDescent="0.2">
      <c r="C154" t="s">
        <v>1736</v>
      </c>
      <c r="D154" t="b">
        <f ca="1">IF(CELL("format",F154)="G",IF(ABS(F154-G154) &lt;= ABS(F154*B$3),TRUE,FALSE),IF(F154=G154,TRUE,FALSE))</f>
        <v>1</v>
      </c>
      <c r="E154" s="5">
        <f>ABS(F154-G154)/ABS(F154)</f>
        <v>0</v>
      </c>
      <c r="F154">
        <v>6</v>
      </c>
      <c r="G154">
        <v>6</v>
      </c>
      <c r="H154">
        <v>6</v>
      </c>
      <c r="J154" s="5">
        <f>ABS(F154-G154)/ABS(F154)</f>
        <v>0</v>
      </c>
      <c r="K154" s="5">
        <f>ABS(G154-H154)/ABS(G154)</f>
        <v>0</v>
      </c>
    </row>
    <row r="155" spans="3:11" x14ac:dyDescent="0.2">
      <c r="C155" t="s">
        <v>1737</v>
      </c>
      <c r="D155" t="b">
        <f ca="1">IF(CELL("format",F155)="G",IF(ABS(F155-G155) &lt;= ABS(F155*B$3),TRUE,FALSE),IF(F155=G155,TRUE,FALSE))</f>
        <v>1</v>
      </c>
      <c r="E155" s="5">
        <f>ABS(F155-G155)/ABS(F155)</f>
        <v>0</v>
      </c>
      <c r="F155">
        <v>2.7851699999999999</v>
      </c>
      <c r="G155">
        <v>2.7851699999999999</v>
      </c>
      <c r="H155">
        <v>2.7851699999999999</v>
      </c>
      <c r="J155" s="5">
        <f>ABS(F155-G155)/ABS(F155)</f>
        <v>0</v>
      </c>
      <c r="K155" s="5">
        <f>ABS(G155-H155)/ABS(G155)</f>
        <v>0</v>
      </c>
    </row>
    <row r="156" spans="3:11" x14ac:dyDescent="0.2">
      <c r="C156" t="s">
        <v>1738</v>
      </c>
      <c r="D156" t="e">
        <f ca="1">IF(CELL("format",F156)="G",IF(ABS(F156-G156) &lt;= ABS(F156*B$3),TRUE,FALSE),IF(F156=G156,TRUE,FALSE))</f>
        <v>#VALUE!</v>
      </c>
      <c r="E156" s="5" t="e">
        <f>ABS(F156-G156)/ABS(F156)</f>
        <v>#VALUE!</v>
      </c>
      <c r="F156" t="s">
        <v>2350</v>
      </c>
      <c r="G156" t="s">
        <v>2350</v>
      </c>
      <c r="H156" t="s">
        <v>2350</v>
      </c>
      <c r="J156" s="5" t="e">
        <f>ABS(F156-G156)/ABS(F156)</f>
        <v>#VALUE!</v>
      </c>
      <c r="K156" s="5" t="e">
        <f>ABS(G156-H156)/ABS(G156)</f>
        <v>#VALUE!</v>
      </c>
    </row>
    <row r="157" spans="3:11" x14ac:dyDescent="0.2">
      <c r="C157" t="s">
        <v>1739</v>
      </c>
      <c r="D157" t="b">
        <f ca="1">IF(CELL("format",F157)="G",IF(ABS(F157-G157) &lt;= ABS(F157*B$3),TRUE,FALSE),IF(F157=G157,TRUE,FALSE))</f>
        <v>1</v>
      </c>
      <c r="E157" s="5">
        <f>ABS(F157-G157)/ABS(F157)</f>
        <v>0</v>
      </c>
      <c r="F157">
        <v>9</v>
      </c>
      <c r="G157">
        <v>9</v>
      </c>
      <c r="H157">
        <v>9</v>
      </c>
      <c r="J157" s="5">
        <f>ABS(F157-G157)/ABS(F157)</f>
        <v>0</v>
      </c>
      <c r="K157" s="5">
        <f>ABS(G157-H157)/ABS(G157)</f>
        <v>0</v>
      </c>
    </row>
    <row r="158" spans="3:11" x14ac:dyDescent="0.2">
      <c r="C158" t="s">
        <v>1740</v>
      </c>
      <c r="D158" t="b">
        <f ca="1">IF(CELL("format",F158)="G",IF(ABS(F158-G158) &lt;= ABS(F158*B$3),TRUE,FALSE),IF(F158=G158,TRUE,FALSE))</f>
        <v>1</v>
      </c>
      <c r="E158" s="5">
        <f>ABS(F158-G158)/ABS(F158)</f>
        <v>0</v>
      </c>
      <c r="F158">
        <v>6</v>
      </c>
      <c r="G158">
        <v>6</v>
      </c>
      <c r="H158">
        <v>6</v>
      </c>
      <c r="J158" s="5">
        <f>ABS(F158-G158)/ABS(F158)</f>
        <v>0</v>
      </c>
      <c r="K158" s="5">
        <f>ABS(G158-H158)/ABS(G158)</f>
        <v>0</v>
      </c>
    </row>
    <row r="159" spans="3:11" x14ac:dyDescent="0.2">
      <c r="C159" t="s">
        <v>1741</v>
      </c>
      <c r="D159" t="b">
        <f ca="1">IF(CELL("format",F159)="G",IF(ABS(F159-G159) &lt;= ABS(F159*B$3),TRUE,FALSE),IF(F159=G159,TRUE,FALSE))</f>
        <v>1</v>
      </c>
      <c r="E159" s="5">
        <f>ABS(F159-G159)/ABS(F159)</f>
        <v>0</v>
      </c>
      <c r="F159">
        <v>3.1406999999999998</v>
      </c>
      <c r="G159">
        <v>3.1406999999999998</v>
      </c>
      <c r="H159">
        <v>3.1406999999999998</v>
      </c>
      <c r="J159" s="5">
        <f>ABS(F159-G159)/ABS(F159)</f>
        <v>0</v>
      </c>
      <c r="K159" s="5">
        <f>ABS(G159-H159)/ABS(G159)</f>
        <v>0</v>
      </c>
    </row>
    <row r="160" spans="3:11" x14ac:dyDescent="0.2">
      <c r="C160" t="s">
        <v>1742</v>
      </c>
      <c r="D160" t="e">
        <f ca="1">IF(CELL("format",F160)="G",IF(ABS(F160-G160) &lt;= ABS(F160*B$3),TRUE,FALSE),IF(F160=G160,TRUE,FALSE))</f>
        <v>#VALUE!</v>
      </c>
      <c r="E160" s="5" t="e">
        <f>ABS(F160-G160)/ABS(F160)</f>
        <v>#VALUE!</v>
      </c>
      <c r="F160" t="s">
        <v>2350</v>
      </c>
      <c r="G160" t="s">
        <v>2350</v>
      </c>
      <c r="H160" t="s">
        <v>2350</v>
      </c>
      <c r="J160" s="5" t="e">
        <f>ABS(F160-G160)/ABS(F160)</f>
        <v>#VALUE!</v>
      </c>
      <c r="K160" s="5" t="e">
        <f>ABS(G160-H160)/ABS(G160)</f>
        <v>#VALUE!</v>
      </c>
    </row>
    <row r="161" spans="3:11" x14ac:dyDescent="0.2">
      <c r="C161" t="s">
        <v>1743</v>
      </c>
      <c r="D161" t="b">
        <f ca="1">IF(CELL("format",F161)="G",IF(ABS(F161-G161) &lt;= ABS(F161*B$3),TRUE,FALSE),IF(F161=G161,TRUE,FALSE))</f>
        <v>1</v>
      </c>
      <c r="E161" s="5">
        <f>ABS(F161-G161)/ABS(F161)</f>
        <v>0</v>
      </c>
      <c r="F161">
        <v>9</v>
      </c>
      <c r="G161">
        <v>9</v>
      </c>
      <c r="H161">
        <v>9</v>
      </c>
      <c r="J161" s="5">
        <f>ABS(F161-G161)/ABS(F161)</f>
        <v>0</v>
      </c>
      <c r="K161" s="5">
        <f>ABS(G161-H161)/ABS(G161)</f>
        <v>0</v>
      </c>
    </row>
    <row r="162" spans="3:11" x14ac:dyDescent="0.2">
      <c r="C162" t="s">
        <v>1744</v>
      </c>
      <c r="D162" t="b">
        <f ca="1">IF(CELL("format",F162)="G",IF(ABS(F162-G162) &lt;= ABS(F162*B$3),TRUE,FALSE),IF(F162=G162,TRUE,FALSE))</f>
        <v>1</v>
      </c>
      <c r="E162" s="5">
        <f>ABS(F162-G162)/ABS(F162)</f>
        <v>0</v>
      </c>
      <c r="F162">
        <v>8</v>
      </c>
      <c r="G162">
        <v>8</v>
      </c>
      <c r="H162">
        <v>8</v>
      </c>
      <c r="J162" s="5">
        <f>ABS(F162-G162)/ABS(F162)</f>
        <v>0</v>
      </c>
      <c r="K162" s="5">
        <f>ABS(G162-H162)/ABS(G162)</f>
        <v>0</v>
      </c>
    </row>
    <row r="163" spans="3:11" x14ac:dyDescent="0.2">
      <c r="C163" t="s">
        <v>1745</v>
      </c>
      <c r="D163" t="b">
        <f ca="1">IF(CELL("format",F163)="G",IF(ABS(F163-G163) &lt;= ABS(F163*B$3),TRUE,FALSE),IF(F163=G163,TRUE,FALSE))</f>
        <v>1</v>
      </c>
      <c r="E163" s="5" t="e">
        <f>ABS(F163-G163)/ABS(F163)</f>
        <v>#DIV/0!</v>
      </c>
      <c r="F163">
        <v>0</v>
      </c>
      <c r="G163">
        <v>0</v>
      </c>
      <c r="H163">
        <v>0</v>
      </c>
      <c r="J163" s="5" t="e">
        <f>ABS(F163-G163)/ABS(F163)</f>
        <v>#DIV/0!</v>
      </c>
      <c r="K163" s="5" t="e">
        <f>ABS(G163-H163)/ABS(G163)</f>
        <v>#DIV/0!</v>
      </c>
    </row>
    <row r="164" spans="3:11" x14ac:dyDescent="0.2">
      <c r="C164" t="s">
        <v>1746</v>
      </c>
      <c r="D164" t="e">
        <f ca="1">IF(CELL("format",F164)="G",IF(ABS(F164-G164) &lt;= ABS(F164*B$3),TRUE,FALSE),IF(F164=G164,TRUE,FALSE))</f>
        <v>#VALUE!</v>
      </c>
      <c r="E164" s="5" t="e">
        <f>ABS(F164-G164)/ABS(F164)</f>
        <v>#VALUE!</v>
      </c>
      <c r="F164" t="s">
        <v>2351</v>
      </c>
      <c r="G164" t="s">
        <v>2351</v>
      </c>
      <c r="H164" t="s">
        <v>2351</v>
      </c>
      <c r="J164" s="5" t="e">
        <f>ABS(F164-G164)/ABS(F164)</f>
        <v>#VALUE!</v>
      </c>
      <c r="K164" s="5" t="e">
        <f>ABS(G164-H164)/ABS(G164)</f>
        <v>#VALUE!</v>
      </c>
    </row>
    <row r="165" spans="3:11" x14ac:dyDescent="0.2">
      <c r="C165" t="s">
        <v>1747</v>
      </c>
      <c r="D165" t="b">
        <f ca="1">IF(CELL("format",F165)="G",IF(ABS(F165-G165) &lt;= ABS(F165*B$3),TRUE,FALSE),IF(F165=G165,TRUE,FALSE))</f>
        <v>1</v>
      </c>
      <c r="E165" s="5">
        <f>ABS(F165-G165)/ABS(F165)</f>
        <v>0</v>
      </c>
      <c r="F165">
        <v>1</v>
      </c>
      <c r="G165">
        <v>1</v>
      </c>
      <c r="H165">
        <v>1</v>
      </c>
      <c r="J165" s="5">
        <f>ABS(F165-G165)/ABS(F165)</f>
        <v>0</v>
      </c>
      <c r="K165" s="5">
        <f>ABS(G165-H165)/ABS(G165)</f>
        <v>0</v>
      </c>
    </row>
    <row r="166" spans="3:11" x14ac:dyDescent="0.2">
      <c r="C166" t="s">
        <v>1748</v>
      </c>
      <c r="D166" t="b">
        <f ca="1">IF(CELL("format",F166)="G",IF(ABS(F166-G166) &lt;= ABS(F166*B$3),TRUE,FALSE),IF(F166=G166,TRUE,FALSE))</f>
        <v>1</v>
      </c>
      <c r="E166" s="5">
        <f>ABS(F166-G166)/ABS(F166)</f>
        <v>0</v>
      </c>
      <c r="F166">
        <v>1</v>
      </c>
      <c r="G166">
        <v>1</v>
      </c>
      <c r="H166">
        <v>1</v>
      </c>
      <c r="J166" s="5">
        <f>ABS(F166-G166)/ABS(F166)</f>
        <v>0</v>
      </c>
      <c r="K166" s="5">
        <f>ABS(G166-H166)/ABS(G166)</f>
        <v>0</v>
      </c>
    </row>
    <row r="167" spans="3:11" x14ac:dyDescent="0.2">
      <c r="C167" t="s">
        <v>1749</v>
      </c>
      <c r="D167" t="b">
        <f ca="1">IF(CELL("format",F167)="G",IF(ABS(F167-G167) &lt;= ABS(F167*B$3),TRUE,FALSE),IF(F167=G167,TRUE,FALSE))</f>
        <v>1</v>
      </c>
      <c r="E167" s="5">
        <f>ABS(F167-G167)/ABS(F167)</f>
        <v>0</v>
      </c>
      <c r="F167">
        <v>2.2628599999999999</v>
      </c>
      <c r="G167">
        <v>2.2628599999999999</v>
      </c>
      <c r="H167">
        <v>2.2628599999999999</v>
      </c>
      <c r="J167" s="5">
        <f>ABS(F167-G167)/ABS(F167)</f>
        <v>0</v>
      </c>
      <c r="K167" s="5">
        <f>ABS(G167-H167)/ABS(G167)</f>
        <v>0</v>
      </c>
    </row>
    <row r="168" spans="3:11" x14ac:dyDescent="0.2">
      <c r="C168" t="s">
        <v>1750</v>
      </c>
      <c r="D168" t="e">
        <f ca="1">IF(CELL("format",F168)="G",IF(ABS(F168-G168) &lt;= ABS(F168*B$3),TRUE,FALSE),IF(F168=G168,TRUE,FALSE))</f>
        <v>#VALUE!</v>
      </c>
      <c r="E168" s="5" t="e">
        <f>ABS(F168-G168)/ABS(F168)</f>
        <v>#VALUE!</v>
      </c>
      <c r="F168" t="s">
        <v>2350</v>
      </c>
      <c r="G168" t="s">
        <v>2350</v>
      </c>
      <c r="H168" t="s">
        <v>2350</v>
      </c>
      <c r="J168" s="5" t="e">
        <f>ABS(F168-G168)/ABS(F168)</f>
        <v>#VALUE!</v>
      </c>
      <c r="K168" s="5" t="e">
        <f>ABS(G168-H168)/ABS(G168)</f>
        <v>#VALUE!</v>
      </c>
    </row>
    <row r="169" spans="3:11" x14ac:dyDescent="0.2">
      <c r="C169" t="s">
        <v>1751</v>
      </c>
      <c r="D169" t="b">
        <f ca="1">IF(CELL("format",F169)="G",IF(ABS(F169-G169) &lt;= ABS(F169*B$3),TRUE,FALSE),IF(F169=G169,TRUE,FALSE))</f>
        <v>1</v>
      </c>
      <c r="E169" s="5">
        <f>ABS(F169-G169)/ABS(F169)</f>
        <v>0</v>
      </c>
      <c r="F169">
        <v>9</v>
      </c>
      <c r="G169">
        <v>9</v>
      </c>
      <c r="H169">
        <v>9</v>
      </c>
      <c r="J169" s="5">
        <f>ABS(F169-G169)/ABS(F169)</f>
        <v>0</v>
      </c>
      <c r="K169" s="5">
        <f>ABS(G169-H169)/ABS(G169)</f>
        <v>0</v>
      </c>
    </row>
    <row r="170" spans="3:11" x14ac:dyDescent="0.2">
      <c r="C170" t="s">
        <v>1752</v>
      </c>
      <c r="D170" t="b">
        <f ca="1">IF(CELL("format",F170)="G",IF(ABS(F170-G170) &lt;= ABS(F170*B$3),TRUE,FALSE),IF(F170=G170,TRUE,FALSE))</f>
        <v>1</v>
      </c>
      <c r="E170" s="5">
        <f>ABS(F170-G170)/ABS(F170)</f>
        <v>0</v>
      </c>
      <c r="F170">
        <v>6</v>
      </c>
      <c r="G170">
        <v>6</v>
      </c>
      <c r="H170">
        <v>6</v>
      </c>
      <c r="J170" s="5">
        <f>ABS(F170-G170)/ABS(F170)</f>
        <v>0</v>
      </c>
      <c r="K170" s="5">
        <f>ABS(G170-H170)/ABS(G170)</f>
        <v>0</v>
      </c>
    </row>
    <row r="171" spans="3:11" x14ac:dyDescent="0.2">
      <c r="C171" t="s">
        <v>1753</v>
      </c>
      <c r="D171" t="b">
        <f ca="1">IF(CELL("format",F171)="G",IF(ABS(F171-G171) &lt;= ABS(F171*B$3),TRUE,FALSE),IF(F171=G171,TRUE,FALSE))</f>
        <v>1</v>
      </c>
      <c r="E171" s="5">
        <f>ABS(F171-G171)/ABS(F171)</f>
        <v>0</v>
      </c>
      <c r="F171">
        <v>1.5307299999999999</v>
      </c>
      <c r="G171">
        <v>1.5307299999999999</v>
      </c>
      <c r="H171">
        <v>1.5307299999999999</v>
      </c>
      <c r="J171" s="5">
        <f>ABS(F171-G171)/ABS(F171)</f>
        <v>0</v>
      </c>
      <c r="K171" s="5">
        <f>ABS(G171-H171)/ABS(G171)</f>
        <v>0</v>
      </c>
    </row>
    <row r="172" spans="3:11" x14ac:dyDescent="0.2">
      <c r="C172" t="s">
        <v>1754</v>
      </c>
      <c r="D172" t="e">
        <f ca="1">IF(CELL("format",F172)="G",IF(ABS(F172-G172) &lt;= ABS(F172*B$3),TRUE,FALSE),IF(F172=G172,TRUE,FALSE))</f>
        <v>#VALUE!</v>
      </c>
      <c r="E172" s="5" t="e">
        <f>ABS(F172-G172)/ABS(F172)</f>
        <v>#VALUE!</v>
      </c>
      <c r="F172" t="s">
        <v>2350</v>
      </c>
      <c r="G172" t="s">
        <v>2350</v>
      </c>
      <c r="H172" t="s">
        <v>2350</v>
      </c>
      <c r="J172" s="5" t="e">
        <f>ABS(F172-G172)/ABS(F172)</f>
        <v>#VALUE!</v>
      </c>
      <c r="K172" s="5" t="e">
        <f>ABS(G172-H172)/ABS(G172)</f>
        <v>#VALUE!</v>
      </c>
    </row>
    <row r="173" spans="3:11" x14ac:dyDescent="0.2">
      <c r="C173" t="s">
        <v>1755</v>
      </c>
      <c r="D173" t="b">
        <f ca="1">IF(CELL("format",F173)="G",IF(ABS(F173-G173) &lt;= ABS(F173*B$3),TRUE,FALSE),IF(F173=G173,TRUE,FALSE))</f>
        <v>1</v>
      </c>
      <c r="E173" s="5">
        <f>ABS(F173-G173)/ABS(F173)</f>
        <v>0</v>
      </c>
      <c r="F173">
        <v>9</v>
      </c>
      <c r="G173">
        <v>9</v>
      </c>
      <c r="H173">
        <v>9</v>
      </c>
      <c r="J173" s="5">
        <f>ABS(F173-G173)/ABS(F173)</f>
        <v>0</v>
      </c>
      <c r="K173" s="5">
        <f>ABS(G173-H173)/ABS(G173)</f>
        <v>0</v>
      </c>
    </row>
    <row r="174" spans="3:11" x14ac:dyDescent="0.2">
      <c r="C174" t="s">
        <v>1756</v>
      </c>
      <c r="D174" t="b">
        <f ca="1">IF(CELL("format",F174)="G",IF(ABS(F174-G174) &lt;= ABS(F174*B$3),TRUE,FALSE),IF(F174=G174,TRUE,FALSE))</f>
        <v>1</v>
      </c>
      <c r="E174" s="5">
        <f>ABS(F174-G174)/ABS(F174)</f>
        <v>0</v>
      </c>
      <c r="F174">
        <v>6</v>
      </c>
      <c r="G174">
        <v>6</v>
      </c>
      <c r="H174">
        <v>6</v>
      </c>
      <c r="J174" s="5">
        <f>ABS(F174-G174)/ABS(F174)</f>
        <v>0</v>
      </c>
      <c r="K174" s="5">
        <f>ABS(G174-H174)/ABS(G174)</f>
        <v>0</v>
      </c>
    </row>
    <row r="175" spans="3:11" x14ac:dyDescent="0.2">
      <c r="C175" t="s">
        <v>1757</v>
      </c>
      <c r="D175" t="b">
        <f ca="1">IF(CELL("format",F175)="G",IF(ABS(F175-G175) &lt;= ABS(F175*B$3),TRUE,FALSE),IF(F175=G175,TRUE,FALSE))</f>
        <v>1</v>
      </c>
      <c r="E175" s="5">
        <f>ABS(F175-G175)/ABS(F175)</f>
        <v>0</v>
      </c>
      <c r="F175">
        <v>2.6954400000000001</v>
      </c>
      <c r="G175">
        <v>2.6954400000000001</v>
      </c>
      <c r="H175">
        <v>2.6954400000000001</v>
      </c>
      <c r="J175" s="5">
        <f>ABS(F175-G175)/ABS(F175)</f>
        <v>0</v>
      </c>
      <c r="K175" s="5">
        <f>ABS(G175-H175)/ABS(G175)</f>
        <v>0</v>
      </c>
    </row>
    <row r="176" spans="3:11" x14ac:dyDescent="0.2">
      <c r="C176" t="s">
        <v>1758</v>
      </c>
      <c r="D176" t="e">
        <f ca="1">IF(CELL("format",F176)="G",IF(ABS(F176-G176) &lt;= ABS(F176*B$3),TRUE,FALSE),IF(F176=G176,TRUE,FALSE))</f>
        <v>#VALUE!</v>
      </c>
      <c r="E176" s="5" t="e">
        <f>ABS(F176-G176)/ABS(F176)</f>
        <v>#VALUE!</v>
      </c>
      <c r="F176" t="s">
        <v>2350</v>
      </c>
      <c r="G176" t="s">
        <v>2350</v>
      </c>
      <c r="H176" t="s">
        <v>2350</v>
      </c>
      <c r="J176" s="5" t="e">
        <f>ABS(F176-G176)/ABS(F176)</f>
        <v>#VALUE!</v>
      </c>
      <c r="K176" s="5" t="e">
        <f>ABS(G176-H176)/ABS(G176)</f>
        <v>#VALUE!</v>
      </c>
    </row>
    <row r="177" spans="3:11" x14ac:dyDescent="0.2">
      <c r="C177" t="s">
        <v>1759</v>
      </c>
      <c r="D177" t="b">
        <f ca="1">IF(CELL("format",F177)="G",IF(ABS(F177-G177) &lt;= ABS(F177*B$3),TRUE,FALSE),IF(F177=G177,TRUE,FALSE))</f>
        <v>1</v>
      </c>
      <c r="E177" s="5">
        <f>ABS(F177-G177)/ABS(F177)</f>
        <v>0</v>
      </c>
      <c r="F177">
        <v>9</v>
      </c>
      <c r="G177">
        <v>9</v>
      </c>
      <c r="H177">
        <v>9</v>
      </c>
      <c r="J177" s="5">
        <f>ABS(F177-G177)/ABS(F177)</f>
        <v>0</v>
      </c>
      <c r="K177" s="5">
        <f>ABS(G177-H177)/ABS(G177)</f>
        <v>0</v>
      </c>
    </row>
    <row r="178" spans="3:11" x14ac:dyDescent="0.2">
      <c r="C178" t="s">
        <v>1760</v>
      </c>
      <c r="D178" t="b">
        <f ca="1">IF(CELL("format",F178)="G",IF(ABS(F178-G178) &lt;= ABS(F178*B$3),TRUE,FALSE),IF(F178=G178,TRUE,FALSE))</f>
        <v>1</v>
      </c>
      <c r="E178" s="5">
        <f>ABS(F178-G178)/ABS(F178)</f>
        <v>0</v>
      </c>
      <c r="F178">
        <v>6</v>
      </c>
      <c r="G178">
        <v>6</v>
      </c>
      <c r="H178">
        <v>6</v>
      </c>
      <c r="J178" s="5">
        <f>ABS(F178-G178)/ABS(F178)</f>
        <v>0</v>
      </c>
      <c r="K178" s="5">
        <f>ABS(G178-H178)/ABS(G178)</f>
        <v>0</v>
      </c>
    </row>
    <row r="179" spans="3:11" x14ac:dyDescent="0.2">
      <c r="C179" t="s">
        <v>1761</v>
      </c>
      <c r="D179" t="b">
        <f ca="1">IF(CELL("format",F179)="G",IF(ABS(F179-G179) &lt;= ABS(F179*B$3),TRUE,FALSE),IF(F179=G179,TRUE,FALSE))</f>
        <v>1</v>
      </c>
      <c r="E179" s="5">
        <f>ABS(F179-G179)/ABS(F179)</f>
        <v>0</v>
      </c>
      <c r="F179">
        <v>1.6162799999999999</v>
      </c>
      <c r="G179">
        <v>1.6162799999999999</v>
      </c>
      <c r="H179">
        <v>1.6162799999999999</v>
      </c>
      <c r="J179" s="5">
        <f>ABS(F179-G179)/ABS(F179)</f>
        <v>0</v>
      </c>
      <c r="K179" s="5">
        <f>ABS(G179-H179)/ABS(G179)</f>
        <v>0</v>
      </c>
    </row>
    <row r="180" spans="3:11" x14ac:dyDescent="0.2">
      <c r="C180" t="s">
        <v>1762</v>
      </c>
      <c r="D180" t="e">
        <f ca="1">IF(CELL("format",F180)="G",IF(ABS(F180-G180) &lt;= ABS(F180*B$3),TRUE,FALSE),IF(F180=G180,TRUE,FALSE))</f>
        <v>#VALUE!</v>
      </c>
      <c r="E180" s="5" t="e">
        <f>ABS(F180-G180)/ABS(F180)</f>
        <v>#VALUE!</v>
      </c>
      <c r="F180" t="s">
        <v>2350</v>
      </c>
      <c r="G180" t="s">
        <v>2350</v>
      </c>
      <c r="H180" t="s">
        <v>2350</v>
      </c>
      <c r="J180" s="5" t="e">
        <f>ABS(F180-G180)/ABS(F180)</f>
        <v>#VALUE!</v>
      </c>
      <c r="K180" s="5" t="e">
        <f>ABS(G180-H180)/ABS(G180)</f>
        <v>#VALUE!</v>
      </c>
    </row>
    <row r="181" spans="3:11" x14ac:dyDescent="0.2">
      <c r="C181" t="s">
        <v>1763</v>
      </c>
      <c r="D181" t="b">
        <f ca="1">IF(CELL("format",F181)="G",IF(ABS(F181-G181) &lt;= ABS(F181*B$3),TRUE,FALSE),IF(F181=G181,TRUE,FALSE))</f>
        <v>1</v>
      </c>
      <c r="E181" s="5">
        <f>ABS(F181-G181)/ABS(F181)</f>
        <v>0</v>
      </c>
      <c r="F181">
        <v>9</v>
      </c>
      <c r="G181">
        <v>9</v>
      </c>
      <c r="H181">
        <v>9</v>
      </c>
      <c r="J181" s="5">
        <f>ABS(F181-G181)/ABS(F181)</f>
        <v>0</v>
      </c>
      <c r="K181" s="5">
        <f>ABS(G181-H181)/ABS(G181)</f>
        <v>0</v>
      </c>
    </row>
    <row r="182" spans="3:11" x14ac:dyDescent="0.2">
      <c r="C182" t="s">
        <v>1764</v>
      </c>
      <c r="D182" t="b">
        <f ca="1">IF(CELL("format",F182)="G",IF(ABS(F182-G182) &lt;= ABS(F182*B$3),TRUE,FALSE),IF(F182=G182,TRUE,FALSE))</f>
        <v>1</v>
      </c>
      <c r="E182" s="5">
        <f>ABS(F182-G182)/ABS(F182)</f>
        <v>0</v>
      </c>
      <c r="F182">
        <v>6</v>
      </c>
      <c r="G182">
        <v>6</v>
      </c>
      <c r="H182">
        <v>6</v>
      </c>
      <c r="J182" s="5">
        <f>ABS(F182-G182)/ABS(F182)</f>
        <v>0</v>
      </c>
      <c r="K182" s="5">
        <f>ABS(G182-H182)/ABS(G182)</f>
        <v>0</v>
      </c>
    </row>
    <row r="183" spans="3:11" x14ac:dyDescent="0.2">
      <c r="C183" t="s">
        <v>1765</v>
      </c>
      <c r="D183" t="b">
        <f ca="1">IF(CELL("format",F183)="G",IF(ABS(F183-G183) &lt;= ABS(F183*B$3),TRUE,FALSE),IF(F183=G183,TRUE,FALSE))</f>
        <v>1</v>
      </c>
      <c r="E183" s="5">
        <f>ABS(F183-G183)/ABS(F183)</f>
        <v>0</v>
      </c>
      <c r="F183">
        <v>1.79558</v>
      </c>
      <c r="G183">
        <v>1.79558</v>
      </c>
      <c r="H183">
        <v>1.79558</v>
      </c>
      <c r="J183" s="5">
        <f>ABS(F183-G183)/ABS(F183)</f>
        <v>0</v>
      </c>
      <c r="K183" s="5">
        <f>ABS(G183-H183)/ABS(G183)</f>
        <v>0</v>
      </c>
    </row>
    <row r="184" spans="3:11" x14ac:dyDescent="0.2">
      <c r="C184" t="s">
        <v>1766</v>
      </c>
      <c r="D184" t="e">
        <f ca="1">IF(CELL("format",F184)="G",IF(ABS(F184-G184) &lt;= ABS(F184*B$3),TRUE,FALSE),IF(F184=G184,TRUE,FALSE))</f>
        <v>#VALUE!</v>
      </c>
      <c r="E184" s="5" t="e">
        <f>ABS(F184-G184)/ABS(F184)</f>
        <v>#VALUE!</v>
      </c>
      <c r="F184" t="s">
        <v>2349</v>
      </c>
      <c r="G184" t="s">
        <v>2349</v>
      </c>
      <c r="H184" t="s">
        <v>2349</v>
      </c>
      <c r="J184" s="5" t="e">
        <f>ABS(F184-G184)/ABS(F184)</f>
        <v>#VALUE!</v>
      </c>
      <c r="K184" s="5" t="e">
        <f>ABS(G184-H184)/ABS(G184)</f>
        <v>#VALUE!</v>
      </c>
    </row>
    <row r="185" spans="3:11" x14ac:dyDescent="0.2">
      <c r="C185" t="s">
        <v>1767</v>
      </c>
      <c r="D185" t="b">
        <f ca="1">IF(CELL("format",F185)="G",IF(ABS(F185-G185) &lt;= ABS(F185*B$3),TRUE,FALSE),IF(F185=G185,TRUE,FALSE))</f>
        <v>1</v>
      </c>
      <c r="E185" s="5">
        <f>ABS(F185-G185)/ABS(F185)</f>
        <v>0</v>
      </c>
      <c r="F185">
        <v>31</v>
      </c>
      <c r="G185">
        <v>31</v>
      </c>
      <c r="H185">
        <v>31</v>
      </c>
      <c r="J185" s="5">
        <f>ABS(F185-G185)/ABS(F185)</f>
        <v>0</v>
      </c>
      <c r="K185" s="5">
        <f>ABS(G185-H185)/ABS(G185)</f>
        <v>0</v>
      </c>
    </row>
    <row r="186" spans="3:11" x14ac:dyDescent="0.2">
      <c r="C186" t="s">
        <v>1768</v>
      </c>
      <c r="D186" t="b">
        <f ca="1">IF(CELL("format",F186)="G",IF(ABS(F186-G186) &lt;= ABS(F186*B$3),TRUE,FALSE),IF(F186=G186,TRUE,FALSE))</f>
        <v>1</v>
      </c>
      <c r="E186" s="5">
        <f>ABS(F186-G186)/ABS(F186)</f>
        <v>0</v>
      </c>
      <c r="F186">
        <v>24</v>
      </c>
      <c r="G186">
        <v>24</v>
      </c>
      <c r="H186">
        <v>24</v>
      </c>
      <c r="J186" s="5">
        <f>ABS(F186-G186)/ABS(F186)</f>
        <v>0</v>
      </c>
      <c r="K186" s="5">
        <f>ABS(G186-H186)/ABS(G186)</f>
        <v>0</v>
      </c>
    </row>
    <row r="187" spans="3:11" x14ac:dyDescent="0.2">
      <c r="C187" t="s">
        <v>1769</v>
      </c>
      <c r="D187" t="b">
        <f ca="1">IF(CELL("format",F187)="G",IF(ABS(F187-G187) &lt;= ABS(F187*B$3),TRUE,FALSE),IF(F187=G187,TRUE,FALSE))</f>
        <v>1</v>
      </c>
      <c r="E187" s="5">
        <f>ABS(F187-G187)/ABS(F187)</f>
        <v>0</v>
      </c>
      <c r="F187">
        <v>2.34266</v>
      </c>
      <c r="G187">
        <v>2.34266</v>
      </c>
      <c r="H187">
        <v>2.34266</v>
      </c>
      <c r="J187" s="5">
        <f>ABS(F187-G187)/ABS(F187)</f>
        <v>0</v>
      </c>
      <c r="K187" s="5">
        <f>ABS(G187-H187)/ABS(G187)</f>
        <v>0</v>
      </c>
    </row>
    <row r="188" spans="3:11" x14ac:dyDescent="0.2">
      <c r="C188" t="s">
        <v>1770</v>
      </c>
      <c r="D188" t="e">
        <f ca="1">IF(CELL("format",F188)="G",IF(ABS(F188-G188) &lt;= ABS(F188*B$3),TRUE,FALSE),IF(F188=G188,TRUE,FALSE))</f>
        <v>#VALUE!</v>
      </c>
      <c r="E188" s="5" t="e">
        <f>ABS(F188-G188)/ABS(F188)</f>
        <v>#VALUE!</v>
      </c>
      <c r="F188" t="s">
        <v>2352</v>
      </c>
      <c r="G188" t="s">
        <v>2352</v>
      </c>
      <c r="H188" t="s">
        <v>2352</v>
      </c>
      <c r="J188" s="5" t="e">
        <f>ABS(F188-G188)/ABS(F188)</f>
        <v>#VALUE!</v>
      </c>
      <c r="K188" s="5" t="e">
        <f>ABS(G188-H188)/ABS(G188)</f>
        <v>#VALUE!</v>
      </c>
    </row>
    <row r="189" spans="3:11" x14ac:dyDescent="0.2">
      <c r="C189" t="s">
        <v>1771</v>
      </c>
      <c r="D189" t="b">
        <f ca="1">IF(CELL("format",F189)="G",IF(ABS(F189-G189) &lt;= ABS(F189*B$3),TRUE,FALSE),IF(F189=G189,TRUE,FALSE))</f>
        <v>1</v>
      </c>
      <c r="E189" s="5">
        <f>ABS(F189-G189)/ABS(F189)</f>
        <v>0</v>
      </c>
      <c r="F189">
        <v>26</v>
      </c>
      <c r="G189">
        <v>26</v>
      </c>
      <c r="H189">
        <v>26</v>
      </c>
      <c r="J189" s="5">
        <f>ABS(F189-G189)/ABS(F189)</f>
        <v>0</v>
      </c>
      <c r="K189" s="5">
        <f>ABS(G189-H189)/ABS(G189)</f>
        <v>0</v>
      </c>
    </row>
    <row r="190" spans="3:11" x14ac:dyDescent="0.2">
      <c r="C190" t="s">
        <v>1772</v>
      </c>
      <c r="D190" t="b">
        <f ca="1">IF(CELL("format",F190)="G",IF(ABS(F190-G190) &lt;= ABS(F190*B$3),TRUE,FALSE),IF(F190=G190,TRUE,FALSE))</f>
        <v>1</v>
      </c>
      <c r="E190" s="5">
        <f>ABS(F190-G190)/ABS(F190)</f>
        <v>0</v>
      </c>
      <c r="F190">
        <v>8</v>
      </c>
      <c r="G190">
        <v>8</v>
      </c>
      <c r="H190">
        <v>8</v>
      </c>
      <c r="J190" s="5">
        <f>ABS(F190-G190)/ABS(F190)</f>
        <v>0</v>
      </c>
      <c r="K190" s="5">
        <f>ABS(G190-H190)/ABS(G190)</f>
        <v>0</v>
      </c>
    </row>
    <row r="191" spans="3:11" x14ac:dyDescent="0.2">
      <c r="C191" t="s">
        <v>1773</v>
      </c>
      <c r="D191" t="b">
        <f ca="1">IF(CELL("format",F191)="G",IF(ABS(F191-G191) &lt;= ABS(F191*B$3),TRUE,FALSE),IF(F191=G191,TRUE,FALSE))</f>
        <v>1</v>
      </c>
      <c r="E191" s="5">
        <f>ABS(F191-G191)/ABS(F191)</f>
        <v>0</v>
      </c>
      <c r="F191">
        <v>2.5644200000000001</v>
      </c>
      <c r="G191">
        <v>2.5644200000000001</v>
      </c>
      <c r="H191">
        <v>2.5644200000000001</v>
      </c>
      <c r="J191" s="5">
        <f>ABS(F191-G191)/ABS(F191)</f>
        <v>0</v>
      </c>
      <c r="K191" s="5">
        <f>ABS(G191-H191)/ABS(G191)</f>
        <v>0</v>
      </c>
    </row>
    <row r="192" spans="3:11" x14ac:dyDescent="0.2">
      <c r="C192" t="s">
        <v>1774</v>
      </c>
      <c r="D192" t="e">
        <f ca="1">IF(CELL("format",F192)="G",IF(ABS(F192-G192) &lt;= ABS(F192*B$3),TRUE,FALSE),IF(F192=G192,TRUE,FALSE))</f>
        <v>#VALUE!</v>
      </c>
      <c r="E192" s="5" t="e">
        <f>ABS(F192-G192)/ABS(F192)</f>
        <v>#VALUE!</v>
      </c>
      <c r="F192" t="s">
        <v>2349</v>
      </c>
      <c r="G192" t="s">
        <v>2349</v>
      </c>
      <c r="H192" t="s">
        <v>2349</v>
      </c>
      <c r="J192" s="5" t="e">
        <f>ABS(F192-G192)/ABS(F192)</f>
        <v>#VALUE!</v>
      </c>
      <c r="K192" s="5" t="e">
        <f>ABS(G192-H192)/ABS(G192)</f>
        <v>#VALUE!</v>
      </c>
    </row>
    <row r="193" spans="3:11" x14ac:dyDescent="0.2">
      <c r="C193" t="s">
        <v>1775</v>
      </c>
      <c r="D193" t="b">
        <f ca="1">IF(CELL("format",F193)="G",IF(ABS(F193-G193) &lt;= ABS(F193*B$3),TRUE,FALSE),IF(F193=G193,TRUE,FALSE))</f>
        <v>1</v>
      </c>
      <c r="E193" s="5">
        <f>ABS(F193-G193)/ABS(F193)</f>
        <v>0</v>
      </c>
      <c r="F193">
        <v>31</v>
      </c>
      <c r="G193">
        <v>31</v>
      </c>
      <c r="H193">
        <v>31</v>
      </c>
      <c r="J193" s="5">
        <f>ABS(F193-G193)/ABS(F193)</f>
        <v>0</v>
      </c>
      <c r="K193" s="5">
        <f>ABS(G193-H193)/ABS(G193)</f>
        <v>0</v>
      </c>
    </row>
    <row r="194" spans="3:11" x14ac:dyDescent="0.2">
      <c r="C194" t="s">
        <v>1776</v>
      </c>
      <c r="D194" t="b">
        <f ca="1">IF(CELL("format",F194)="G",IF(ABS(F194-G194) &lt;= ABS(F194*B$3),TRUE,FALSE),IF(F194=G194,TRUE,FALSE))</f>
        <v>1</v>
      </c>
      <c r="E194" s="5">
        <f>ABS(F194-G194)/ABS(F194)</f>
        <v>0</v>
      </c>
      <c r="F194">
        <v>24</v>
      </c>
      <c r="G194">
        <v>24</v>
      </c>
      <c r="H194">
        <v>24</v>
      </c>
      <c r="J194" s="5">
        <f>ABS(F194-G194)/ABS(F194)</f>
        <v>0</v>
      </c>
      <c r="K194" s="5">
        <f>ABS(G194-H194)/ABS(G194)</f>
        <v>0</v>
      </c>
    </row>
    <row r="195" spans="3:11" x14ac:dyDescent="0.2">
      <c r="C195" t="s">
        <v>1777</v>
      </c>
      <c r="D195" t="b">
        <f ca="1">IF(CELL("format",F195)="G",IF(ABS(F195-G195) &lt;= ABS(F195*B$3),TRUE,FALSE),IF(F195=G195,TRUE,FALSE))</f>
        <v>1</v>
      </c>
      <c r="E195" s="5">
        <f>ABS(F195-G195)/ABS(F195)</f>
        <v>0</v>
      </c>
      <c r="F195">
        <v>2.4790100000000002</v>
      </c>
      <c r="G195">
        <v>2.4790100000000002</v>
      </c>
      <c r="H195">
        <v>2.4790100000000002</v>
      </c>
      <c r="J195" s="5">
        <f>ABS(F195-G195)/ABS(F195)</f>
        <v>0</v>
      </c>
      <c r="K195" s="5">
        <f>ABS(G195-H195)/ABS(G195)</f>
        <v>0</v>
      </c>
    </row>
    <row r="196" spans="3:11" x14ac:dyDescent="0.2">
      <c r="C196" t="s">
        <v>1778</v>
      </c>
      <c r="D196" t="e">
        <f ca="1">IF(CELL("format",F196)="G",IF(ABS(F196-G196) &lt;= ABS(F196*B$3),TRUE,FALSE),IF(F196=G196,TRUE,FALSE))</f>
        <v>#VALUE!</v>
      </c>
      <c r="E196" s="5" t="e">
        <f>ABS(F196-G196)/ABS(F196)</f>
        <v>#VALUE!</v>
      </c>
      <c r="F196" t="s">
        <v>2352</v>
      </c>
      <c r="G196" t="s">
        <v>2352</v>
      </c>
      <c r="H196" t="s">
        <v>2352</v>
      </c>
      <c r="J196" s="5" t="e">
        <f>ABS(F196-G196)/ABS(F196)</f>
        <v>#VALUE!</v>
      </c>
      <c r="K196" s="5" t="e">
        <f>ABS(G196-H196)/ABS(G196)</f>
        <v>#VALUE!</v>
      </c>
    </row>
    <row r="197" spans="3:11" x14ac:dyDescent="0.2">
      <c r="C197" t="s">
        <v>1779</v>
      </c>
      <c r="D197" t="b">
        <f ca="1">IF(CELL("format",F197)="G",IF(ABS(F197-G197) &lt;= ABS(F197*B$3),TRUE,FALSE),IF(F197=G197,TRUE,FALSE))</f>
        <v>1</v>
      </c>
      <c r="E197" s="5">
        <f>ABS(F197-G197)/ABS(F197)</f>
        <v>0</v>
      </c>
      <c r="F197">
        <v>26</v>
      </c>
      <c r="G197">
        <v>26</v>
      </c>
      <c r="H197">
        <v>26</v>
      </c>
      <c r="J197" s="5">
        <f>ABS(F197-G197)/ABS(F197)</f>
        <v>0</v>
      </c>
      <c r="K197" s="5">
        <f>ABS(G197-H197)/ABS(G197)</f>
        <v>0</v>
      </c>
    </row>
    <row r="198" spans="3:11" x14ac:dyDescent="0.2">
      <c r="C198" t="s">
        <v>1780</v>
      </c>
      <c r="D198" t="b">
        <f ca="1">IF(CELL("format",F198)="G",IF(ABS(F198-G198) &lt;= ABS(F198*B$3),TRUE,FALSE),IF(F198=G198,TRUE,FALSE))</f>
        <v>1</v>
      </c>
      <c r="E198" s="5">
        <f>ABS(F198-G198)/ABS(F198)</f>
        <v>0</v>
      </c>
      <c r="F198">
        <v>8</v>
      </c>
      <c r="G198">
        <v>8</v>
      </c>
      <c r="H198">
        <v>8</v>
      </c>
      <c r="J198" s="5">
        <f>ABS(F198-G198)/ABS(F198)</f>
        <v>0</v>
      </c>
      <c r="K198" s="5">
        <f>ABS(G198-H198)/ABS(G198)</f>
        <v>0</v>
      </c>
    </row>
    <row r="199" spans="3:11" x14ac:dyDescent="0.2">
      <c r="C199" t="s">
        <v>1781</v>
      </c>
      <c r="D199" t="b">
        <f ca="1">IF(CELL("format",F199)="G",IF(ABS(F199-G199) &lt;= ABS(F199*B$3),TRUE,FALSE),IF(F199=G199,TRUE,FALSE))</f>
        <v>1</v>
      </c>
      <c r="E199" s="5">
        <f>ABS(F199-G199)/ABS(F199)</f>
        <v>0</v>
      </c>
      <c r="F199">
        <v>2.6917499999999999</v>
      </c>
      <c r="G199">
        <v>2.6917499999999999</v>
      </c>
      <c r="H199">
        <v>2.6917499999999999</v>
      </c>
      <c r="J199" s="5">
        <f>ABS(F199-G199)/ABS(F199)</f>
        <v>0</v>
      </c>
      <c r="K199" s="5">
        <f>ABS(G199-H199)/ABS(G199)</f>
        <v>0</v>
      </c>
    </row>
    <row r="200" spans="3:11" x14ac:dyDescent="0.2">
      <c r="C200" t="s">
        <v>1782</v>
      </c>
      <c r="D200" t="e">
        <f ca="1">IF(CELL("format",F200)="G",IF(ABS(F200-G200) &lt;= ABS(F200*B$3),TRUE,FALSE),IF(F200=G200,TRUE,FALSE))</f>
        <v>#VALUE!</v>
      </c>
      <c r="E200" s="5" t="e">
        <f>ABS(F200-G200)/ABS(F200)</f>
        <v>#VALUE!</v>
      </c>
      <c r="F200" t="s">
        <v>2349</v>
      </c>
      <c r="G200" t="s">
        <v>2349</v>
      </c>
      <c r="H200" t="s">
        <v>2349</v>
      </c>
      <c r="J200" s="5" t="e">
        <f>ABS(F200-G200)/ABS(F200)</f>
        <v>#VALUE!</v>
      </c>
      <c r="K200" s="5" t="e">
        <f>ABS(G200-H200)/ABS(G200)</f>
        <v>#VALUE!</v>
      </c>
    </row>
    <row r="201" spans="3:11" x14ac:dyDescent="0.2">
      <c r="C201" t="s">
        <v>1783</v>
      </c>
      <c r="D201" t="b">
        <f ca="1">IF(CELL("format",F201)="G",IF(ABS(F201-G201) &lt;= ABS(F201*B$3),TRUE,FALSE),IF(F201=G201,TRUE,FALSE))</f>
        <v>1</v>
      </c>
      <c r="E201" s="5">
        <f>ABS(F201-G201)/ABS(F201)</f>
        <v>0</v>
      </c>
      <c r="F201">
        <v>31</v>
      </c>
      <c r="G201">
        <v>31</v>
      </c>
      <c r="H201">
        <v>31</v>
      </c>
      <c r="J201" s="5">
        <f>ABS(F201-G201)/ABS(F201)</f>
        <v>0</v>
      </c>
      <c r="K201" s="5">
        <f>ABS(G201-H201)/ABS(G201)</f>
        <v>0</v>
      </c>
    </row>
    <row r="202" spans="3:11" x14ac:dyDescent="0.2">
      <c r="C202" t="s">
        <v>1784</v>
      </c>
      <c r="D202" t="b">
        <f ca="1">IF(CELL("format",F202)="G",IF(ABS(F202-G202) &lt;= ABS(F202*B$3),TRUE,FALSE),IF(F202=G202,TRUE,FALSE))</f>
        <v>1</v>
      </c>
      <c r="E202" s="5">
        <f>ABS(F202-G202)/ABS(F202)</f>
        <v>0</v>
      </c>
      <c r="F202">
        <v>24</v>
      </c>
      <c r="G202">
        <v>24</v>
      </c>
      <c r="H202">
        <v>24</v>
      </c>
      <c r="J202" s="5">
        <f>ABS(F202-G202)/ABS(F202)</f>
        <v>0</v>
      </c>
      <c r="K202" s="5">
        <f>ABS(G202-H202)/ABS(G202)</f>
        <v>0</v>
      </c>
    </row>
    <row r="203" spans="3:11" x14ac:dyDescent="0.2">
      <c r="C203" t="s">
        <v>1785</v>
      </c>
      <c r="D203" t="b">
        <f ca="1">IF(CELL("format",F203)="G",IF(ABS(F203-G203) &lt;= ABS(F203*B$3),TRUE,FALSE),IF(F203=G203,TRUE,FALSE))</f>
        <v>1</v>
      </c>
      <c r="E203" s="5">
        <f>ABS(F203-G203)/ABS(F203)</f>
        <v>0</v>
      </c>
      <c r="F203">
        <v>4.3158200000000004</v>
      </c>
      <c r="G203">
        <v>4.3158200000000004</v>
      </c>
      <c r="H203">
        <v>4.3158200000000004</v>
      </c>
      <c r="J203" s="5">
        <f>ABS(F203-G203)/ABS(F203)</f>
        <v>0</v>
      </c>
      <c r="K203" s="5">
        <f>ABS(G203-H203)/ABS(G203)</f>
        <v>0</v>
      </c>
    </row>
    <row r="204" spans="3:11" x14ac:dyDescent="0.2">
      <c r="C204" t="s">
        <v>1786</v>
      </c>
      <c r="D204" t="e">
        <f ca="1">IF(CELL("format",F204)="G",IF(ABS(F204-G204) &lt;= ABS(F204*B$3),TRUE,FALSE),IF(F204=G204,TRUE,FALSE))</f>
        <v>#VALUE!</v>
      </c>
      <c r="E204" s="5" t="e">
        <f>ABS(F204-G204)/ABS(F204)</f>
        <v>#VALUE!</v>
      </c>
      <c r="F204" t="s">
        <v>2349</v>
      </c>
      <c r="G204" t="s">
        <v>2349</v>
      </c>
      <c r="H204" t="s">
        <v>2349</v>
      </c>
      <c r="J204" s="5" t="e">
        <f>ABS(F204-G204)/ABS(F204)</f>
        <v>#VALUE!</v>
      </c>
      <c r="K204" s="5" t="e">
        <f>ABS(G204-H204)/ABS(G204)</f>
        <v>#VALUE!</v>
      </c>
    </row>
    <row r="205" spans="3:11" x14ac:dyDescent="0.2">
      <c r="C205" t="s">
        <v>1787</v>
      </c>
      <c r="D205" t="b">
        <f ca="1">IF(CELL("format",F205)="G",IF(ABS(F205-G205) &lt;= ABS(F205*B$3),TRUE,FALSE),IF(F205=G205,TRUE,FALSE))</f>
        <v>1</v>
      </c>
      <c r="E205" s="5">
        <f>ABS(F205-G205)/ABS(F205)</f>
        <v>0</v>
      </c>
      <c r="F205">
        <v>31</v>
      </c>
      <c r="G205">
        <v>31</v>
      </c>
      <c r="H205">
        <v>31</v>
      </c>
      <c r="J205" s="5">
        <f>ABS(F205-G205)/ABS(F205)</f>
        <v>0</v>
      </c>
      <c r="K205" s="5">
        <f>ABS(G205-H205)/ABS(G205)</f>
        <v>0</v>
      </c>
    </row>
    <row r="206" spans="3:11" x14ac:dyDescent="0.2">
      <c r="C206" t="s">
        <v>1788</v>
      </c>
      <c r="D206" t="b">
        <f ca="1">IF(CELL("format",F206)="G",IF(ABS(F206-G206) &lt;= ABS(F206*B$3),TRUE,FALSE),IF(F206=G206,TRUE,FALSE))</f>
        <v>1</v>
      </c>
      <c r="E206" s="5">
        <f>ABS(F206-G206)/ABS(F206)</f>
        <v>0</v>
      </c>
      <c r="F206">
        <v>24</v>
      </c>
      <c r="G206">
        <v>24</v>
      </c>
      <c r="H206">
        <v>24</v>
      </c>
      <c r="J206" s="5">
        <f>ABS(F206-G206)/ABS(F206)</f>
        <v>0</v>
      </c>
      <c r="K206" s="5">
        <f>ABS(G206-H206)/ABS(G206)</f>
        <v>0</v>
      </c>
    </row>
    <row r="207" spans="3:11" x14ac:dyDescent="0.2">
      <c r="C207" t="s">
        <v>1789</v>
      </c>
      <c r="D207" t="b">
        <f ca="1">IF(CELL("format",F207)="G",IF(ABS(F207-G207) &lt;= ABS(F207*B$3),TRUE,FALSE),IF(F207=G207,TRUE,FALSE))</f>
        <v>1</v>
      </c>
      <c r="E207" s="5">
        <f>ABS(F207-G207)/ABS(F207)</f>
        <v>0</v>
      </c>
      <c r="F207">
        <v>2.50684</v>
      </c>
      <c r="G207">
        <v>2.50684</v>
      </c>
      <c r="H207">
        <v>2.50684</v>
      </c>
      <c r="J207" s="5">
        <f>ABS(F207-G207)/ABS(F207)</f>
        <v>0</v>
      </c>
      <c r="K207" s="5">
        <f>ABS(G207-H207)/ABS(G207)</f>
        <v>0</v>
      </c>
    </row>
    <row r="208" spans="3:11" x14ac:dyDescent="0.2">
      <c r="C208" t="s">
        <v>1790</v>
      </c>
      <c r="D208" t="e">
        <f ca="1">IF(CELL("format",F208)="G",IF(ABS(F208-G208) &lt;= ABS(F208*B$3),TRUE,FALSE),IF(F208=G208,TRUE,FALSE))</f>
        <v>#VALUE!</v>
      </c>
      <c r="E208" s="5" t="e">
        <f>ABS(F208-G208)/ABS(F208)</f>
        <v>#VALUE!</v>
      </c>
      <c r="F208" t="s">
        <v>2349</v>
      </c>
      <c r="G208" t="s">
        <v>2349</v>
      </c>
      <c r="H208" t="s">
        <v>2349</v>
      </c>
      <c r="J208" s="5" t="e">
        <f>ABS(F208-G208)/ABS(F208)</f>
        <v>#VALUE!</v>
      </c>
      <c r="K208" s="5" t="e">
        <f>ABS(G208-H208)/ABS(G208)</f>
        <v>#VALUE!</v>
      </c>
    </row>
    <row r="209" spans="3:11" x14ac:dyDescent="0.2">
      <c r="C209" t="s">
        <v>1791</v>
      </c>
      <c r="D209" t="b">
        <f ca="1">IF(CELL("format",F209)="G",IF(ABS(F209-G209) &lt;= ABS(F209*B$3),TRUE,FALSE),IF(F209=G209,TRUE,FALSE))</f>
        <v>1</v>
      </c>
      <c r="E209" s="5">
        <f>ABS(F209-G209)/ABS(F209)</f>
        <v>0</v>
      </c>
      <c r="F209">
        <v>31</v>
      </c>
      <c r="G209">
        <v>31</v>
      </c>
      <c r="H209">
        <v>31</v>
      </c>
      <c r="J209" s="5">
        <f>ABS(F209-G209)/ABS(F209)</f>
        <v>0</v>
      </c>
      <c r="K209" s="5">
        <f>ABS(G209-H209)/ABS(G209)</f>
        <v>0</v>
      </c>
    </row>
    <row r="210" spans="3:11" x14ac:dyDescent="0.2">
      <c r="C210" t="s">
        <v>1792</v>
      </c>
      <c r="D210" t="b">
        <f ca="1">IF(CELL("format",F210)="G",IF(ABS(F210-G210) &lt;= ABS(F210*B$3),TRUE,FALSE),IF(F210=G210,TRUE,FALSE))</f>
        <v>1</v>
      </c>
      <c r="E210" s="5">
        <f>ABS(F210-G210)/ABS(F210)</f>
        <v>0</v>
      </c>
      <c r="F210">
        <v>24</v>
      </c>
      <c r="G210">
        <v>24</v>
      </c>
      <c r="H210">
        <v>24</v>
      </c>
      <c r="J210" s="5">
        <f>ABS(F210-G210)/ABS(F210)</f>
        <v>0</v>
      </c>
      <c r="K210" s="5">
        <f>ABS(G210-H210)/ABS(G210)</f>
        <v>0</v>
      </c>
    </row>
    <row r="211" spans="3:11" x14ac:dyDescent="0.2">
      <c r="C211" t="s">
        <v>1793</v>
      </c>
      <c r="D211" t="b">
        <f ca="1">IF(CELL("format",F211)="G",IF(ABS(F211-G211) &lt;= ABS(F211*B$3),TRUE,FALSE),IF(F211=G211,TRUE,FALSE))</f>
        <v>1</v>
      </c>
      <c r="E211" s="5">
        <f>ABS(F211-G211)/ABS(F211)</f>
        <v>0</v>
      </c>
      <c r="F211">
        <v>2.68709</v>
      </c>
      <c r="G211">
        <v>2.68709</v>
      </c>
      <c r="H211">
        <v>2.68709</v>
      </c>
      <c r="J211" s="5">
        <f>ABS(F211-G211)/ABS(F211)</f>
        <v>0</v>
      </c>
      <c r="K211" s="5">
        <f>ABS(G211-H211)/ABS(G211)</f>
        <v>0</v>
      </c>
    </row>
    <row r="212" spans="3:11" x14ac:dyDescent="0.2">
      <c r="C212" t="s">
        <v>1794</v>
      </c>
      <c r="D212" t="e">
        <f ca="1">IF(CELL("format",F212)="G",IF(ABS(F212-G212) &lt;= ABS(F212*B$3),TRUE,FALSE),IF(F212=G212,TRUE,FALSE))</f>
        <v>#VALUE!</v>
      </c>
      <c r="E212" s="5" t="e">
        <f>ABS(F212-G212)/ABS(F212)</f>
        <v>#VALUE!</v>
      </c>
      <c r="F212" t="s">
        <v>2349</v>
      </c>
      <c r="G212" t="s">
        <v>2349</v>
      </c>
      <c r="H212" t="s">
        <v>2349</v>
      </c>
      <c r="J212" s="5" t="e">
        <f>ABS(F212-G212)/ABS(F212)</f>
        <v>#VALUE!</v>
      </c>
      <c r="K212" s="5" t="e">
        <f>ABS(G212-H212)/ABS(G212)</f>
        <v>#VALUE!</v>
      </c>
    </row>
    <row r="213" spans="3:11" x14ac:dyDescent="0.2">
      <c r="C213" t="s">
        <v>1795</v>
      </c>
      <c r="D213" t="b">
        <f ca="1">IF(CELL("format",F213)="G",IF(ABS(F213-G213) &lt;= ABS(F213*B$3),TRUE,FALSE),IF(F213=G213,TRUE,FALSE))</f>
        <v>1</v>
      </c>
      <c r="E213" s="5">
        <f>ABS(F213-G213)/ABS(F213)</f>
        <v>0</v>
      </c>
      <c r="F213">
        <v>31</v>
      </c>
      <c r="G213">
        <v>31</v>
      </c>
      <c r="H213">
        <v>31</v>
      </c>
      <c r="J213" s="5">
        <f>ABS(F213-G213)/ABS(F213)</f>
        <v>0</v>
      </c>
      <c r="K213" s="5">
        <f>ABS(G213-H213)/ABS(G213)</f>
        <v>0</v>
      </c>
    </row>
    <row r="214" spans="3:11" x14ac:dyDescent="0.2">
      <c r="C214" t="s">
        <v>1796</v>
      </c>
      <c r="D214" t="b">
        <f ca="1">IF(CELL("format",F214)="G",IF(ABS(F214-G214) &lt;= ABS(F214*B$3),TRUE,FALSE),IF(F214=G214,TRUE,FALSE))</f>
        <v>1</v>
      </c>
      <c r="E214" s="5">
        <f>ABS(F214-G214)/ABS(F214)</f>
        <v>0</v>
      </c>
      <c r="F214">
        <v>24</v>
      </c>
      <c r="G214">
        <v>24</v>
      </c>
      <c r="H214">
        <v>24</v>
      </c>
      <c r="J214" s="5">
        <f>ABS(F214-G214)/ABS(F214)</f>
        <v>0</v>
      </c>
      <c r="K214" s="5">
        <f>ABS(G214-H214)/ABS(G214)</f>
        <v>0</v>
      </c>
    </row>
    <row r="215" spans="3:11" x14ac:dyDescent="0.2">
      <c r="C215" t="s">
        <v>1797</v>
      </c>
      <c r="D215" t="b">
        <f ca="1">IF(CELL("format",F215)="G",IF(ABS(F215-G215) &lt;= ABS(F215*B$3),TRUE,FALSE),IF(F215=G215,TRUE,FALSE))</f>
        <v>1</v>
      </c>
      <c r="E215" s="5">
        <f>ABS(F215-G215)/ABS(F215)</f>
        <v>0</v>
      </c>
      <c r="F215">
        <v>2.5964</v>
      </c>
      <c r="G215">
        <v>2.5964</v>
      </c>
      <c r="H215">
        <v>2.5964</v>
      </c>
      <c r="J215" s="5">
        <f>ABS(F215-G215)/ABS(F215)</f>
        <v>0</v>
      </c>
      <c r="K215" s="5">
        <f>ABS(G215-H215)/ABS(G215)</f>
        <v>0</v>
      </c>
    </row>
    <row r="216" spans="3:11" x14ac:dyDescent="0.2">
      <c r="C216" t="s">
        <v>1798</v>
      </c>
      <c r="D216" t="e">
        <f ca="1">IF(CELL("format",F216)="G",IF(ABS(F216-G216) &lt;= ABS(F216*B$3),TRUE,FALSE),IF(F216=G216,TRUE,FALSE))</f>
        <v>#VALUE!</v>
      </c>
      <c r="E216" s="5" t="e">
        <f>ABS(F216-G216)/ABS(F216)</f>
        <v>#VALUE!</v>
      </c>
      <c r="F216" t="s">
        <v>2349</v>
      </c>
      <c r="G216" t="s">
        <v>2349</v>
      </c>
      <c r="H216" t="s">
        <v>2349</v>
      </c>
      <c r="J216" s="5" t="e">
        <f>ABS(F216-G216)/ABS(F216)</f>
        <v>#VALUE!</v>
      </c>
      <c r="K216" s="5" t="e">
        <f>ABS(G216-H216)/ABS(G216)</f>
        <v>#VALUE!</v>
      </c>
    </row>
    <row r="217" spans="3:11" x14ac:dyDescent="0.2">
      <c r="C217" t="s">
        <v>1799</v>
      </c>
      <c r="D217" t="b">
        <f ca="1">IF(CELL("format",F217)="G",IF(ABS(F217-G217) &lt;= ABS(F217*B$3),TRUE,FALSE),IF(F217=G217,TRUE,FALSE))</f>
        <v>1</v>
      </c>
      <c r="E217" s="5">
        <f>ABS(F217-G217)/ABS(F217)</f>
        <v>0</v>
      </c>
      <c r="F217">
        <v>31</v>
      </c>
      <c r="G217">
        <v>31</v>
      </c>
      <c r="H217">
        <v>31</v>
      </c>
      <c r="J217" s="5">
        <f>ABS(F217-G217)/ABS(F217)</f>
        <v>0</v>
      </c>
      <c r="K217" s="5">
        <f>ABS(G217-H217)/ABS(G217)</f>
        <v>0</v>
      </c>
    </row>
    <row r="218" spans="3:11" x14ac:dyDescent="0.2">
      <c r="C218" t="s">
        <v>1800</v>
      </c>
      <c r="D218" t="b">
        <f ca="1">IF(CELL("format",F218)="G",IF(ABS(F218-G218) &lt;= ABS(F218*B$3),TRUE,FALSE),IF(F218=G218,TRUE,FALSE))</f>
        <v>1</v>
      </c>
      <c r="E218" s="5">
        <f>ABS(F218-G218)/ABS(F218)</f>
        <v>0</v>
      </c>
      <c r="F218">
        <v>24</v>
      </c>
      <c r="G218">
        <v>24</v>
      </c>
      <c r="H218">
        <v>24</v>
      </c>
      <c r="J218" s="5">
        <f>ABS(F218-G218)/ABS(F218)</f>
        <v>0</v>
      </c>
      <c r="K218" s="5">
        <f>ABS(G218-H218)/ABS(G218)</f>
        <v>0</v>
      </c>
    </row>
    <row r="219" spans="3:11" x14ac:dyDescent="0.2">
      <c r="C219" t="s">
        <v>1801</v>
      </c>
      <c r="D219" t="b">
        <f ca="1">IF(CELL("format",F219)="G",IF(ABS(F219-G219) &lt;= ABS(F219*B$3),TRUE,FALSE),IF(F219=G219,TRUE,FALSE))</f>
        <v>1</v>
      </c>
      <c r="E219" s="5">
        <f>ABS(F219-G219)/ABS(F219)</f>
        <v>0</v>
      </c>
      <c r="F219">
        <v>2.6017800000000002</v>
      </c>
      <c r="G219">
        <v>2.6017800000000002</v>
      </c>
      <c r="H219">
        <v>2.6017800000000002</v>
      </c>
      <c r="J219" s="5">
        <f>ABS(F219-G219)/ABS(F219)</f>
        <v>0</v>
      </c>
      <c r="K219" s="5">
        <f>ABS(G219-H219)/ABS(G219)</f>
        <v>0</v>
      </c>
    </row>
    <row r="220" spans="3:11" x14ac:dyDescent="0.2">
      <c r="C220" t="s">
        <v>1802</v>
      </c>
      <c r="D220" t="e">
        <f ca="1">IF(CELL("format",F220)="G",IF(ABS(F220-G220) &lt;= ABS(F220*B$3),TRUE,FALSE),IF(F220=G220,TRUE,FALSE))</f>
        <v>#VALUE!</v>
      </c>
      <c r="E220" s="5" t="e">
        <f>ABS(F220-G220)/ABS(F220)</f>
        <v>#VALUE!</v>
      </c>
      <c r="F220" t="s">
        <v>2349</v>
      </c>
      <c r="G220" t="s">
        <v>2349</v>
      </c>
      <c r="H220" t="s">
        <v>2349</v>
      </c>
      <c r="J220" s="5" t="e">
        <f>ABS(F220-G220)/ABS(F220)</f>
        <v>#VALUE!</v>
      </c>
      <c r="K220" s="5" t="e">
        <f>ABS(G220-H220)/ABS(G220)</f>
        <v>#VALUE!</v>
      </c>
    </row>
    <row r="221" spans="3:11" x14ac:dyDescent="0.2">
      <c r="C221" t="s">
        <v>1803</v>
      </c>
      <c r="D221" t="b">
        <f ca="1">IF(CELL("format",F221)="G",IF(ABS(F221-G221) &lt;= ABS(F221*B$3),TRUE,FALSE),IF(F221=G221,TRUE,FALSE))</f>
        <v>1</v>
      </c>
      <c r="E221" s="5">
        <f>ABS(F221-G221)/ABS(F221)</f>
        <v>0</v>
      </c>
      <c r="F221">
        <v>31</v>
      </c>
      <c r="G221">
        <v>31</v>
      </c>
      <c r="H221">
        <v>31</v>
      </c>
      <c r="J221" s="5">
        <f>ABS(F221-G221)/ABS(F221)</f>
        <v>0</v>
      </c>
      <c r="K221" s="5">
        <f>ABS(G221-H221)/ABS(G221)</f>
        <v>0</v>
      </c>
    </row>
    <row r="222" spans="3:11" x14ac:dyDescent="0.2">
      <c r="C222" t="s">
        <v>1804</v>
      </c>
      <c r="D222" t="b">
        <f ca="1">IF(CELL("format",F222)="G",IF(ABS(F222-G222) &lt;= ABS(F222*B$3),TRUE,FALSE),IF(F222=G222,TRUE,FALSE))</f>
        <v>1</v>
      </c>
      <c r="E222" s="5">
        <f>ABS(F222-G222)/ABS(F222)</f>
        <v>0</v>
      </c>
      <c r="F222">
        <v>24</v>
      </c>
      <c r="G222">
        <v>24</v>
      </c>
      <c r="H222">
        <v>24</v>
      </c>
      <c r="J222" s="5">
        <f>ABS(F222-G222)/ABS(F222)</f>
        <v>0</v>
      </c>
      <c r="K222" s="5">
        <f>ABS(G222-H222)/ABS(G222)</f>
        <v>0</v>
      </c>
    </row>
    <row r="223" spans="3:11" x14ac:dyDescent="0.2">
      <c r="C223" t="s">
        <v>1805</v>
      </c>
      <c r="D223" t="b">
        <f ca="1">IF(CELL("format",F223)="G",IF(ABS(F223-G223) &lt;= ABS(F223*B$3),TRUE,FALSE),IF(F223=G223,TRUE,FALSE))</f>
        <v>1</v>
      </c>
      <c r="E223" s="5">
        <f>ABS(F223-G223)/ABS(F223)</f>
        <v>0</v>
      </c>
      <c r="F223">
        <v>2.5832000000000002</v>
      </c>
      <c r="G223">
        <v>2.5832000000000002</v>
      </c>
      <c r="H223">
        <v>2.5832000000000002</v>
      </c>
      <c r="J223" s="5">
        <f>ABS(F223-G223)/ABS(F223)</f>
        <v>0</v>
      </c>
      <c r="K223" s="5">
        <f>ABS(G223-H223)/ABS(G223)</f>
        <v>0</v>
      </c>
    </row>
    <row r="224" spans="3:11" x14ac:dyDescent="0.2">
      <c r="C224" t="s">
        <v>1806</v>
      </c>
      <c r="D224" t="e">
        <f ca="1">IF(CELL("format",F224)="G",IF(ABS(F224-G224) &lt;= ABS(F224*B$3),TRUE,FALSE),IF(F224=G224,TRUE,FALSE))</f>
        <v>#VALUE!</v>
      </c>
      <c r="E224" s="5" t="e">
        <f>ABS(F224-G224)/ABS(F224)</f>
        <v>#VALUE!</v>
      </c>
      <c r="F224" t="s">
        <v>2349</v>
      </c>
      <c r="G224" t="s">
        <v>2349</v>
      </c>
      <c r="H224" t="s">
        <v>2349</v>
      </c>
      <c r="J224" s="5" t="e">
        <f>ABS(F224-G224)/ABS(F224)</f>
        <v>#VALUE!</v>
      </c>
      <c r="K224" s="5" t="e">
        <f>ABS(G224-H224)/ABS(G224)</f>
        <v>#VALUE!</v>
      </c>
    </row>
    <row r="225" spans="3:11" x14ac:dyDescent="0.2">
      <c r="C225" t="s">
        <v>1807</v>
      </c>
      <c r="D225" t="b">
        <f ca="1">IF(CELL("format",F225)="G",IF(ABS(F225-G225) &lt;= ABS(F225*B$3),TRUE,FALSE),IF(F225=G225,TRUE,FALSE))</f>
        <v>1</v>
      </c>
      <c r="E225" s="5">
        <f>ABS(F225-G225)/ABS(F225)</f>
        <v>0</v>
      </c>
      <c r="F225">
        <v>31</v>
      </c>
      <c r="G225">
        <v>31</v>
      </c>
      <c r="H225">
        <v>31</v>
      </c>
      <c r="J225" s="5">
        <f>ABS(F225-G225)/ABS(F225)</f>
        <v>0</v>
      </c>
      <c r="K225" s="5">
        <f>ABS(G225-H225)/ABS(G225)</f>
        <v>0</v>
      </c>
    </row>
    <row r="226" spans="3:11" x14ac:dyDescent="0.2">
      <c r="C226" t="s">
        <v>1808</v>
      </c>
      <c r="D226" t="b">
        <f ca="1">IF(CELL("format",F226)="G",IF(ABS(F226-G226) &lt;= ABS(F226*B$3),TRUE,FALSE),IF(F226=G226,TRUE,FALSE))</f>
        <v>1</v>
      </c>
      <c r="E226" s="5">
        <f>ABS(F226-G226)/ABS(F226)</f>
        <v>0</v>
      </c>
      <c r="F226">
        <v>24</v>
      </c>
      <c r="G226">
        <v>24</v>
      </c>
      <c r="H226">
        <v>24</v>
      </c>
      <c r="J226" s="5">
        <f>ABS(F226-G226)/ABS(F226)</f>
        <v>0</v>
      </c>
      <c r="K226" s="5">
        <f>ABS(G226-H226)/ABS(G226)</f>
        <v>0</v>
      </c>
    </row>
    <row r="227" spans="3:11" x14ac:dyDescent="0.2">
      <c r="C227" t="s">
        <v>1809</v>
      </c>
      <c r="D227" t="b">
        <f ca="1">IF(CELL("format",F227)="G",IF(ABS(F227-G227) &lt;= ABS(F227*B$3),TRUE,FALSE),IF(F227=G227,TRUE,FALSE))</f>
        <v>1</v>
      </c>
      <c r="E227" s="5">
        <f>ABS(F227-G227)/ABS(F227)</f>
        <v>0</v>
      </c>
      <c r="F227">
        <v>2.6033300000000001</v>
      </c>
      <c r="G227">
        <v>2.6033300000000001</v>
      </c>
      <c r="H227">
        <v>2.6033300000000001</v>
      </c>
      <c r="J227" s="5">
        <f>ABS(F227-G227)/ABS(F227)</f>
        <v>0</v>
      </c>
      <c r="K227" s="5">
        <f>ABS(G227-H227)/ABS(G227)</f>
        <v>0</v>
      </c>
    </row>
    <row r="228" spans="3:11" x14ac:dyDescent="0.2">
      <c r="C228" t="s">
        <v>1810</v>
      </c>
      <c r="D228" t="e">
        <f ca="1">IF(CELL("format",F228)="G",IF(ABS(F228-G228) &lt;= ABS(F228*B$3),TRUE,FALSE),IF(F228=G228,TRUE,FALSE))</f>
        <v>#VALUE!</v>
      </c>
      <c r="E228" s="5" t="e">
        <f>ABS(F228-G228)/ABS(F228)</f>
        <v>#VALUE!</v>
      </c>
      <c r="F228" t="s">
        <v>2349</v>
      </c>
      <c r="G228" t="s">
        <v>2349</v>
      </c>
      <c r="H228" t="s">
        <v>2349</v>
      </c>
      <c r="J228" s="5" t="e">
        <f>ABS(F228-G228)/ABS(F228)</f>
        <v>#VALUE!</v>
      </c>
      <c r="K228" s="5" t="e">
        <f>ABS(G228-H228)/ABS(G228)</f>
        <v>#VALUE!</v>
      </c>
    </row>
    <row r="229" spans="3:11" x14ac:dyDescent="0.2">
      <c r="C229" t="s">
        <v>1811</v>
      </c>
      <c r="D229" t="b">
        <f ca="1">IF(CELL("format",F229)="G",IF(ABS(F229-G229) &lt;= ABS(F229*B$3),TRUE,FALSE),IF(F229=G229,TRUE,FALSE))</f>
        <v>1</v>
      </c>
      <c r="E229" s="5">
        <f>ABS(F229-G229)/ABS(F229)</f>
        <v>0</v>
      </c>
      <c r="F229">
        <v>31</v>
      </c>
      <c r="G229">
        <v>31</v>
      </c>
      <c r="H229">
        <v>31</v>
      </c>
      <c r="J229" s="5">
        <f>ABS(F229-G229)/ABS(F229)</f>
        <v>0</v>
      </c>
      <c r="K229" s="5">
        <f>ABS(G229-H229)/ABS(G229)</f>
        <v>0</v>
      </c>
    </row>
    <row r="230" spans="3:11" x14ac:dyDescent="0.2">
      <c r="C230" t="s">
        <v>1812</v>
      </c>
      <c r="D230" t="b">
        <f ca="1">IF(CELL("format",F230)="G",IF(ABS(F230-G230) &lt;= ABS(F230*B$3),TRUE,FALSE),IF(F230=G230,TRUE,FALSE))</f>
        <v>1</v>
      </c>
      <c r="E230" s="5">
        <f>ABS(F230-G230)/ABS(F230)</f>
        <v>0</v>
      </c>
      <c r="F230">
        <v>24</v>
      </c>
      <c r="G230">
        <v>24</v>
      </c>
      <c r="H230">
        <v>24</v>
      </c>
      <c r="J230" s="5">
        <f>ABS(F230-G230)/ABS(F230)</f>
        <v>0</v>
      </c>
      <c r="K230" s="5">
        <f>ABS(G230-H230)/ABS(G230)</f>
        <v>0</v>
      </c>
    </row>
    <row r="231" spans="3:11" x14ac:dyDescent="0.2">
      <c r="C231" t="s">
        <v>1813</v>
      </c>
      <c r="D231" t="b">
        <f ca="1">IF(CELL("format",F231)="G",IF(ABS(F231-G231) &lt;= ABS(F231*B$3),TRUE,FALSE),IF(F231=G231,TRUE,FALSE))</f>
        <v>1</v>
      </c>
      <c r="E231" s="5">
        <f>ABS(F231-G231)/ABS(F231)</f>
        <v>0</v>
      </c>
      <c r="F231">
        <v>2.5802700000000001</v>
      </c>
      <c r="G231">
        <v>2.5802700000000001</v>
      </c>
      <c r="H231">
        <v>2.5802700000000001</v>
      </c>
      <c r="J231" s="5">
        <f>ABS(F231-G231)/ABS(F231)</f>
        <v>0</v>
      </c>
      <c r="K231" s="5">
        <f>ABS(G231-H231)/ABS(G231)</f>
        <v>0</v>
      </c>
    </row>
    <row r="232" spans="3:11" x14ac:dyDescent="0.2">
      <c r="C232" t="s">
        <v>1814</v>
      </c>
      <c r="D232" t="e">
        <f ca="1">IF(CELL("format",F232)="G",IF(ABS(F232-G232) &lt;= ABS(F232*B$3),TRUE,FALSE),IF(F232=G232,TRUE,FALSE))</f>
        <v>#VALUE!</v>
      </c>
      <c r="E232" s="5" t="e">
        <f>ABS(F232-G232)/ABS(F232)</f>
        <v>#VALUE!</v>
      </c>
      <c r="F232" t="s">
        <v>2349</v>
      </c>
      <c r="G232" t="s">
        <v>2349</v>
      </c>
      <c r="H232" t="s">
        <v>2349</v>
      </c>
      <c r="J232" s="5" t="e">
        <f>ABS(F232-G232)/ABS(F232)</f>
        <v>#VALUE!</v>
      </c>
      <c r="K232" s="5" t="e">
        <f>ABS(G232-H232)/ABS(G232)</f>
        <v>#VALUE!</v>
      </c>
    </row>
    <row r="233" spans="3:11" x14ac:dyDescent="0.2">
      <c r="C233" t="s">
        <v>1815</v>
      </c>
      <c r="D233" t="b">
        <f ca="1">IF(CELL("format",F233)="G",IF(ABS(F233-G233) &lt;= ABS(F233*B$3),TRUE,FALSE),IF(F233=G233,TRUE,FALSE))</f>
        <v>1</v>
      </c>
      <c r="E233" s="5">
        <f>ABS(F233-G233)/ABS(F233)</f>
        <v>0</v>
      </c>
      <c r="F233">
        <v>31</v>
      </c>
      <c r="G233">
        <v>31</v>
      </c>
      <c r="H233">
        <v>31</v>
      </c>
      <c r="J233" s="5">
        <f>ABS(F233-G233)/ABS(F233)</f>
        <v>0</v>
      </c>
      <c r="K233" s="5">
        <f>ABS(G233-H233)/ABS(G233)</f>
        <v>0</v>
      </c>
    </row>
    <row r="234" spans="3:11" x14ac:dyDescent="0.2">
      <c r="C234" t="s">
        <v>1816</v>
      </c>
      <c r="D234" t="b">
        <f ca="1">IF(CELL("format",F234)="G",IF(ABS(F234-G234) &lt;= ABS(F234*B$3),TRUE,FALSE),IF(F234=G234,TRUE,FALSE))</f>
        <v>1</v>
      </c>
      <c r="E234" s="5">
        <f>ABS(F234-G234)/ABS(F234)</f>
        <v>0</v>
      </c>
      <c r="F234">
        <v>24</v>
      </c>
      <c r="G234">
        <v>24</v>
      </c>
      <c r="H234">
        <v>24</v>
      </c>
      <c r="J234" s="5">
        <f>ABS(F234-G234)/ABS(F234)</f>
        <v>0</v>
      </c>
      <c r="K234" s="5">
        <f>ABS(G234-H234)/ABS(G234)</f>
        <v>0</v>
      </c>
    </row>
    <row r="235" spans="3:11" x14ac:dyDescent="0.2">
      <c r="C235" t="s">
        <v>1817</v>
      </c>
      <c r="D235" t="b">
        <f ca="1">IF(CELL("format",F235)="G",IF(ABS(F235-G235) &lt;= ABS(F235*B$3),TRUE,FALSE),IF(F235=G235,TRUE,FALSE))</f>
        <v>1</v>
      </c>
      <c r="E235" s="5">
        <f>ABS(F235-G235)/ABS(F235)</f>
        <v>0</v>
      </c>
      <c r="F235">
        <v>2.5731899999999999</v>
      </c>
      <c r="G235">
        <v>2.5731899999999999</v>
      </c>
      <c r="H235">
        <v>2.5731899999999999</v>
      </c>
      <c r="J235" s="5">
        <f>ABS(F235-G235)/ABS(F235)</f>
        <v>0</v>
      </c>
      <c r="K235" s="5">
        <f>ABS(G235-H235)/ABS(G235)</f>
        <v>0</v>
      </c>
    </row>
    <row r="236" spans="3:11" x14ac:dyDescent="0.2">
      <c r="C236" t="s">
        <v>1818</v>
      </c>
      <c r="D236" t="e">
        <f ca="1">IF(CELL("format",F236)="G",IF(ABS(F236-G236) &lt;= ABS(F236*B$3),TRUE,FALSE),IF(F236=G236,TRUE,FALSE))</f>
        <v>#VALUE!</v>
      </c>
      <c r="E236" s="5" t="e">
        <f>ABS(F236-G236)/ABS(F236)</f>
        <v>#VALUE!</v>
      </c>
      <c r="F236" t="s">
        <v>2349</v>
      </c>
      <c r="G236" t="s">
        <v>2349</v>
      </c>
      <c r="H236" t="s">
        <v>2349</v>
      </c>
      <c r="J236" s="5" t="e">
        <f>ABS(F236-G236)/ABS(F236)</f>
        <v>#VALUE!</v>
      </c>
      <c r="K236" s="5" t="e">
        <f>ABS(G236-H236)/ABS(G236)</f>
        <v>#VALUE!</v>
      </c>
    </row>
    <row r="237" spans="3:11" x14ac:dyDescent="0.2">
      <c r="C237" t="s">
        <v>1819</v>
      </c>
      <c r="D237" t="b">
        <f ca="1">IF(CELL("format",F237)="G",IF(ABS(F237-G237) &lt;= ABS(F237*B$3),TRUE,FALSE),IF(F237=G237,TRUE,FALSE))</f>
        <v>1</v>
      </c>
      <c r="E237" s="5">
        <f>ABS(F237-G237)/ABS(F237)</f>
        <v>0</v>
      </c>
      <c r="F237">
        <v>31</v>
      </c>
      <c r="G237">
        <v>31</v>
      </c>
      <c r="H237">
        <v>31</v>
      </c>
      <c r="J237" s="5">
        <f>ABS(F237-G237)/ABS(F237)</f>
        <v>0</v>
      </c>
      <c r="K237" s="5">
        <f>ABS(G237-H237)/ABS(G237)</f>
        <v>0</v>
      </c>
    </row>
    <row r="238" spans="3:11" x14ac:dyDescent="0.2">
      <c r="C238" t="s">
        <v>1820</v>
      </c>
      <c r="D238" t="b">
        <f ca="1">IF(CELL("format",F238)="G",IF(ABS(F238-G238) &lt;= ABS(F238*B$3),TRUE,FALSE),IF(F238=G238,TRUE,FALSE))</f>
        <v>1</v>
      </c>
      <c r="E238" s="5">
        <f>ABS(F238-G238)/ABS(F238)</f>
        <v>0</v>
      </c>
      <c r="F238">
        <v>24</v>
      </c>
      <c r="G238">
        <v>24</v>
      </c>
      <c r="H238">
        <v>24</v>
      </c>
      <c r="J238" s="5">
        <f>ABS(F238-G238)/ABS(F238)</f>
        <v>0</v>
      </c>
      <c r="K238" s="5">
        <f>ABS(G238-H238)/ABS(G238)</f>
        <v>0</v>
      </c>
    </row>
    <row r="239" spans="3:11" x14ac:dyDescent="0.2">
      <c r="C239" t="s">
        <v>1821</v>
      </c>
      <c r="D239" t="b">
        <f ca="1">IF(CELL("format",F239)="G",IF(ABS(F239-G239) &lt;= ABS(F239*B$3),TRUE,FALSE),IF(F239=G239,TRUE,FALSE))</f>
        <v>1</v>
      </c>
      <c r="E239" s="5">
        <f>ABS(F239-G239)/ABS(F239)</f>
        <v>0</v>
      </c>
      <c r="F239">
        <v>1.9516800000000001</v>
      </c>
      <c r="G239">
        <v>1.9516800000000001</v>
      </c>
      <c r="H239">
        <v>1.9516800000000001</v>
      </c>
      <c r="J239" s="5">
        <f>ABS(F239-G239)/ABS(F239)</f>
        <v>0</v>
      </c>
      <c r="K239" s="5">
        <f>ABS(G239-H239)/ABS(G239)</f>
        <v>0</v>
      </c>
    </row>
    <row r="240" spans="3:11" x14ac:dyDescent="0.2">
      <c r="C240" t="s">
        <v>1822</v>
      </c>
      <c r="D240" t="e">
        <f ca="1">IF(CELL("format",F240)="G",IF(ABS(F240-G240) &lt;= ABS(F240*B$3),TRUE,FALSE),IF(F240=G240,TRUE,FALSE))</f>
        <v>#VALUE!</v>
      </c>
      <c r="E240" s="5" t="e">
        <f>ABS(F240-G240)/ABS(F240)</f>
        <v>#VALUE!</v>
      </c>
      <c r="F240" t="s">
        <v>2349</v>
      </c>
      <c r="G240" t="s">
        <v>2349</v>
      </c>
      <c r="H240" t="s">
        <v>2349</v>
      </c>
      <c r="J240" s="5" t="e">
        <f>ABS(F240-G240)/ABS(F240)</f>
        <v>#VALUE!</v>
      </c>
      <c r="K240" s="5" t="e">
        <f>ABS(G240-H240)/ABS(G240)</f>
        <v>#VALUE!</v>
      </c>
    </row>
    <row r="241" spans="3:11" x14ac:dyDescent="0.2">
      <c r="C241" t="s">
        <v>1823</v>
      </c>
      <c r="D241" t="b">
        <f ca="1">IF(CELL("format",F241)="G",IF(ABS(F241-G241) &lt;= ABS(F241*B$3),TRUE,FALSE),IF(F241=G241,TRUE,FALSE))</f>
        <v>1</v>
      </c>
      <c r="E241" s="5">
        <f>ABS(F241-G241)/ABS(F241)</f>
        <v>0</v>
      </c>
      <c r="F241">
        <v>31</v>
      </c>
      <c r="G241">
        <v>31</v>
      </c>
      <c r="H241">
        <v>31</v>
      </c>
      <c r="J241" s="5">
        <f>ABS(F241-G241)/ABS(F241)</f>
        <v>0</v>
      </c>
      <c r="K241" s="5">
        <f>ABS(G241-H241)/ABS(G241)</f>
        <v>0</v>
      </c>
    </row>
    <row r="242" spans="3:11" x14ac:dyDescent="0.2">
      <c r="C242" t="s">
        <v>1824</v>
      </c>
      <c r="D242" t="b">
        <f ca="1">IF(CELL("format",F242)="G",IF(ABS(F242-G242) &lt;= ABS(F242*B$3),TRUE,FALSE),IF(F242=G242,TRUE,FALSE))</f>
        <v>1</v>
      </c>
      <c r="E242" s="5">
        <f>ABS(F242-G242)/ABS(F242)</f>
        <v>0</v>
      </c>
      <c r="F242">
        <v>24</v>
      </c>
      <c r="G242">
        <v>24</v>
      </c>
      <c r="H242">
        <v>24</v>
      </c>
      <c r="J242" s="5">
        <f>ABS(F242-G242)/ABS(F242)</f>
        <v>0</v>
      </c>
      <c r="K242" s="5">
        <f>ABS(G242-H242)/ABS(G242)</f>
        <v>0</v>
      </c>
    </row>
    <row r="243" spans="3:11" x14ac:dyDescent="0.2">
      <c r="C243" t="s">
        <v>1825</v>
      </c>
      <c r="D243" t="b">
        <f ca="1">IF(CELL("format",F243)="G",IF(ABS(F243-G243) &lt;= ABS(F243*B$3),TRUE,FALSE),IF(F243=G243,TRUE,FALSE))</f>
        <v>1</v>
      </c>
      <c r="E243" s="5">
        <f>ABS(F243-G243)/ABS(F243)</f>
        <v>0</v>
      </c>
      <c r="F243">
        <v>2.6917499999999999</v>
      </c>
      <c r="G243">
        <v>2.6917499999999999</v>
      </c>
      <c r="H243">
        <v>2.6917499999999999</v>
      </c>
      <c r="J243" s="5">
        <f>ABS(F243-G243)/ABS(F243)</f>
        <v>0</v>
      </c>
      <c r="K243" s="5">
        <f>ABS(G243-H243)/ABS(G243)</f>
        <v>0</v>
      </c>
    </row>
    <row r="244" spans="3:11" x14ac:dyDescent="0.2">
      <c r="C244" t="s">
        <v>1826</v>
      </c>
      <c r="D244" t="e">
        <f ca="1">IF(CELL("format",F244)="G",IF(ABS(F244-G244) &lt;= ABS(F244*B$3),TRUE,FALSE),IF(F244=G244,TRUE,FALSE))</f>
        <v>#VALUE!</v>
      </c>
      <c r="E244" s="5" t="e">
        <f>ABS(F244-G244)/ABS(F244)</f>
        <v>#VALUE!</v>
      </c>
      <c r="F244" t="s">
        <v>2349</v>
      </c>
      <c r="G244" t="s">
        <v>2349</v>
      </c>
      <c r="H244" t="s">
        <v>2349</v>
      </c>
      <c r="J244" s="5" t="e">
        <f>ABS(F244-G244)/ABS(F244)</f>
        <v>#VALUE!</v>
      </c>
      <c r="K244" s="5" t="e">
        <f>ABS(G244-H244)/ABS(G244)</f>
        <v>#VALUE!</v>
      </c>
    </row>
    <row r="245" spans="3:11" x14ac:dyDescent="0.2">
      <c r="C245" t="s">
        <v>1827</v>
      </c>
      <c r="D245" t="b">
        <f ca="1">IF(CELL("format",F245)="G",IF(ABS(F245-G245) &lt;= ABS(F245*B$3),TRUE,FALSE),IF(F245=G245,TRUE,FALSE))</f>
        <v>1</v>
      </c>
      <c r="E245" s="5">
        <f>ABS(F245-G245)/ABS(F245)</f>
        <v>0</v>
      </c>
      <c r="F245">
        <v>31</v>
      </c>
      <c r="G245">
        <v>31</v>
      </c>
      <c r="H245">
        <v>31</v>
      </c>
      <c r="J245" s="5">
        <f>ABS(F245-G245)/ABS(F245)</f>
        <v>0</v>
      </c>
      <c r="K245" s="5">
        <f>ABS(G245-H245)/ABS(G245)</f>
        <v>0</v>
      </c>
    </row>
    <row r="246" spans="3:11" x14ac:dyDescent="0.2">
      <c r="C246" t="s">
        <v>1828</v>
      </c>
      <c r="D246" t="b">
        <f ca="1">IF(CELL("format",F246)="G",IF(ABS(F246-G246) &lt;= ABS(F246*B$3),TRUE,FALSE),IF(F246=G246,TRUE,FALSE))</f>
        <v>1</v>
      </c>
      <c r="E246" s="5">
        <f>ABS(F246-G246)/ABS(F246)</f>
        <v>0</v>
      </c>
      <c r="F246">
        <v>24</v>
      </c>
      <c r="G246">
        <v>24</v>
      </c>
      <c r="H246">
        <v>24</v>
      </c>
      <c r="J246" s="5">
        <f>ABS(F246-G246)/ABS(F246)</f>
        <v>0</v>
      </c>
      <c r="K246" s="5">
        <f>ABS(G246-H246)/ABS(G246)</f>
        <v>0</v>
      </c>
    </row>
    <row r="247" spans="3:11" x14ac:dyDescent="0.2">
      <c r="C247" t="s">
        <v>1829</v>
      </c>
      <c r="D247" t="b">
        <f ca="1">IF(CELL("format",F247)="G",IF(ABS(F247-G247) &lt;= ABS(F247*B$3),TRUE,FALSE),IF(F247=G247,TRUE,FALSE))</f>
        <v>1</v>
      </c>
      <c r="E247" s="5">
        <f>ABS(F247-G247)/ABS(F247)</f>
        <v>0</v>
      </c>
      <c r="F247">
        <v>3.50379</v>
      </c>
      <c r="G247">
        <v>3.50379</v>
      </c>
      <c r="H247">
        <v>3.50379</v>
      </c>
      <c r="J247" s="5">
        <f>ABS(F247-G247)/ABS(F247)</f>
        <v>0</v>
      </c>
      <c r="K247" s="5">
        <f>ABS(G247-H247)/ABS(G247)</f>
        <v>0</v>
      </c>
    </row>
    <row r="248" spans="3:11" x14ac:dyDescent="0.2">
      <c r="C248" t="s">
        <v>1830</v>
      </c>
      <c r="D248" t="e">
        <f ca="1">IF(CELL("format",F248)="G",IF(ABS(F248-G248) &lt;= ABS(F248*B$3),TRUE,FALSE),IF(F248=G248,TRUE,FALSE))</f>
        <v>#VALUE!</v>
      </c>
      <c r="E248" s="5" t="e">
        <f>ABS(F248-G248)/ABS(F248)</f>
        <v>#VALUE!</v>
      </c>
      <c r="F248" t="s">
        <v>2349</v>
      </c>
      <c r="G248" t="s">
        <v>2349</v>
      </c>
      <c r="H248" t="s">
        <v>2349</v>
      </c>
      <c r="J248" s="5" t="e">
        <f>ABS(F248-G248)/ABS(F248)</f>
        <v>#VALUE!</v>
      </c>
      <c r="K248" s="5" t="e">
        <f>ABS(G248-H248)/ABS(G248)</f>
        <v>#VALUE!</v>
      </c>
    </row>
    <row r="249" spans="3:11" x14ac:dyDescent="0.2">
      <c r="C249" t="s">
        <v>1831</v>
      </c>
      <c r="D249" t="b">
        <f ca="1">IF(CELL("format",F249)="G",IF(ABS(F249-G249) &lt;= ABS(F249*B$3),TRUE,FALSE),IF(F249=G249,TRUE,FALSE))</f>
        <v>1</v>
      </c>
      <c r="E249" s="5">
        <f>ABS(F249-G249)/ABS(F249)</f>
        <v>0</v>
      </c>
      <c r="F249">
        <v>31</v>
      </c>
      <c r="G249">
        <v>31</v>
      </c>
      <c r="H249">
        <v>31</v>
      </c>
      <c r="J249" s="5">
        <f>ABS(F249-G249)/ABS(F249)</f>
        <v>0</v>
      </c>
      <c r="K249" s="5">
        <f>ABS(G249-H249)/ABS(G249)</f>
        <v>0</v>
      </c>
    </row>
    <row r="250" spans="3:11" x14ac:dyDescent="0.2">
      <c r="C250" t="s">
        <v>1832</v>
      </c>
      <c r="D250" t="b">
        <f ca="1">IF(CELL("format",F250)="G",IF(ABS(F250-G250) &lt;= ABS(F250*B$3),TRUE,FALSE),IF(F250=G250,TRUE,FALSE))</f>
        <v>1</v>
      </c>
      <c r="E250" s="5">
        <f>ABS(F250-G250)/ABS(F250)</f>
        <v>0</v>
      </c>
      <c r="F250">
        <v>24</v>
      </c>
      <c r="G250">
        <v>24</v>
      </c>
      <c r="H250">
        <v>24</v>
      </c>
      <c r="J250" s="5">
        <f>ABS(F250-G250)/ABS(F250)</f>
        <v>0</v>
      </c>
      <c r="K250" s="5">
        <f>ABS(G250-H250)/ABS(G250)</f>
        <v>0</v>
      </c>
    </row>
    <row r="251" spans="3:11" x14ac:dyDescent="0.2">
      <c r="C251" t="s">
        <v>1833</v>
      </c>
      <c r="D251" t="b">
        <f ca="1">IF(CELL("format",F251)="G",IF(ABS(F251-G251) &lt;= ABS(F251*B$3),TRUE,FALSE),IF(F251=G251,TRUE,FALSE))</f>
        <v>1</v>
      </c>
      <c r="E251" s="5">
        <f>ABS(F251-G251)/ABS(F251)</f>
        <v>0</v>
      </c>
      <c r="F251">
        <v>3.31887</v>
      </c>
      <c r="G251">
        <v>3.31887</v>
      </c>
      <c r="H251">
        <v>3.31887</v>
      </c>
      <c r="J251" s="5">
        <f>ABS(F251-G251)/ABS(F251)</f>
        <v>0</v>
      </c>
      <c r="K251" s="5">
        <f>ABS(G251-H251)/ABS(G251)</f>
        <v>0</v>
      </c>
    </row>
    <row r="252" spans="3:11" x14ac:dyDescent="0.2">
      <c r="C252" t="s">
        <v>1834</v>
      </c>
      <c r="D252" t="e">
        <f ca="1">IF(CELL("format",F252)="G",IF(ABS(F252-G252) &lt;= ABS(F252*B$3),TRUE,FALSE),IF(F252=G252,TRUE,FALSE))</f>
        <v>#VALUE!</v>
      </c>
      <c r="E252" s="5" t="e">
        <f>ABS(F252-G252)/ABS(F252)</f>
        <v>#VALUE!</v>
      </c>
      <c r="F252" t="s">
        <v>2349</v>
      </c>
      <c r="G252" t="s">
        <v>2349</v>
      </c>
      <c r="H252" t="s">
        <v>2349</v>
      </c>
      <c r="J252" s="5" t="e">
        <f>ABS(F252-G252)/ABS(F252)</f>
        <v>#VALUE!</v>
      </c>
      <c r="K252" s="5" t="e">
        <f>ABS(G252-H252)/ABS(G252)</f>
        <v>#VALUE!</v>
      </c>
    </row>
    <row r="253" spans="3:11" x14ac:dyDescent="0.2">
      <c r="C253" t="s">
        <v>1835</v>
      </c>
      <c r="D253" t="b">
        <f ca="1">IF(CELL("format",F253)="G",IF(ABS(F253-G253) &lt;= ABS(F253*B$3),TRUE,FALSE),IF(F253=G253,TRUE,FALSE))</f>
        <v>1</v>
      </c>
      <c r="E253" s="5">
        <f>ABS(F253-G253)/ABS(F253)</f>
        <v>0</v>
      </c>
      <c r="F253">
        <v>31</v>
      </c>
      <c r="G253">
        <v>31</v>
      </c>
      <c r="H253">
        <v>31</v>
      </c>
      <c r="J253" s="5">
        <f>ABS(F253-G253)/ABS(F253)</f>
        <v>0</v>
      </c>
      <c r="K253" s="5">
        <f>ABS(G253-H253)/ABS(G253)</f>
        <v>0</v>
      </c>
    </row>
    <row r="254" spans="3:11" x14ac:dyDescent="0.2">
      <c r="C254" t="s">
        <v>1836</v>
      </c>
      <c r="D254" t="b">
        <f ca="1">IF(CELL("format",F254)="G",IF(ABS(F254-G254) &lt;= ABS(F254*B$3),TRUE,FALSE),IF(F254=G254,TRUE,FALSE))</f>
        <v>1</v>
      </c>
      <c r="E254" s="5">
        <f>ABS(F254-G254)/ABS(F254)</f>
        <v>0</v>
      </c>
      <c r="F254">
        <v>24</v>
      </c>
      <c r="G254">
        <v>24</v>
      </c>
      <c r="H254">
        <v>24</v>
      </c>
      <c r="J254" s="5">
        <f>ABS(F254-G254)/ABS(F254)</f>
        <v>0</v>
      </c>
      <c r="K254" s="5">
        <f>ABS(G254-H254)/ABS(G254)</f>
        <v>0</v>
      </c>
    </row>
    <row r="255" spans="3:11" x14ac:dyDescent="0.2">
      <c r="C255" t="s">
        <v>1837</v>
      </c>
      <c r="D255" t="b">
        <f ca="1">IF(CELL("format",F255)="G",IF(ABS(F255-G255) &lt;= ABS(F255*B$3),TRUE,FALSE),IF(F255=G255,TRUE,FALSE))</f>
        <v>1</v>
      </c>
      <c r="E255" s="5">
        <f>ABS(F255-G255)/ABS(F255)</f>
        <v>0</v>
      </c>
      <c r="F255">
        <v>3.3159700000000001</v>
      </c>
      <c r="G255">
        <v>3.3159700000000001</v>
      </c>
      <c r="H255">
        <v>3.3159700000000001</v>
      </c>
      <c r="J255" s="5">
        <f>ABS(F255-G255)/ABS(F255)</f>
        <v>0</v>
      </c>
      <c r="K255" s="5">
        <f>ABS(G255-H255)/ABS(G255)</f>
        <v>0</v>
      </c>
    </row>
    <row r="256" spans="3:11" x14ac:dyDescent="0.2">
      <c r="C256" t="s">
        <v>1838</v>
      </c>
      <c r="D256" t="e">
        <f ca="1">IF(CELL("format",F256)="G",IF(ABS(F256-G256) &lt;= ABS(F256*B$3),TRUE,FALSE),IF(F256=G256,TRUE,FALSE))</f>
        <v>#VALUE!</v>
      </c>
      <c r="E256" s="5" t="e">
        <f>ABS(F256-G256)/ABS(F256)</f>
        <v>#VALUE!</v>
      </c>
      <c r="F256" t="s">
        <v>2349</v>
      </c>
      <c r="G256" t="s">
        <v>2349</v>
      </c>
      <c r="H256" t="s">
        <v>2349</v>
      </c>
      <c r="J256" s="5" t="e">
        <f>ABS(F256-G256)/ABS(F256)</f>
        <v>#VALUE!</v>
      </c>
      <c r="K256" s="5" t="e">
        <f>ABS(G256-H256)/ABS(G256)</f>
        <v>#VALUE!</v>
      </c>
    </row>
    <row r="257" spans="3:11" x14ac:dyDescent="0.2">
      <c r="C257" t="s">
        <v>1839</v>
      </c>
      <c r="D257" t="b">
        <f ca="1">IF(CELL("format",F257)="G",IF(ABS(F257-G257) &lt;= ABS(F257*B$3),TRUE,FALSE),IF(F257=G257,TRUE,FALSE))</f>
        <v>1</v>
      </c>
      <c r="E257" s="5">
        <f>ABS(F257-G257)/ABS(F257)</f>
        <v>0</v>
      </c>
      <c r="F257">
        <v>31</v>
      </c>
      <c r="G257">
        <v>31</v>
      </c>
      <c r="H257">
        <v>31</v>
      </c>
      <c r="J257" s="5">
        <f>ABS(F257-G257)/ABS(F257)</f>
        <v>0</v>
      </c>
      <c r="K257" s="5">
        <f>ABS(G257-H257)/ABS(G257)</f>
        <v>0</v>
      </c>
    </row>
    <row r="258" spans="3:11" x14ac:dyDescent="0.2">
      <c r="C258" t="s">
        <v>1840</v>
      </c>
      <c r="D258" t="b">
        <f ca="1">IF(CELL("format",F258)="G",IF(ABS(F258-G258) &lt;= ABS(F258*B$3),TRUE,FALSE),IF(F258=G258,TRUE,FALSE))</f>
        <v>1</v>
      </c>
      <c r="E258" s="5">
        <f>ABS(F258-G258)/ABS(F258)</f>
        <v>0</v>
      </c>
      <c r="F258">
        <v>24</v>
      </c>
      <c r="G258">
        <v>24</v>
      </c>
      <c r="H258">
        <v>24</v>
      </c>
      <c r="J258" s="5">
        <f>ABS(F258-G258)/ABS(F258)</f>
        <v>0</v>
      </c>
      <c r="K258" s="5">
        <f>ABS(G258-H258)/ABS(G258)</f>
        <v>0</v>
      </c>
    </row>
    <row r="259" spans="3:11" x14ac:dyDescent="0.2">
      <c r="C259" t="s">
        <v>1841</v>
      </c>
      <c r="D259" t="b">
        <f ca="1">IF(CELL("format",F259)="G",IF(ABS(F259-G259) &lt;= ABS(F259*B$3),TRUE,FALSE),IF(F259=G259,TRUE,FALSE))</f>
        <v>1</v>
      </c>
      <c r="E259" s="5">
        <f>ABS(F259-G259)/ABS(F259)</f>
        <v>0</v>
      </c>
      <c r="F259">
        <v>3.21834</v>
      </c>
      <c r="G259">
        <v>3.21834</v>
      </c>
      <c r="H259">
        <v>3.21834</v>
      </c>
      <c r="J259" s="5">
        <f>ABS(F259-G259)/ABS(F259)</f>
        <v>0</v>
      </c>
      <c r="K259" s="5">
        <f>ABS(G259-H259)/ABS(G259)</f>
        <v>0</v>
      </c>
    </row>
    <row r="260" spans="3:11" x14ac:dyDescent="0.2">
      <c r="C260" t="s">
        <v>1842</v>
      </c>
      <c r="D260" t="e">
        <f ca="1">IF(CELL("format",F260)="G",IF(ABS(F260-G260) &lt;= ABS(F260*B$3),TRUE,FALSE),IF(F260=G260,TRUE,FALSE))</f>
        <v>#VALUE!</v>
      </c>
      <c r="E260" s="5" t="e">
        <f>ABS(F260-G260)/ABS(F260)</f>
        <v>#VALUE!</v>
      </c>
      <c r="F260" t="s">
        <v>2349</v>
      </c>
      <c r="G260" t="s">
        <v>2349</v>
      </c>
      <c r="H260" t="s">
        <v>2349</v>
      </c>
      <c r="J260" s="5" t="e">
        <f>ABS(F260-G260)/ABS(F260)</f>
        <v>#VALUE!</v>
      </c>
      <c r="K260" s="5" t="e">
        <f>ABS(G260-H260)/ABS(G260)</f>
        <v>#VALUE!</v>
      </c>
    </row>
    <row r="261" spans="3:11" x14ac:dyDescent="0.2">
      <c r="C261" t="s">
        <v>1843</v>
      </c>
      <c r="D261" t="b">
        <f ca="1">IF(CELL("format",F261)="G",IF(ABS(F261-G261) &lt;= ABS(F261*B$3),TRUE,FALSE),IF(F261=G261,TRUE,FALSE))</f>
        <v>1</v>
      </c>
      <c r="E261" s="5">
        <f>ABS(F261-G261)/ABS(F261)</f>
        <v>0</v>
      </c>
      <c r="F261">
        <v>31</v>
      </c>
      <c r="G261">
        <v>31</v>
      </c>
      <c r="H261">
        <v>31</v>
      </c>
      <c r="J261" s="5">
        <f>ABS(F261-G261)/ABS(F261)</f>
        <v>0</v>
      </c>
      <c r="K261" s="5">
        <f>ABS(G261-H261)/ABS(G261)</f>
        <v>0</v>
      </c>
    </row>
    <row r="262" spans="3:11" x14ac:dyDescent="0.2">
      <c r="C262" t="s">
        <v>1844</v>
      </c>
      <c r="D262" t="b">
        <f ca="1">IF(CELL("format",F262)="G",IF(ABS(F262-G262) &lt;= ABS(F262*B$3),TRUE,FALSE),IF(F262=G262,TRUE,FALSE))</f>
        <v>1</v>
      </c>
      <c r="E262" s="5">
        <f>ABS(F262-G262)/ABS(F262)</f>
        <v>0</v>
      </c>
      <c r="F262">
        <v>24</v>
      </c>
      <c r="G262">
        <v>24</v>
      </c>
      <c r="H262">
        <v>24</v>
      </c>
      <c r="J262" s="5">
        <f>ABS(F262-G262)/ABS(F262)</f>
        <v>0</v>
      </c>
      <c r="K262" s="5">
        <f>ABS(G262-H262)/ABS(G262)</f>
        <v>0</v>
      </c>
    </row>
    <row r="263" spans="3:11" x14ac:dyDescent="0.2">
      <c r="C263" t="s">
        <v>1845</v>
      </c>
      <c r="D263" t="b">
        <f ca="1">IF(CELL("format",F263)="G",IF(ABS(F263-G263) &lt;= ABS(F263*B$3),TRUE,FALSE),IF(F263=G263,TRUE,FALSE))</f>
        <v>1</v>
      </c>
      <c r="E263" s="5">
        <f>ABS(F263-G263)/ABS(F263)</f>
        <v>0</v>
      </c>
      <c r="F263">
        <v>3.1000399999999999</v>
      </c>
      <c r="G263">
        <v>3.1000399999999999</v>
      </c>
      <c r="H263">
        <v>3.1000399999999999</v>
      </c>
      <c r="J263" s="5">
        <f>ABS(F263-G263)/ABS(F263)</f>
        <v>0</v>
      </c>
      <c r="K263" s="5">
        <f>ABS(G263-H263)/ABS(G263)</f>
        <v>0</v>
      </c>
    </row>
    <row r="264" spans="3:11" x14ac:dyDescent="0.2">
      <c r="C264" t="s">
        <v>1846</v>
      </c>
      <c r="D264" t="e">
        <f ca="1">IF(CELL("format",F264)="G",IF(ABS(F264-G264) &lt;= ABS(F264*B$3),TRUE,FALSE),IF(F264=G264,TRUE,FALSE))</f>
        <v>#VALUE!</v>
      </c>
      <c r="E264" s="5" t="e">
        <f>ABS(F264-G264)/ABS(F264)</f>
        <v>#VALUE!</v>
      </c>
      <c r="F264" t="s">
        <v>2349</v>
      </c>
      <c r="G264" t="s">
        <v>2349</v>
      </c>
      <c r="H264" t="s">
        <v>2349</v>
      </c>
      <c r="J264" s="5" t="e">
        <f>ABS(F264-G264)/ABS(F264)</f>
        <v>#VALUE!</v>
      </c>
      <c r="K264" s="5" t="e">
        <f>ABS(G264-H264)/ABS(G264)</f>
        <v>#VALUE!</v>
      </c>
    </row>
    <row r="265" spans="3:11" x14ac:dyDescent="0.2">
      <c r="C265" t="s">
        <v>1847</v>
      </c>
      <c r="D265" t="b">
        <f ca="1">IF(CELL("format",F265)="G",IF(ABS(F265-G265) &lt;= ABS(F265*B$3),TRUE,FALSE),IF(F265=G265,TRUE,FALSE))</f>
        <v>1</v>
      </c>
      <c r="E265" s="5">
        <f>ABS(F265-G265)/ABS(F265)</f>
        <v>0</v>
      </c>
      <c r="F265">
        <v>31</v>
      </c>
      <c r="G265">
        <v>31</v>
      </c>
      <c r="H265">
        <v>31</v>
      </c>
      <c r="J265" s="5">
        <f>ABS(F265-G265)/ABS(F265)</f>
        <v>0</v>
      </c>
      <c r="K265" s="5">
        <f>ABS(G265-H265)/ABS(G265)</f>
        <v>0</v>
      </c>
    </row>
    <row r="266" spans="3:11" x14ac:dyDescent="0.2">
      <c r="C266" t="s">
        <v>1848</v>
      </c>
      <c r="D266" t="b">
        <f ca="1">IF(CELL("format",F266)="G",IF(ABS(F266-G266) &lt;= ABS(F266*B$3),TRUE,FALSE),IF(F266=G266,TRUE,FALSE))</f>
        <v>1</v>
      </c>
      <c r="E266" s="5">
        <f>ABS(F266-G266)/ABS(F266)</f>
        <v>0</v>
      </c>
      <c r="F266">
        <v>24</v>
      </c>
      <c r="G266">
        <v>24</v>
      </c>
      <c r="H266">
        <v>24</v>
      </c>
      <c r="J266" s="5">
        <f>ABS(F266-G266)/ABS(F266)</f>
        <v>0</v>
      </c>
      <c r="K266" s="5">
        <f>ABS(G266-H266)/ABS(G266)</f>
        <v>0</v>
      </c>
    </row>
    <row r="267" spans="3:11" x14ac:dyDescent="0.2">
      <c r="C267" t="s">
        <v>1849</v>
      </c>
      <c r="D267" t="b">
        <f ca="1">IF(CELL("format",F267)="G",IF(ABS(F267-G267) &lt;= ABS(F267*B$3),TRUE,FALSE),IF(F267=G267,TRUE,FALSE))</f>
        <v>1</v>
      </c>
      <c r="E267" s="5">
        <f>ABS(F267-G267)/ABS(F267)</f>
        <v>0</v>
      </c>
      <c r="F267">
        <v>3.0909300000000002</v>
      </c>
      <c r="G267">
        <v>3.0909300000000002</v>
      </c>
      <c r="H267">
        <v>3.0909300000000002</v>
      </c>
      <c r="J267" s="5">
        <f>ABS(F267-G267)/ABS(F267)</f>
        <v>0</v>
      </c>
      <c r="K267" s="5">
        <f>ABS(G267-H267)/ABS(G267)</f>
        <v>0</v>
      </c>
    </row>
    <row r="268" spans="3:11" x14ac:dyDescent="0.2">
      <c r="C268" t="s">
        <v>1850</v>
      </c>
      <c r="D268" t="e">
        <f ca="1">IF(CELL("format",F268)="G",IF(ABS(F268-G268) &lt;= ABS(F268*B$3),TRUE,FALSE),IF(F268=G268,TRUE,FALSE))</f>
        <v>#VALUE!</v>
      </c>
      <c r="E268" s="5" t="e">
        <f>ABS(F268-G268)/ABS(F268)</f>
        <v>#VALUE!</v>
      </c>
      <c r="F268" t="s">
        <v>2349</v>
      </c>
      <c r="G268" t="s">
        <v>2349</v>
      </c>
      <c r="H268" t="s">
        <v>2349</v>
      </c>
      <c r="J268" s="5" t="e">
        <f>ABS(F268-G268)/ABS(F268)</f>
        <v>#VALUE!</v>
      </c>
      <c r="K268" s="5" t="e">
        <f>ABS(G268-H268)/ABS(G268)</f>
        <v>#VALUE!</v>
      </c>
    </row>
    <row r="269" spans="3:11" x14ac:dyDescent="0.2">
      <c r="C269" t="s">
        <v>1851</v>
      </c>
      <c r="D269" t="b">
        <f ca="1">IF(CELL("format",F269)="G",IF(ABS(F269-G269) &lt;= ABS(F269*B$3),TRUE,FALSE),IF(F269=G269,TRUE,FALSE))</f>
        <v>1</v>
      </c>
      <c r="E269" s="5">
        <f>ABS(F269-G269)/ABS(F269)</f>
        <v>0</v>
      </c>
      <c r="F269">
        <v>31</v>
      </c>
      <c r="G269">
        <v>31</v>
      </c>
      <c r="H269">
        <v>31</v>
      </c>
      <c r="J269" s="5">
        <f>ABS(F269-G269)/ABS(F269)</f>
        <v>0</v>
      </c>
      <c r="K269" s="5">
        <f>ABS(G269-H269)/ABS(G269)</f>
        <v>0</v>
      </c>
    </row>
    <row r="270" spans="3:11" x14ac:dyDescent="0.2">
      <c r="C270" t="s">
        <v>1852</v>
      </c>
      <c r="D270" t="b">
        <f ca="1">IF(CELL("format",F270)="G",IF(ABS(F270-G270) &lt;= ABS(F270*B$3),TRUE,FALSE),IF(F270=G270,TRUE,FALSE))</f>
        <v>1</v>
      </c>
      <c r="E270" s="5">
        <f>ABS(F270-G270)/ABS(F270)</f>
        <v>0</v>
      </c>
      <c r="F270">
        <v>24</v>
      </c>
      <c r="G270">
        <v>24</v>
      </c>
      <c r="H270">
        <v>24</v>
      </c>
      <c r="J270" s="5">
        <f>ABS(F270-G270)/ABS(F270)</f>
        <v>0</v>
      </c>
      <c r="K270" s="5">
        <f>ABS(G270-H270)/ABS(G270)</f>
        <v>0</v>
      </c>
    </row>
    <row r="271" spans="3:11" x14ac:dyDescent="0.2">
      <c r="C271" t="s">
        <v>1853</v>
      </c>
      <c r="D271" t="b">
        <f ca="1">IF(CELL("format",F271)="G",IF(ABS(F271-G271) &lt;= ABS(F271*B$3),TRUE,FALSE),IF(F271=G271,TRUE,FALSE))</f>
        <v>1</v>
      </c>
      <c r="E271" s="5">
        <f>ABS(F271-G271)/ABS(F271)</f>
        <v>0</v>
      </c>
      <c r="F271">
        <v>3.2069100000000001</v>
      </c>
      <c r="G271">
        <v>3.2069100000000001</v>
      </c>
      <c r="H271">
        <v>3.2069100000000001</v>
      </c>
      <c r="J271" s="5">
        <f>ABS(F271-G271)/ABS(F271)</f>
        <v>0</v>
      </c>
      <c r="K271" s="5">
        <f>ABS(G271-H271)/ABS(G271)</f>
        <v>0</v>
      </c>
    </row>
    <row r="272" spans="3:11" x14ac:dyDescent="0.2">
      <c r="C272" t="s">
        <v>1854</v>
      </c>
      <c r="D272" t="e">
        <f ca="1">IF(CELL("format",F272)="G",IF(ABS(F272-G272) &lt;= ABS(F272*B$3),TRUE,FALSE),IF(F272=G272,TRUE,FALSE))</f>
        <v>#VALUE!</v>
      </c>
      <c r="E272" s="5" t="e">
        <f>ABS(F272-G272)/ABS(F272)</f>
        <v>#VALUE!</v>
      </c>
      <c r="F272" t="s">
        <v>2349</v>
      </c>
      <c r="G272" t="s">
        <v>2349</v>
      </c>
      <c r="H272" t="s">
        <v>2349</v>
      </c>
      <c r="J272" s="5" t="e">
        <f>ABS(F272-G272)/ABS(F272)</f>
        <v>#VALUE!</v>
      </c>
      <c r="K272" s="5" t="e">
        <f>ABS(G272-H272)/ABS(G272)</f>
        <v>#VALUE!</v>
      </c>
    </row>
    <row r="273" spans="3:11" x14ac:dyDescent="0.2">
      <c r="C273" t="s">
        <v>1855</v>
      </c>
      <c r="D273" t="b">
        <f ca="1">IF(CELL("format",F273)="G",IF(ABS(F273-G273) &lt;= ABS(F273*B$3),TRUE,FALSE),IF(F273=G273,TRUE,FALSE))</f>
        <v>1</v>
      </c>
      <c r="E273" s="5">
        <f>ABS(F273-G273)/ABS(F273)</f>
        <v>0</v>
      </c>
      <c r="F273">
        <v>31</v>
      </c>
      <c r="G273">
        <v>31</v>
      </c>
      <c r="H273">
        <v>31</v>
      </c>
      <c r="J273" s="5">
        <f>ABS(F273-G273)/ABS(F273)</f>
        <v>0</v>
      </c>
      <c r="K273" s="5">
        <f>ABS(G273-H273)/ABS(G273)</f>
        <v>0</v>
      </c>
    </row>
    <row r="274" spans="3:11" x14ac:dyDescent="0.2">
      <c r="C274" t="s">
        <v>1856</v>
      </c>
      <c r="D274" t="b">
        <f ca="1">IF(CELL("format",F274)="G",IF(ABS(F274-G274) &lt;= ABS(F274*B$3),TRUE,FALSE),IF(F274=G274,TRUE,FALSE))</f>
        <v>1</v>
      </c>
      <c r="E274" s="5">
        <f>ABS(F274-G274)/ABS(F274)</f>
        <v>0</v>
      </c>
      <c r="F274">
        <v>24</v>
      </c>
      <c r="G274">
        <v>24</v>
      </c>
      <c r="H274">
        <v>24</v>
      </c>
      <c r="J274" s="5">
        <f>ABS(F274-G274)/ABS(F274)</f>
        <v>0</v>
      </c>
      <c r="K274" s="5">
        <f>ABS(G274-H274)/ABS(G274)</f>
        <v>0</v>
      </c>
    </row>
    <row r="275" spans="3:11" x14ac:dyDescent="0.2">
      <c r="C275" t="s">
        <v>1857</v>
      </c>
      <c r="D275" t="b">
        <f ca="1">IF(CELL("format",F275)="G",IF(ABS(F275-G275) &lt;= ABS(F275*B$3),TRUE,FALSE),IF(F275=G275,TRUE,FALSE))</f>
        <v>1</v>
      </c>
      <c r="E275" s="5">
        <f>ABS(F275-G275)/ABS(F275)</f>
        <v>0</v>
      </c>
      <c r="F275">
        <v>2.9235799999999998</v>
      </c>
      <c r="G275">
        <v>2.9235799999999998</v>
      </c>
      <c r="H275">
        <v>2.9235799999999998</v>
      </c>
      <c r="J275" s="5">
        <f>ABS(F275-G275)/ABS(F275)</f>
        <v>0</v>
      </c>
      <c r="K275" s="5">
        <f>ABS(G275-H275)/ABS(G275)</f>
        <v>0</v>
      </c>
    </row>
    <row r="276" spans="3:11" x14ac:dyDescent="0.2">
      <c r="C276" t="s">
        <v>1858</v>
      </c>
      <c r="D276" t="e">
        <f ca="1">IF(CELL("format",F276)="G",IF(ABS(F276-G276) &lt;= ABS(F276*B$3),TRUE,FALSE),IF(F276=G276,TRUE,FALSE))</f>
        <v>#VALUE!</v>
      </c>
      <c r="E276" s="5" t="e">
        <f>ABS(F276-G276)/ABS(F276)</f>
        <v>#VALUE!</v>
      </c>
      <c r="F276" t="s">
        <v>2350</v>
      </c>
      <c r="G276" t="s">
        <v>2350</v>
      </c>
      <c r="H276" t="s">
        <v>2350</v>
      </c>
      <c r="J276" s="5" t="e">
        <f>ABS(F276-G276)/ABS(F276)</f>
        <v>#VALUE!</v>
      </c>
      <c r="K276" s="5" t="e">
        <f>ABS(G276-H276)/ABS(G276)</f>
        <v>#VALUE!</v>
      </c>
    </row>
    <row r="277" spans="3:11" x14ac:dyDescent="0.2">
      <c r="C277" t="s">
        <v>1859</v>
      </c>
      <c r="D277" t="b">
        <f ca="1">IF(CELL("format",F277)="G",IF(ABS(F277-G277) &lt;= ABS(F277*B$3),TRUE,FALSE),IF(F277=G277,TRUE,FALSE))</f>
        <v>1</v>
      </c>
      <c r="E277" s="5">
        <f>ABS(F277-G277)/ABS(F277)</f>
        <v>0</v>
      </c>
      <c r="F277">
        <v>9</v>
      </c>
      <c r="G277">
        <v>9</v>
      </c>
      <c r="H277">
        <v>9</v>
      </c>
      <c r="J277" s="5">
        <f>ABS(F277-G277)/ABS(F277)</f>
        <v>0</v>
      </c>
      <c r="K277" s="5">
        <f>ABS(G277-H277)/ABS(G277)</f>
        <v>0</v>
      </c>
    </row>
    <row r="278" spans="3:11" x14ac:dyDescent="0.2">
      <c r="C278" t="s">
        <v>1860</v>
      </c>
      <c r="D278" t="b">
        <f ca="1">IF(CELL("format",F278)="G",IF(ABS(F278-G278) &lt;= ABS(F278*B$3),TRUE,FALSE),IF(F278=G278,TRUE,FALSE))</f>
        <v>1</v>
      </c>
      <c r="E278" s="5">
        <f>ABS(F278-G278)/ABS(F278)</f>
        <v>0</v>
      </c>
      <c r="F278">
        <v>6</v>
      </c>
      <c r="G278">
        <v>6</v>
      </c>
      <c r="H278">
        <v>6</v>
      </c>
      <c r="J278" s="5">
        <f>ABS(F278-G278)/ABS(F278)</f>
        <v>0</v>
      </c>
      <c r="K278" s="5">
        <f>ABS(G278-H278)/ABS(G278)</f>
        <v>0</v>
      </c>
    </row>
    <row r="279" spans="3:11" x14ac:dyDescent="0.2">
      <c r="C279" t="s">
        <v>1861</v>
      </c>
      <c r="D279" t="b">
        <f ca="1">IF(CELL("format",F279)="G",IF(ABS(F279-G279) &lt;= ABS(F279*B$3),TRUE,FALSE),IF(F279=G279,TRUE,FALSE))</f>
        <v>1</v>
      </c>
      <c r="E279" s="5">
        <f>ABS(F279-G279)/ABS(F279)</f>
        <v>0</v>
      </c>
      <c r="F279">
        <v>2.7490199999999998</v>
      </c>
      <c r="G279">
        <v>2.7490199999999998</v>
      </c>
      <c r="H279">
        <v>2.7490199999999998</v>
      </c>
      <c r="J279" s="5">
        <f>ABS(F279-G279)/ABS(F279)</f>
        <v>0</v>
      </c>
      <c r="K279" s="5">
        <f>ABS(G279-H279)/ABS(G279)</f>
        <v>0</v>
      </c>
    </row>
    <row r="280" spans="3:11" x14ac:dyDescent="0.2">
      <c r="C280" t="s">
        <v>1862</v>
      </c>
      <c r="D280" t="e">
        <f ca="1">IF(CELL("format",F280)="G",IF(ABS(F280-G280) &lt;= ABS(F280*B$3),TRUE,FALSE),IF(F280=G280,TRUE,FALSE))</f>
        <v>#VALUE!</v>
      </c>
      <c r="E280" s="5" t="e">
        <f>ABS(F280-G280)/ABS(F280)</f>
        <v>#VALUE!</v>
      </c>
      <c r="F280" t="s">
        <v>2350</v>
      </c>
      <c r="G280" t="s">
        <v>2350</v>
      </c>
      <c r="H280" t="s">
        <v>2350</v>
      </c>
      <c r="J280" s="5" t="e">
        <f>ABS(F280-G280)/ABS(F280)</f>
        <v>#VALUE!</v>
      </c>
      <c r="K280" s="5" t="e">
        <f>ABS(G280-H280)/ABS(G280)</f>
        <v>#VALUE!</v>
      </c>
    </row>
    <row r="281" spans="3:11" x14ac:dyDescent="0.2">
      <c r="C281" t="s">
        <v>1863</v>
      </c>
      <c r="D281" t="b">
        <f ca="1">IF(CELL("format",F281)="G",IF(ABS(F281-G281) &lt;= ABS(F281*B$3),TRUE,FALSE),IF(F281=G281,TRUE,FALSE))</f>
        <v>1</v>
      </c>
      <c r="E281" s="5">
        <f>ABS(F281-G281)/ABS(F281)</f>
        <v>0</v>
      </c>
      <c r="F281">
        <v>9</v>
      </c>
      <c r="G281">
        <v>9</v>
      </c>
      <c r="H281">
        <v>9</v>
      </c>
      <c r="J281" s="5">
        <f>ABS(F281-G281)/ABS(F281)</f>
        <v>0</v>
      </c>
      <c r="K281" s="5">
        <f>ABS(G281-H281)/ABS(G281)</f>
        <v>0</v>
      </c>
    </row>
    <row r="282" spans="3:11" x14ac:dyDescent="0.2">
      <c r="C282" t="s">
        <v>1864</v>
      </c>
      <c r="D282" t="b">
        <f ca="1">IF(CELL("format",F282)="G",IF(ABS(F282-G282) &lt;= ABS(F282*B$3),TRUE,FALSE),IF(F282=G282,TRUE,FALSE))</f>
        <v>1</v>
      </c>
      <c r="E282" s="5">
        <f>ABS(F282-G282)/ABS(F282)</f>
        <v>0</v>
      </c>
      <c r="F282">
        <v>6</v>
      </c>
      <c r="G282">
        <v>6</v>
      </c>
      <c r="H282">
        <v>6</v>
      </c>
      <c r="J282" s="5">
        <f>ABS(F282-G282)/ABS(F282)</f>
        <v>0</v>
      </c>
      <c r="K282" s="5">
        <f>ABS(G282-H282)/ABS(G282)</f>
        <v>0</v>
      </c>
    </row>
    <row r="283" spans="3:11" x14ac:dyDescent="0.2">
      <c r="C283" t="s">
        <v>1865</v>
      </c>
      <c r="D283" t="b">
        <f ca="1">IF(CELL("format",F283)="G",IF(ABS(F283-G283) &lt;= ABS(F283*B$3),TRUE,FALSE),IF(F283=G283,TRUE,FALSE))</f>
        <v>1</v>
      </c>
      <c r="E283" s="5">
        <f>ABS(F283-G283)/ABS(F283)</f>
        <v>0</v>
      </c>
      <c r="F283">
        <v>6.3521299999999998</v>
      </c>
      <c r="G283">
        <v>6.3521299999999998</v>
      </c>
      <c r="H283">
        <v>6.3521299999999998</v>
      </c>
      <c r="J283" s="5">
        <f>ABS(F283-G283)/ABS(F283)</f>
        <v>0</v>
      </c>
      <c r="K283" s="5">
        <f>ABS(G283-H283)/ABS(G283)</f>
        <v>0</v>
      </c>
    </row>
    <row r="284" spans="3:11" x14ac:dyDescent="0.2">
      <c r="C284" t="s">
        <v>1866</v>
      </c>
      <c r="D284" t="e">
        <f ca="1">IF(CELL("format",F284)="G",IF(ABS(F284-G284) &lt;= ABS(F284*B$3),TRUE,FALSE),IF(F284=G284,TRUE,FALSE))</f>
        <v>#VALUE!</v>
      </c>
      <c r="E284" s="5" t="e">
        <f>ABS(F284-G284)/ABS(F284)</f>
        <v>#VALUE!</v>
      </c>
      <c r="F284" t="s">
        <v>2351</v>
      </c>
      <c r="G284" t="s">
        <v>2351</v>
      </c>
      <c r="H284" t="s">
        <v>2351</v>
      </c>
      <c r="J284" s="5" t="e">
        <f>ABS(F284-G284)/ABS(F284)</f>
        <v>#VALUE!</v>
      </c>
      <c r="K284" s="5" t="e">
        <f>ABS(G284-H284)/ABS(G284)</f>
        <v>#VALUE!</v>
      </c>
    </row>
    <row r="285" spans="3:11" x14ac:dyDescent="0.2">
      <c r="C285" t="s">
        <v>1867</v>
      </c>
      <c r="D285" t="b">
        <f ca="1">IF(CELL("format",F285)="G",IF(ABS(F285-G285) &lt;= ABS(F285*B$3),TRUE,FALSE),IF(F285=G285,TRUE,FALSE))</f>
        <v>1</v>
      </c>
      <c r="E285" s="5">
        <f>ABS(F285-G285)/ABS(F285)</f>
        <v>0</v>
      </c>
      <c r="F285">
        <v>22</v>
      </c>
      <c r="G285">
        <v>22</v>
      </c>
      <c r="H285">
        <v>22</v>
      </c>
      <c r="J285" s="5">
        <f>ABS(F285-G285)/ABS(F285)</f>
        <v>0</v>
      </c>
      <c r="K285" s="5">
        <f>ABS(G285-H285)/ABS(G285)</f>
        <v>0</v>
      </c>
    </row>
    <row r="286" spans="3:11" x14ac:dyDescent="0.2">
      <c r="C286" t="s">
        <v>1868</v>
      </c>
      <c r="D286" t="b">
        <f ca="1">IF(CELL("format",F286)="G",IF(ABS(F286-G286) &lt;= ABS(F286*B$3),TRUE,FALSE),IF(F286=G286,TRUE,FALSE))</f>
        <v>1</v>
      </c>
      <c r="E286" s="5">
        <f>ABS(F286-G286)/ABS(F286)</f>
        <v>0</v>
      </c>
      <c r="F286">
        <v>14</v>
      </c>
      <c r="G286">
        <v>14</v>
      </c>
      <c r="H286">
        <v>14</v>
      </c>
      <c r="J286" s="5">
        <f>ABS(F286-G286)/ABS(F286)</f>
        <v>0</v>
      </c>
      <c r="K286" s="5">
        <f>ABS(G286-H286)/ABS(G286)</f>
        <v>0</v>
      </c>
    </row>
    <row r="287" spans="3:11" x14ac:dyDescent="0.2">
      <c r="C287" t="s">
        <v>1869</v>
      </c>
      <c r="D287" t="b">
        <f ca="1">IF(CELL("format",F287)="G",IF(ABS(F287-G287) &lt;= ABS(F287*B$3),TRUE,FALSE),IF(F287=G287,TRUE,FALSE))</f>
        <v>1</v>
      </c>
      <c r="E287" s="5">
        <f>ABS(F287-G287)/ABS(F287)</f>
        <v>0</v>
      </c>
      <c r="F287">
        <v>6.1361600000000003</v>
      </c>
      <c r="G287">
        <v>6.1361600000000003</v>
      </c>
      <c r="H287">
        <v>6.1361600000000003</v>
      </c>
      <c r="J287" s="5">
        <f>ABS(F287-G287)/ABS(F287)</f>
        <v>0</v>
      </c>
      <c r="K287" s="5">
        <f>ABS(G287-H287)/ABS(G287)</f>
        <v>0</v>
      </c>
    </row>
    <row r="288" spans="3:11" x14ac:dyDescent="0.2">
      <c r="C288" t="s">
        <v>1870</v>
      </c>
      <c r="D288" t="e">
        <f ca="1">IF(CELL("format",F288)="G",IF(ABS(F288-G288) &lt;= ABS(F288*B$3),TRUE,FALSE),IF(F288=G288,TRUE,FALSE))</f>
        <v>#VALUE!</v>
      </c>
      <c r="E288" s="5" t="e">
        <f>ABS(F288-G288)/ABS(F288)</f>
        <v>#VALUE!</v>
      </c>
      <c r="F288" t="s">
        <v>2349</v>
      </c>
      <c r="G288" t="s">
        <v>2349</v>
      </c>
      <c r="H288" t="s">
        <v>2349</v>
      </c>
      <c r="J288" s="5" t="e">
        <f>ABS(F288-G288)/ABS(F288)</f>
        <v>#VALUE!</v>
      </c>
      <c r="K288" s="5" t="e">
        <f>ABS(G288-H288)/ABS(G288)</f>
        <v>#VALUE!</v>
      </c>
    </row>
    <row r="289" spans="3:11" x14ac:dyDescent="0.2">
      <c r="C289" t="s">
        <v>1871</v>
      </c>
      <c r="D289" t="b">
        <f ca="1">IF(CELL("format",F289)="G",IF(ABS(F289-G289) &lt;= ABS(F289*B$3),TRUE,FALSE),IF(F289=G289,TRUE,FALSE))</f>
        <v>1</v>
      </c>
      <c r="E289" s="5">
        <f>ABS(F289-G289)/ABS(F289)</f>
        <v>0</v>
      </c>
      <c r="F289">
        <v>1</v>
      </c>
      <c r="G289">
        <v>1</v>
      </c>
      <c r="H289">
        <v>1</v>
      </c>
      <c r="J289" s="5">
        <f>ABS(F289-G289)/ABS(F289)</f>
        <v>0</v>
      </c>
      <c r="K289" s="5">
        <f>ABS(G289-H289)/ABS(G289)</f>
        <v>0</v>
      </c>
    </row>
    <row r="290" spans="3:11" x14ac:dyDescent="0.2">
      <c r="C290" t="s">
        <v>1872</v>
      </c>
      <c r="D290" t="b">
        <f ca="1">IF(CELL("format",F290)="G",IF(ABS(F290-G290) &lt;= ABS(F290*B$3),TRUE,FALSE),IF(F290=G290,TRUE,FALSE))</f>
        <v>1</v>
      </c>
      <c r="E290" s="5">
        <f>ABS(F290-G290)/ABS(F290)</f>
        <v>0</v>
      </c>
      <c r="F290">
        <v>14</v>
      </c>
      <c r="G290">
        <v>14</v>
      </c>
      <c r="H290">
        <v>14</v>
      </c>
      <c r="J290" s="5">
        <f>ABS(F290-G290)/ABS(F290)</f>
        <v>0</v>
      </c>
      <c r="K290" s="5">
        <f>ABS(G290-H290)/ABS(G290)</f>
        <v>0</v>
      </c>
    </row>
    <row r="291" spans="3:11" x14ac:dyDescent="0.2">
      <c r="C291" t="s">
        <v>1873</v>
      </c>
      <c r="D291" t="b">
        <f ca="1">IF(CELL("format",F291)="G",IF(ABS(F291-G291) &lt;= ABS(F291*B$3),TRUE,FALSE),IF(F291=G291,TRUE,FALSE))</f>
        <v>1</v>
      </c>
      <c r="E291" s="5">
        <f>ABS(F291-G291)/ABS(F291)</f>
        <v>0</v>
      </c>
      <c r="F291">
        <v>4.7972299999999999</v>
      </c>
      <c r="G291">
        <v>4.7972299999999999</v>
      </c>
      <c r="H291">
        <v>4.7972299999999999</v>
      </c>
      <c r="J291" s="5">
        <f>ABS(F291-G291)/ABS(F291)</f>
        <v>0</v>
      </c>
      <c r="K291" s="5">
        <f>ABS(G291-H291)/ABS(G291)</f>
        <v>0</v>
      </c>
    </row>
    <row r="292" spans="3:11" x14ac:dyDescent="0.2">
      <c r="C292" t="s">
        <v>1874</v>
      </c>
      <c r="D292" t="e">
        <f ca="1">IF(CELL("format",F292)="G",IF(ABS(F292-G292) &lt;= ABS(F292*B$3),TRUE,FALSE),IF(F292=G292,TRUE,FALSE))</f>
        <v>#VALUE!</v>
      </c>
      <c r="E292" s="5" t="e">
        <f>ABS(F292-G292)/ABS(F292)</f>
        <v>#VALUE!</v>
      </c>
      <c r="F292" t="s">
        <v>2353</v>
      </c>
      <c r="G292" t="s">
        <v>2353</v>
      </c>
      <c r="H292" t="s">
        <v>2353</v>
      </c>
      <c r="J292" s="5" t="e">
        <f>ABS(F292-G292)/ABS(F292)</f>
        <v>#VALUE!</v>
      </c>
      <c r="K292" s="5" t="e">
        <f>ABS(G292-H292)/ABS(G292)</f>
        <v>#VALUE!</v>
      </c>
    </row>
    <row r="293" spans="3:11" x14ac:dyDescent="0.2">
      <c r="C293" t="s">
        <v>1875</v>
      </c>
      <c r="D293" t="b">
        <f ca="1">IF(CELL("format",F293)="G",IF(ABS(F293-G293) &lt;= ABS(F293*B$3),TRUE,FALSE),IF(F293=G293,TRUE,FALSE))</f>
        <v>1</v>
      </c>
      <c r="E293" s="5">
        <f>ABS(F293-G293)/ABS(F293)</f>
        <v>0</v>
      </c>
      <c r="F293">
        <v>26</v>
      </c>
      <c r="G293">
        <v>26</v>
      </c>
      <c r="H293">
        <v>26</v>
      </c>
      <c r="J293" s="5">
        <f>ABS(F293-G293)/ABS(F293)</f>
        <v>0</v>
      </c>
      <c r="K293" s="5">
        <f>ABS(G293-H293)/ABS(G293)</f>
        <v>0</v>
      </c>
    </row>
    <row r="294" spans="3:11" x14ac:dyDescent="0.2">
      <c r="C294" t="s">
        <v>1876</v>
      </c>
      <c r="D294" t="b">
        <f ca="1">IF(CELL("format",F294)="G",IF(ABS(F294-G294) &lt;= ABS(F294*B$3),TRUE,FALSE),IF(F294=G294,TRUE,FALSE))</f>
        <v>1</v>
      </c>
      <c r="E294" s="5">
        <f>ABS(F294-G294)/ABS(F294)</f>
        <v>0</v>
      </c>
      <c r="F294">
        <v>17</v>
      </c>
      <c r="G294">
        <v>17</v>
      </c>
      <c r="H294">
        <v>17</v>
      </c>
      <c r="J294" s="5">
        <f>ABS(F294-G294)/ABS(F294)</f>
        <v>0</v>
      </c>
      <c r="K294" s="5">
        <f>ABS(G294-H294)/ABS(G294)</f>
        <v>0</v>
      </c>
    </row>
    <row r="295" spans="3:11" x14ac:dyDescent="0.2">
      <c r="C295" t="s">
        <v>1877</v>
      </c>
      <c r="D295" t="b">
        <f ca="1">IF(CELL("format",F295)="G",IF(ABS(F295-G295) &lt;= ABS(F295*B$3),TRUE,FALSE),IF(F295=G295,TRUE,FALSE))</f>
        <v>1</v>
      </c>
      <c r="E295" s="5">
        <f>ABS(F295-G295)/ABS(F295)</f>
        <v>0</v>
      </c>
      <c r="F295">
        <v>4.21204</v>
      </c>
      <c r="G295">
        <v>4.21204</v>
      </c>
      <c r="H295">
        <v>4.21204</v>
      </c>
      <c r="J295" s="5">
        <f>ABS(F295-G295)/ABS(F295)</f>
        <v>0</v>
      </c>
      <c r="K295" s="5">
        <f>ABS(G295-H295)/ABS(G295)</f>
        <v>0</v>
      </c>
    </row>
    <row r="296" spans="3:11" x14ac:dyDescent="0.2">
      <c r="C296" t="s">
        <v>1878</v>
      </c>
      <c r="D296" t="e">
        <f ca="1">IF(CELL("format",F296)="G",IF(ABS(F296-G296) &lt;= ABS(F296*B$3),TRUE,FALSE),IF(F296=G296,TRUE,FALSE))</f>
        <v>#VALUE!</v>
      </c>
      <c r="E296" s="5" t="e">
        <f>ABS(F296-G296)/ABS(F296)</f>
        <v>#VALUE!</v>
      </c>
      <c r="F296" t="s">
        <v>2353</v>
      </c>
      <c r="G296" t="s">
        <v>2353</v>
      </c>
      <c r="H296" t="s">
        <v>2353</v>
      </c>
      <c r="J296" s="5" t="e">
        <f>ABS(F296-G296)/ABS(F296)</f>
        <v>#VALUE!</v>
      </c>
      <c r="K296" s="5" t="e">
        <f>ABS(G296-H296)/ABS(G296)</f>
        <v>#VALUE!</v>
      </c>
    </row>
    <row r="297" spans="3:11" x14ac:dyDescent="0.2">
      <c r="C297" t="s">
        <v>1879</v>
      </c>
      <c r="D297" t="b">
        <f ca="1">IF(CELL("format",F297)="G",IF(ABS(F297-G297) &lt;= ABS(F297*B$3),TRUE,FALSE),IF(F297=G297,TRUE,FALSE))</f>
        <v>1</v>
      </c>
      <c r="E297" s="5">
        <f>ABS(F297-G297)/ABS(F297)</f>
        <v>0</v>
      </c>
      <c r="F297">
        <v>26</v>
      </c>
      <c r="G297">
        <v>26</v>
      </c>
      <c r="H297">
        <v>26</v>
      </c>
      <c r="J297" s="5">
        <f>ABS(F297-G297)/ABS(F297)</f>
        <v>0</v>
      </c>
      <c r="K297" s="5">
        <f>ABS(G297-H297)/ABS(G297)</f>
        <v>0</v>
      </c>
    </row>
    <row r="298" spans="3:11" x14ac:dyDescent="0.2">
      <c r="C298" t="s">
        <v>1880</v>
      </c>
      <c r="D298" t="b">
        <f ca="1">IF(CELL("format",F298)="G",IF(ABS(F298-G298) &lt;= ABS(F298*B$3),TRUE,FALSE),IF(F298=G298,TRUE,FALSE))</f>
        <v>1</v>
      </c>
      <c r="E298" s="5">
        <f>ABS(F298-G298)/ABS(F298)</f>
        <v>0</v>
      </c>
      <c r="F298">
        <v>17</v>
      </c>
      <c r="G298">
        <v>17</v>
      </c>
      <c r="H298">
        <v>17</v>
      </c>
      <c r="J298" s="5">
        <f>ABS(F298-G298)/ABS(F298)</f>
        <v>0</v>
      </c>
      <c r="K298" s="5">
        <f>ABS(G298-H298)/ABS(G298)</f>
        <v>0</v>
      </c>
    </row>
    <row r="299" spans="3:11" x14ac:dyDescent="0.2">
      <c r="C299" t="s">
        <v>1881</v>
      </c>
      <c r="D299" t="b">
        <f ca="1">IF(CELL("format",F299)="G",IF(ABS(F299-G299) &lt;= ABS(F299*B$3),TRUE,FALSE),IF(F299=G299,TRUE,FALSE))</f>
        <v>1</v>
      </c>
      <c r="E299" s="5">
        <f>ABS(F299-G299)/ABS(F299)</f>
        <v>0</v>
      </c>
      <c r="F299">
        <v>6.2979700000000003</v>
      </c>
      <c r="G299">
        <v>6.2979700000000003</v>
      </c>
      <c r="H299">
        <v>6.2979700000000003</v>
      </c>
      <c r="J299" s="5">
        <f>ABS(F299-G299)/ABS(F299)</f>
        <v>0</v>
      </c>
      <c r="K299" s="5">
        <f>ABS(G299-H299)/ABS(G299)</f>
        <v>0</v>
      </c>
    </row>
    <row r="300" spans="3:11" x14ac:dyDescent="0.2">
      <c r="C300" t="s">
        <v>1882</v>
      </c>
      <c r="D300" t="e">
        <f ca="1">IF(CELL("format",F300)="G",IF(ABS(F300-G300) &lt;= ABS(F300*B$3),TRUE,FALSE),IF(F300=G300,TRUE,FALSE))</f>
        <v>#VALUE!</v>
      </c>
      <c r="E300" s="5" t="e">
        <f>ABS(F300-G300)/ABS(F300)</f>
        <v>#VALUE!</v>
      </c>
      <c r="F300" t="s">
        <v>2351</v>
      </c>
      <c r="G300" t="s">
        <v>2351</v>
      </c>
      <c r="H300" t="s">
        <v>2351</v>
      </c>
      <c r="J300" s="5" t="e">
        <f>ABS(F300-G300)/ABS(F300)</f>
        <v>#VALUE!</v>
      </c>
      <c r="K300" s="5" t="e">
        <f>ABS(G300-H300)/ABS(G300)</f>
        <v>#VALUE!</v>
      </c>
    </row>
    <row r="301" spans="3:11" x14ac:dyDescent="0.2">
      <c r="C301" t="s">
        <v>1883</v>
      </c>
      <c r="D301" t="b">
        <f ca="1">IF(CELL("format",F301)="G",IF(ABS(F301-G301) &lt;= ABS(F301*B$3),TRUE,FALSE),IF(F301=G301,TRUE,FALSE))</f>
        <v>1</v>
      </c>
      <c r="E301" s="5">
        <f>ABS(F301-G301)/ABS(F301)</f>
        <v>0</v>
      </c>
      <c r="F301">
        <v>22</v>
      </c>
      <c r="G301">
        <v>22</v>
      </c>
      <c r="H301">
        <v>22</v>
      </c>
      <c r="J301" s="5">
        <f>ABS(F301-G301)/ABS(F301)</f>
        <v>0</v>
      </c>
      <c r="K301" s="5">
        <f>ABS(G301-H301)/ABS(G301)</f>
        <v>0</v>
      </c>
    </row>
    <row r="302" spans="3:11" x14ac:dyDescent="0.2">
      <c r="C302" t="s">
        <v>1884</v>
      </c>
      <c r="D302" t="b">
        <f ca="1">IF(CELL("format",F302)="G",IF(ABS(F302-G302) &lt;= ABS(F302*B$3),TRUE,FALSE),IF(F302=G302,TRUE,FALSE))</f>
        <v>1</v>
      </c>
      <c r="E302" s="5">
        <f>ABS(F302-G302)/ABS(F302)</f>
        <v>0</v>
      </c>
      <c r="F302">
        <v>14</v>
      </c>
      <c r="G302">
        <v>14</v>
      </c>
      <c r="H302">
        <v>14</v>
      </c>
      <c r="J302" s="5">
        <f>ABS(F302-G302)/ABS(F302)</f>
        <v>0</v>
      </c>
      <c r="K302" s="5">
        <f>ABS(G302-H302)/ABS(G302)</f>
        <v>0</v>
      </c>
    </row>
    <row r="303" spans="3:11" x14ac:dyDescent="0.2">
      <c r="C303" t="s">
        <v>1885</v>
      </c>
      <c r="D303" t="b">
        <f ca="1">IF(CELL("format",F303)="G",IF(ABS(F303-G303) &lt;= ABS(F303*B$3),TRUE,FALSE),IF(F303=G303,TRUE,FALSE))</f>
        <v>1</v>
      </c>
      <c r="E303" s="5">
        <f>ABS(F303-G303)/ABS(F303)</f>
        <v>0</v>
      </c>
      <c r="F303">
        <v>6.1383900000000002</v>
      </c>
      <c r="G303">
        <v>6.1383900000000002</v>
      </c>
      <c r="H303">
        <v>6.1383900000000002</v>
      </c>
      <c r="J303" s="5">
        <f>ABS(F303-G303)/ABS(F303)</f>
        <v>0</v>
      </c>
      <c r="K303" s="5">
        <f>ABS(G303-H303)/ABS(G303)</f>
        <v>0</v>
      </c>
    </row>
    <row r="304" spans="3:11" x14ac:dyDescent="0.2">
      <c r="C304" t="s">
        <v>1886</v>
      </c>
      <c r="D304" t="e">
        <f ca="1">IF(CELL("format",F304)="G",IF(ABS(F304-G304) &lt;= ABS(F304*B$3),TRUE,FALSE),IF(F304=G304,TRUE,FALSE))</f>
        <v>#VALUE!</v>
      </c>
      <c r="E304" s="5" t="e">
        <f>ABS(F304-G304)/ABS(F304)</f>
        <v>#VALUE!</v>
      </c>
      <c r="F304" t="s">
        <v>2354</v>
      </c>
      <c r="G304" t="s">
        <v>2354</v>
      </c>
      <c r="H304" t="s">
        <v>2354</v>
      </c>
      <c r="J304" s="5" t="e">
        <f>ABS(F304-G304)/ABS(F304)</f>
        <v>#VALUE!</v>
      </c>
      <c r="K304" s="5" t="e">
        <f>ABS(G304-H304)/ABS(G304)</f>
        <v>#VALUE!</v>
      </c>
    </row>
    <row r="305" spans="3:11" x14ac:dyDescent="0.2">
      <c r="C305" t="s">
        <v>1887</v>
      </c>
      <c r="D305" t="b">
        <f ca="1">IF(CELL("format",F305)="G",IF(ABS(F305-G305) &lt;= ABS(F305*B$3),TRUE,FALSE),IF(F305=G305,TRUE,FALSE))</f>
        <v>1</v>
      </c>
      <c r="E305" s="5">
        <f>ABS(F305-G305)/ABS(F305)</f>
        <v>0</v>
      </c>
      <c r="F305">
        <v>18</v>
      </c>
      <c r="G305">
        <v>18</v>
      </c>
      <c r="H305">
        <v>18</v>
      </c>
      <c r="J305" s="5">
        <f>ABS(F305-G305)/ABS(F305)</f>
        <v>0</v>
      </c>
      <c r="K305" s="5">
        <f>ABS(G305-H305)/ABS(G305)</f>
        <v>0</v>
      </c>
    </row>
    <row r="306" spans="3:11" x14ac:dyDescent="0.2">
      <c r="C306" t="s">
        <v>1888</v>
      </c>
      <c r="D306" t="b">
        <f ca="1">IF(CELL("format",F306)="G",IF(ABS(F306-G306) &lt;= ABS(F306*B$3),TRUE,FALSE),IF(F306=G306,TRUE,FALSE))</f>
        <v>1</v>
      </c>
      <c r="E306" s="5">
        <f>ABS(F306-G306)/ABS(F306)</f>
        <v>0</v>
      </c>
      <c r="F306">
        <v>14</v>
      </c>
      <c r="G306">
        <v>14</v>
      </c>
      <c r="H306">
        <v>14</v>
      </c>
      <c r="J306" s="5">
        <f>ABS(F306-G306)/ABS(F306)</f>
        <v>0</v>
      </c>
      <c r="K306" s="5">
        <f>ABS(G306-H306)/ABS(G306)</f>
        <v>0</v>
      </c>
    </row>
    <row r="307" spans="3:11" x14ac:dyDescent="0.2">
      <c r="C307" t="s">
        <v>1889</v>
      </c>
      <c r="D307" t="b">
        <f ca="1">IF(CELL("format",F307)="G",IF(ABS(F307-G307) &lt;= ABS(F307*B$3),TRUE,FALSE),IF(F307=G307,TRUE,FALSE))</f>
        <v>1</v>
      </c>
      <c r="E307" s="5">
        <f>ABS(F307-G307)/ABS(F307)</f>
        <v>0</v>
      </c>
      <c r="F307">
        <v>3.7705700000000002</v>
      </c>
      <c r="G307">
        <v>3.7705700000000002</v>
      </c>
      <c r="H307">
        <v>3.7705700000000002</v>
      </c>
      <c r="J307" s="5">
        <f>ABS(F307-G307)/ABS(F307)</f>
        <v>0</v>
      </c>
      <c r="K307" s="5">
        <f>ABS(G307-H307)/ABS(G307)</f>
        <v>0</v>
      </c>
    </row>
    <row r="308" spans="3:11" x14ac:dyDescent="0.2">
      <c r="C308" t="s">
        <v>1890</v>
      </c>
      <c r="D308" t="e">
        <f ca="1">IF(CELL("format",F308)="G",IF(ABS(F308-G308) &lt;= ABS(F308*B$3),TRUE,FALSE),IF(F308=G308,TRUE,FALSE))</f>
        <v>#VALUE!</v>
      </c>
      <c r="E308" s="5" t="e">
        <f>ABS(F308-G308)/ABS(F308)</f>
        <v>#VALUE!</v>
      </c>
      <c r="F308" t="s">
        <v>2354</v>
      </c>
      <c r="G308" t="s">
        <v>2354</v>
      </c>
      <c r="H308" t="s">
        <v>2354</v>
      </c>
      <c r="J308" s="5" t="e">
        <f>ABS(F308-G308)/ABS(F308)</f>
        <v>#VALUE!</v>
      </c>
      <c r="K308" s="5" t="e">
        <f>ABS(G308-H308)/ABS(G308)</f>
        <v>#VALUE!</v>
      </c>
    </row>
    <row r="309" spans="3:11" x14ac:dyDescent="0.2">
      <c r="C309" t="s">
        <v>1891</v>
      </c>
      <c r="D309" t="b">
        <f ca="1">IF(CELL("format",F309)="G",IF(ABS(F309-G309) &lt;= ABS(F309*B$3),TRUE,FALSE),IF(F309=G309,TRUE,FALSE))</f>
        <v>1</v>
      </c>
      <c r="E309" s="5">
        <f>ABS(F309-G309)/ABS(F309)</f>
        <v>0</v>
      </c>
      <c r="F309">
        <v>18</v>
      </c>
      <c r="G309">
        <v>18</v>
      </c>
      <c r="H309">
        <v>18</v>
      </c>
      <c r="J309" s="5">
        <f>ABS(F309-G309)/ABS(F309)</f>
        <v>0</v>
      </c>
      <c r="K309" s="5">
        <f>ABS(G309-H309)/ABS(G309)</f>
        <v>0</v>
      </c>
    </row>
    <row r="310" spans="3:11" x14ac:dyDescent="0.2">
      <c r="C310" t="s">
        <v>1892</v>
      </c>
      <c r="D310" t="b">
        <f ca="1">IF(CELL("format",F310)="G",IF(ABS(F310-G310) &lt;= ABS(F310*B$3),TRUE,FALSE),IF(F310=G310,TRUE,FALSE))</f>
        <v>1</v>
      </c>
      <c r="E310" s="5">
        <f>ABS(F310-G310)/ABS(F310)</f>
        <v>0</v>
      </c>
      <c r="F310">
        <v>14</v>
      </c>
      <c r="G310">
        <v>14</v>
      </c>
      <c r="H310">
        <v>14</v>
      </c>
      <c r="J310" s="5">
        <f>ABS(F310-G310)/ABS(F310)</f>
        <v>0</v>
      </c>
      <c r="K310" s="5">
        <f>ABS(G310-H310)/ABS(G310)</f>
        <v>0</v>
      </c>
    </row>
    <row r="311" spans="3:11" x14ac:dyDescent="0.2">
      <c r="C311" t="s">
        <v>1893</v>
      </c>
      <c r="D311" t="b">
        <f ca="1">IF(CELL("format",F311)="G",IF(ABS(F311-G311) &lt;= ABS(F311*B$3),TRUE,FALSE),IF(F311=G311,TRUE,FALSE))</f>
        <v>1</v>
      </c>
      <c r="E311" s="5">
        <f>ABS(F311-G311)/ABS(F311)</f>
        <v>0</v>
      </c>
      <c r="F311">
        <v>6.8067000000000002</v>
      </c>
      <c r="G311">
        <v>6.8067000000000002</v>
      </c>
      <c r="H311">
        <v>6.8067000000000002</v>
      </c>
      <c r="J311" s="5">
        <f>ABS(F311-G311)/ABS(F311)</f>
        <v>0</v>
      </c>
      <c r="K311" s="5">
        <f>ABS(G311-H311)/ABS(G311)</f>
        <v>0</v>
      </c>
    </row>
    <row r="312" spans="3:11" x14ac:dyDescent="0.2">
      <c r="C312" t="s">
        <v>1894</v>
      </c>
      <c r="D312" t="e">
        <f ca="1">IF(CELL("format",F312)="G",IF(ABS(F312-G312) &lt;= ABS(F312*B$3),TRUE,FALSE),IF(F312=G312,TRUE,FALSE))</f>
        <v>#VALUE!</v>
      </c>
      <c r="E312" s="5" t="e">
        <f>ABS(F312-G312)/ABS(F312)</f>
        <v>#VALUE!</v>
      </c>
      <c r="F312" t="s">
        <v>2349</v>
      </c>
      <c r="G312" t="s">
        <v>2349</v>
      </c>
      <c r="H312" t="s">
        <v>2349</v>
      </c>
      <c r="J312" s="5" t="e">
        <f>ABS(F312-G312)/ABS(F312)</f>
        <v>#VALUE!</v>
      </c>
      <c r="K312" s="5" t="e">
        <f>ABS(G312-H312)/ABS(G312)</f>
        <v>#VALUE!</v>
      </c>
    </row>
    <row r="313" spans="3:11" x14ac:dyDescent="0.2">
      <c r="C313" t="s">
        <v>1895</v>
      </c>
      <c r="D313" t="b">
        <f ca="1">IF(CELL("format",F313)="G",IF(ABS(F313-G313) &lt;= ABS(F313*B$3),TRUE,FALSE),IF(F313=G313,TRUE,FALSE))</f>
        <v>1</v>
      </c>
      <c r="E313" s="5">
        <f>ABS(F313-G313)/ABS(F313)</f>
        <v>0</v>
      </c>
      <c r="F313">
        <v>1</v>
      </c>
      <c r="G313">
        <v>1</v>
      </c>
      <c r="H313">
        <v>1</v>
      </c>
      <c r="J313" s="5">
        <f>ABS(F313-G313)/ABS(F313)</f>
        <v>0</v>
      </c>
      <c r="K313" s="5">
        <f>ABS(G313-H313)/ABS(G313)</f>
        <v>0</v>
      </c>
    </row>
    <row r="314" spans="3:11" x14ac:dyDescent="0.2">
      <c r="C314" t="s">
        <v>1896</v>
      </c>
      <c r="D314" t="b">
        <f ca="1">IF(CELL("format",F314)="G",IF(ABS(F314-G314) &lt;= ABS(F314*B$3),TRUE,FALSE),IF(F314=G314,TRUE,FALSE))</f>
        <v>1</v>
      </c>
      <c r="E314" s="5">
        <f>ABS(F314-G314)/ABS(F314)</f>
        <v>0</v>
      </c>
      <c r="F314">
        <v>13</v>
      </c>
      <c r="G314">
        <v>13</v>
      </c>
      <c r="H314">
        <v>13</v>
      </c>
      <c r="J314" s="5">
        <f>ABS(F314-G314)/ABS(F314)</f>
        <v>0</v>
      </c>
      <c r="K314" s="5">
        <f>ABS(G314-H314)/ABS(G314)</f>
        <v>0</v>
      </c>
    </row>
    <row r="315" spans="3:11" x14ac:dyDescent="0.2">
      <c r="C315" t="s">
        <v>1897</v>
      </c>
      <c r="D315" t="b">
        <f ca="1">IF(CELL("format",F315)="G",IF(ABS(F315-G315) &lt;= ABS(F315*B$3),TRUE,FALSE),IF(F315=G315,TRUE,FALSE))</f>
        <v>1</v>
      </c>
      <c r="E315" s="5">
        <f>ABS(F315-G315)/ABS(F315)</f>
        <v>0</v>
      </c>
      <c r="F315">
        <v>6.7707699999999997</v>
      </c>
      <c r="G315">
        <v>6.7707699999999997</v>
      </c>
      <c r="H315">
        <v>6.7707699999999997</v>
      </c>
      <c r="J315" s="5">
        <f>ABS(F315-G315)/ABS(F315)</f>
        <v>0</v>
      </c>
      <c r="K315" s="5">
        <f>ABS(G315-H315)/ABS(G315)</f>
        <v>0</v>
      </c>
    </row>
    <row r="316" spans="3:11" x14ac:dyDescent="0.2">
      <c r="C316" t="s">
        <v>1898</v>
      </c>
      <c r="D316" t="e">
        <f ca="1">IF(CELL("format",F316)="G",IF(ABS(F316-G316) &lt;= ABS(F316*B$3),TRUE,FALSE),IF(F316=G316,TRUE,FALSE))</f>
        <v>#VALUE!</v>
      </c>
      <c r="E316" s="5" t="e">
        <f>ABS(F316-G316)/ABS(F316)</f>
        <v>#VALUE!</v>
      </c>
      <c r="F316" t="s">
        <v>2351</v>
      </c>
      <c r="G316" t="s">
        <v>2351</v>
      </c>
      <c r="H316" t="s">
        <v>2351</v>
      </c>
      <c r="J316" s="5" t="e">
        <f>ABS(F316-G316)/ABS(F316)</f>
        <v>#VALUE!</v>
      </c>
      <c r="K316" s="5" t="e">
        <f>ABS(G316-H316)/ABS(G316)</f>
        <v>#VALUE!</v>
      </c>
    </row>
    <row r="317" spans="3:11" x14ac:dyDescent="0.2">
      <c r="C317" t="s">
        <v>1899</v>
      </c>
      <c r="D317" t="b">
        <f ca="1">IF(CELL("format",F317)="G",IF(ABS(F317-G317) &lt;= ABS(F317*B$3),TRUE,FALSE),IF(F317=G317,TRUE,FALSE))</f>
        <v>1</v>
      </c>
      <c r="E317" s="5">
        <f>ABS(F317-G317)/ABS(F317)</f>
        <v>0</v>
      </c>
      <c r="F317">
        <v>22</v>
      </c>
      <c r="G317">
        <v>22</v>
      </c>
      <c r="H317">
        <v>22</v>
      </c>
      <c r="J317" s="5">
        <f>ABS(F317-G317)/ABS(F317)</f>
        <v>0</v>
      </c>
      <c r="K317" s="5">
        <f>ABS(G317-H317)/ABS(G317)</f>
        <v>0</v>
      </c>
    </row>
    <row r="318" spans="3:11" x14ac:dyDescent="0.2">
      <c r="C318" t="s">
        <v>1900</v>
      </c>
      <c r="D318" t="b">
        <f ca="1">IF(CELL("format",F318)="G",IF(ABS(F318-G318) &lt;= ABS(F318*B$3),TRUE,FALSE),IF(F318=G318,TRUE,FALSE))</f>
        <v>1</v>
      </c>
      <c r="E318" s="5">
        <f>ABS(F318-G318)/ABS(F318)</f>
        <v>0</v>
      </c>
      <c r="F318">
        <v>14</v>
      </c>
      <c r="G318">
        <v>14</v>
      </c>
      <c r="H318">
        <v>14</v>
      </c>
      <c r="J318" s="5">
        <f>ABS(F318-G318)/ABS(F318)</f>
        <v>0</v>
      </c>
      <c r="K318" s="5">
        <f>ABS(G318-H318)/ABS(G318)</f>
        <v>0</v>
      </c>
    </row>
    <row r="319" spans="3:11" x14ac:dyDescent="0.2">
      <c r="C319" t="s">
        <v>1901</v>
      </c>
      <c r="D319" t="b">
        <f ca="1">IF(CELL("format",F319)="G",IF(ABS(F319-G319) &lt;= ABS(F319*B$3),TRUE,FALSE),IF(F319=G319,TRUE,FALSE))</f>
        <v>1</v>
      </c>
      <c r="E319" s="5">
        <f>ABS(F319-G319)/ABS(F319)</f>
        <v>0</v>
      </c>
      <c r="F319">
        <v>7.1072800000000003</v>
      </c>
      <c r="G319">
        <v>7.1072800000000003</v>
      </c>
      <c r="H319">
        <v>7.1072800000000003</v>
      </c>
      <c r="J319" s="5">
        <f>ABS(F319-G319)/ABS(F319)</f>
        <v>0</v>
      </c>
      <c r="K319" s="5">
        <f>ABS(G319-H319)/ABS(G319)</f>
        <v>0</v>
      </c>
    </row>
    <row r="320" spans="3:11" x14ac:dyDescent="0.2">
      <c r="C320" t="s">
        <v>1902</v>
      </c>
      <c r="D320" t="e">
        <f ca="1">IF(CELL("format",F320)="G",IF(ABS(F320-G320) &lt;= ABS(F320*B$3),TRUE,FALSE),IF(F320=G320,TRUE,FALSE))</f>
        <v>#VALUE!</v>
      </c>
      <c r="E320" s="5" t="e">
        <f>ABS(F320-G320)/ABS(F320)</f>
        <v>#VALUE!</v>
      </c>
      <c r="F320" t="s">
        <v>2351</v>
      </c>
      <c r="G320" t="s">
        <v>2351</v>
      </c>
      <c r="H320" t="s">
        <v>2351</v>
      </c>
      <c r="J320" s="5" t="e">
        <f>ABS(F320-G320)/ABS(F320)</f>
        <v>#VALUE!</v>
      </c>
      <c r="K320" s="5" t="e">
        <f>ABS(G320-H320)/ABS(G320)</f>
        <v>#VALUE!</v>
      </c>
    </row>
    <row r="321" spans="3:11" x14ac:dyDescent="0.2">
      <c r="C321" t="s">
        <v>1903</v>
      </c>
      <c r="D321" t="b">
        <f ca="1">IF(CELL("format",F321)="G",IF(ABS(F321-G321) &lt;= ABS(F321*B$3),TRUE,FALSE),IF(F321=G321,TRUE,FALSE))</f>
        <v>1</v>
      </c>
      <c r="E321" s="5">
        <f>ABS(F321-G321)/ABS(F321)</f>
        <v>0</v>
      </c>
      <c r="F321">
        <v>22</v>
      </c>
      <c r="G321">
        <v>22</v>
      </c>
      <c r="H321">
        <v>22</v>
      </c>
      <c r="J321" s="5">
        <f>ABS(F321-G321)/ABS(F321)</f>
        <v>0</v>
      </c>
      <c r="K321" s="5">
        <f>ABS(G321-H321)/ABS(G321)</f>
        <v>0</v>
      </c>
    </row>
    <row r="322" spans="3:11" x14ac:dyDescent="0.2">
      <c r="C322" t="s">
        <v>1904</v>
      </c>
      <c r="D322" t="b">
        <f ca="1">IF(CELL("format",F322)="G",IF(ABS(F322-G322) &lt;= ABS(F322*B$3),TRUE,FALSE),IF(F322=G322,TRUE,FALSE))</f>
        <v>1</v>
      </c>
      <c r="E322" s="5">
        <f>ABS(F322-G322)/ABS(F322)</f>
        <v>0</v>
      </c>
      <c r="F322">
        <v>14</v>
      </c>
      <c r="G322">
        <v>14</v>
      </c>
      <c r="H322">
        <v>14</v>
      </c>
      <c r="J322" s="5">
        <f>ABS(F322-G322)/ABS(F322)</f>
        <v>0</v>
      </c>
      <c r="K322" s="5">
        <f>ABS(G322-H322)/ABS(G322)</f>
        <v>0</v>
      </c>
    </row>
    <row r="323" spans="3:11" x14ac:dyDescent="0.2">
      <c r="C323" t="s">
        <v>1905</v>
      </c>
      <c r="D323" t="b">
        <f ca="1">IF(CELL("format",F323)="G",IF(ABS(F323-G323) &lt;= ABS(F323*B$3),TRUE,FALSE),IF(F323=G323,TRUE,FALSE))</f>
        <v>1</v>
      </c>
      <c r="E323" s="5">
        <f>ABS(F323-G323)/ABS(F323)</f>
        <v>0</v>
      </c>
      <c r="F323">
        <v>7.3348599999999999</v>
      </c>
      <c r="G323">
        <v>7.3348599999999999</v>
      </c>
      <c r="H323">
        <v>7.3348599999999999</v>
      </c>
      <c r="J323" s="5">
        <f>ABS(F323-G323)/ABS(F323)</f>
        <v>0</v>
      </c>
      <c r="K323" s="5">
        <f>ABS(G323-H323)/ABS(G323)</f>
        <v>0</v>
      </c>
    </row>
    <row r="324" spans="3:11" x14ac:dyDescent="0.2">
      <c r="C324" t="s">
        <v>1906</v>
      </c>
      <c r="D324" t="e">
        <f ca="1">IF(CELL("format",F324)="G",IF(ABS(F324-G324) &lt;= ABS(F324*B$3),TRUE,FALSE),IF(F324=G324,TRUE,FALSE))</f>
        <v>#VALUE!</v>
      </c>
      <c r="E324" s="5" t="e">
        <f>ABS(F324-G324)/ABS(F324)</f>
        <v>#VALUE!</v>
      </c>
      <c r="F324" t="s">
        <v>2351</v>
      </c>
      <c r="G324" t="s">
        <v>2351</v>
      </c>
      <c r="H324" t="s">
        <v>2351</v>
      </c>
      <c r="J324" s="5" t="e">
        <f>ABS(F324-G324)/ABS(F324)</f>
        <v>#VALUE!</v>
      </c>
      <c r="K324" s="5" t="e">
        <f>ABS(G324-H324)/ABS(G324)</f>
        <v>#VALUE!</v>
      </c>
    </row>
    <row r="325" spans="3:11" x14ac:dyDescent="0.2">
      <c r="C325" t="s">
        <v>1907</v>
      </c>
      <c r="D325" t="b">
        <f ca="1">IF(CELL("format",F325)="G",IF(ABS(F325-G325) &lt;= ABS(F325*B$3),TRUE,FALSE),IF(F325=G325,TRUE,FALSE))</f>
        <v>1</v>
      </c>
      <c r="E325" s="5">
        <f>ABS(F325-G325)/ABS(F325)</f>
        <v>0</v>
      </c>
      <c r="F325">
        <v>22</v>
      </c>
      <c r="G325">
        <v>22</v>
      </c>
      <c r="H325">
        <v>22</v>
      </c>
      <c r="J325" s="5">
        <f>ABS(F325-G325)/ABS(F325)</f>
        <v>0</v>
      </c>
      <c r="K325" s="5">
        <f>ABS(G325-H325)/ABS(G325)</f>
        <v>0</v>
      </c>
    </row>
    <row r="326" spans="3:11" x14ac:dyDescent="0.2">
      <c r="C326" t="s">
        <v>1908</v>
      </c>
      <c r="D326" t="b">
        <f ca="1">IF(CELL("format",F326)="G",IF(ABS(F326-G326) &lt;= ABS(F326*B$3),TRUE,FALSE),IF(F326=G326,TRUE,FALSE))</f>
        <v>1</v>
      </c>
      <c r="E326" s="5">
        <f>ABS(F326-G326)/ABS(F326)</f>
        <v>0</v>
      </c>
      <c r="F326">
        <v>14</v>
      </c>
      <c r="G326">
        <v>14</v>
      </c>
      <c r="H326">
        <v>14</v>
      </c>
      <c r="J326" s="5">
        <f>ABS(F326-G326)/ABS(F326)</f>
        <v>0</v>
      </c>
      <c r="K326" s="5">
        <f>ABS(G326-H326)/ABS(G326)</f>
        <v>0</v>
      </c>
    </row>
    <row r="327" spans="3:11" x14ac:dyDescent="0.2">
      <c r="C327" t="s">
        <v>1909</v>
      </c>
      <c r="D327" t="b">
        <f ca="1">IF(CELL("format",F327)="G",IF(ABS(F327-G327) &lt;= ABS(F327*B$3),TRUE,FALSE),IF(F327=G327,TRUE,FALSE))</f>
        <v>1</v>
      </c>
      <c r="E327" s="5">
        <f>ABS(F327-G327)/ABS(F327)</f>
        <v>0</v>
      </c>
      <c r="F327">
        <v>3.0413999999999999</v>
      </c>
      <c r="G327">
        <v>3.0413999999999999</v>
      </c>
      <c r="H327">
        <v>3.0413999999999999</v>
      </c>
      <c r="J327" s="5">
        <f>ABS(F327-G327)/ABS(F327)</f>
        <v>0</v>
      </c>
      <c r="K327" s="5">
        <f>ABS(G327-H327)/ABS(G327)</f>
        <v>0</v>
      </c>
    </row>
    <row r="328" spans="3:11" x14ac:dyDescent="0.2">
      <c r="C328" t="s">
        <v>1910</v>
      </c>
      <c r="D328" t="e">
        <f ca="1">IF(CELL("format",F328)="G",IF(ABS(F328-G328) &lt;= ABS(F328*B$3),TRUE,FALSE),IF(F328=G328,TRUE,FALSE))</f>
        <v>#VALUE!</v>
      </c>
      <c r="E328" s="5" t="e">
        <f>ABS(F328-G328)/ABS(F328)</f>
        <v>#VALUE!</v>
      </c>
      <c r="F328" t="s">
        <v>2354</v>
      </c>
      <c r="G328" t="s">
        <v>2354</v>
      </c>
      <c r="H328" t="s">
        <v>2354</v>
      </c>
      <c r="J328" s="5" t="e">
        <f>ABS(F328-G328)/ABS(F328)</f>
        <v>#VALUE!</v>
      </c>
      <c r="K328" s="5" t="e">
        <f>ABS(G328-H328)/ABS(G328)</f>
        <v>#VALUE!</v>
      </c>
    </row>
    <row r="329" spans="3:11" x14ac:dyDescent="0.2">
      <c r="C329" t="s">
        <v>1911</v>
      </c>
      <c r="D329" t="b">
        <f ca="1">IF(CELL("format",F329)="G",IF(ABS(F329-G329) &lt;= ABS(F329*B$3),TRUE,FALSE),IF(F329=G329,TRUE,FALSE))</f>
        <v>1</v>
      </c>
      <c r="E329" s="5">
        <f>ABS(F329-G329)/ABS(F329)</f>
        <v>0</v>
      </c>
      <c r="F329">
        <v>1</v>
      </c>
      <c r="G329">
        <v>1</v>
      </c>
      <c r="H329">
        <v>1</v>
      </c>
      <c r="J329" s="5">
        <f>ABS(F329-G329)/ABS(F329)</f>
        <v>0</v>
      </c>
      <c r="K329" s="5">
        <f>ABS(G329-H329)/ABS(G329)</f>
        <v>0</v>
      </c>
    </row>
    <row r="330" spans="3:11" x14ac:dyDescent="0.2">
      <c r="C330" t="s">
        <v>1912</v>
      </c>
      <c r="D330" t="b">
        <f ca="1">IF(CELL("format",F330)="G",IF(ABS(F330-G330) &lt;= ABS(F330*B$3),TRUE,FALSE),IF(F330=G330,TRUE,FALSE))</f>
        <v>1</v>
      </c>
      <c r="E330" s="5">
        <f>ABS(F330-G330)/ABS(F330)</f>
        <v>0</v>
      </c>
      <c r="F330">
        <v>14</v>
      </c>
      <c r="G330">
        <v>14</v>
      </c>
      <c r="H330">
        <v>14</v>
      </c>
      <c r="J330" s="5">
        <f>ABS(F330-G330)/ABS(F330)</f>
        <v>0</v>
      </c>
      <c r="K330" s="5">
        <f>ABS(G330-H330)/ABS(G330)</f>
        <v>0</v>
      </c>
    </row>
    <row r="331" spans="3:11" x14ac:dyDescent="0.2">
      <c r="C331" t="s">
        <v>1913</v>
      </c>
      <c r="D331" t="b">
        <f ca="1">IF(CELL("format",F331)="G",IF(ABS(F331-G331) &lt;= ABS(F331*B$3),TRUE,FALSE),IF(F331=G331,TRUE,FALSE))</f>
        <v>1</v>
      </c>
      <c r="E331" s="5">
        <f>ABS(F331-G331)/ABS(F331)</f>
        <v>0</v>
      </c>
      <c r="F331">
        <v>2.2232400000000001</v>
      </c>
      <c r="G331">
        <v>2.2232400000000001</v>
      </c>
      <c r="H331">
        <v>2.2232400000000001</v>
      </c>
      <c r="J331" s="5">
        <f>ABS(F331-G331)/ABS(F331)</f>
        <v>0</v>
      </c>
      <c r="K331" s="5">
        <f>ABS(G331-H331)/ABS(G331)</f>
        <v>0</v>
      </c>
    </row>
    <row r="332" spans="3:11" x14ac:dyDescent="0.2">
      <c r="C332" t="s">
        <v>1914</v>
      </c>
      <c r="D332" t="e">
        <f ca="1">IF(CELL("format",F332)="G",IF(ABS(F332-G332) &lt;= ABS(F332*B$3),TRUE,FALSE),IF(F332=G332,TRUE,FALSE))</f>
        <v>#VALUE!</v>
      </c>
      <c r="E332" s="5" t="e">
        <f>ABS(F332-G332)/ABS(F332)</f>
        <v>#VALUE!</v>
      </c>
      <c r="F332" t="s">
        <v>2354</v>
      </c>
      <c r="G332" t="s">
        <v>2354</v>
      </c>
      <c r="H332" t="s">
        <v>2354</v>
      </c>
      <c r="J332" s="5" t="e">
        <f>ABS(F332-G332)/ABS(F332)</f>
        <v>#VALUE!</v>
      </c>
      <c r="K332" s="5" t="e">
        <f>ABS(G332-H332)/ABS(G332)</f>
        <v>#VALUE!</v>
      </c>
    </row>
    <row r="333" spans="3:11" x14ac:dyDescent="0.2">
      <c r="C333" t="s">
        <v>1915</v>
      </c>
      <c r="D333" t="b">
        <f ca="1">IF(CELL("format",F333)="G",IF(ABS(F333-G333) &lt;= ABS(F333*B$3),TRUE,FALSE),IF(F333=G333,TRUE,FALSE))</f>
        <v>1</v>
      </c>
      <c r="E333" s="5">
        <f>ABS(F333-G333)/ABS(F333)</f>
        <v>0</v>
      </c>
      <c r="F333">
        <v>18</v>
      </c>
      <c r="G333">
        <v>18</v>
      </c>
      <c r="H333">
        <v>18</v>
      </c>
      <c r="J333" s="5">
        <f>ABS(F333-G333)/ABS(F333)</f>
        <v>0</v>
      </c>
      <c r="K333" s="5">
        <f>ABS(G333-H333)/ABS(G333)</f>
        <v>0</v>
      </c>
    </row>
    <row r="334" spans="3:11" x14ac:dyDescent="0.2">
      <c r="C334" t="s">
        <v>1916</v>
      </c>
      <c r="D334" t="b">
        <f ca="1">IF(CELL("format",F334)="G",IF(ABS(F334-G334) &lt;= ABS(F334*B$3),TRUE,FALSE),IF(F334=G334,TRUE,FALSE))</f>
        <v>1</v>
      </c>
      <c r="E334" s="5">
        <f>ABS(F334-G334)/ABS(F334)</f>
        <v>0</v>
      </c>
      <c r="F334">
        <v>15</v>
      </c>
      <c r="G334">
        <v>15</v>
      </c>
      <c r="H334">
        <v>15</v>
      </c>
      <c r="J334" s="5">
        <f>ABS(F334-G334)/ABS(F334)</f>
        <v>0</v>
      </c>
      <c r="K334" s="5">
        <f>ABS(G334-H334)/ABS(G334)</f>
        <v>0</v>
      </c>
    </row>
    <row r="335" spans="3:11" x14ac:dyDescent="0.2">
      <c r="C335" t="s">
        <v>1917</v>
      </c>
      <c r="D335" t="b">
        <f ca="1">IF(CELL("format",F335)="G",IF(ABS(F335-G335) &lt;= ABS(F335*B$3),TRUE,FALSE),IF(F335=G335,TRUE,FALSE))</f>
        <v>1</v>
      </c>
      <c r="E335" s="5">
        <f>ABS(F335-G335)/ABS(F335)</f>
        <v>0</v>
      </c>
      <c r="F335">
        <v>3.2604600000000001</v>
      </c>
      <c r="G335">
        <v>3.2604600000000001</v>
      </c>
      <c r="H335">
        <v>3.2604600000000001</v>
      </c>
      <c r="J335" s="5">
        <f>ABS(F335-G335)/ABS(F335)</f>
        <v>0</v>
      </c>
      <c r="K335" s="5">
        <f>ABS(G335-H335)/ABS(G335)</f>
        <v>0</v>
      </c>
    </row>
    <row r="336" spans="3:11" x14ac:dyDescent="0.2">
      <c r="C336" t="s">
        <v>1918</v>
      </c>
      <c r="D336" t="e">
        <f ca="1">IF(CELL("format",F336)="G",IF(ABS(F336-G336) &lt;= ABS(F336*B$3),TRUE,FALSE),IF(F336=G336,TRUE,FALSE))</f>
        <v>#VALUE!</v>
      </c>
      <c r="E336" s="5" t="e">
        <f>ABS(F336-G336)/ABS(F336)</f>
        <v>#VALUE!</v>
      </c>
      <c r="F336" t="s">
        <v>2353</v>
      </c>
      <c r="G336" t="s">
        <v>2353</v>
      </c>
      <c r="H336" t="s">
        <v>2353</v>
      </c>
      <c r="J336" s="5" t="e">
        <f>ABS(F336-G336)/ABS(F336)</f>
        <v>#VALUE!</v>
      </c>
      <c r="K336" s="5" t="e">
        <f>ABS(G336-H336)/ABS(G336)</f>
        <v>#VALUE!</v>
      </c>
    </row>
    <row r="337" spans="3:11" x14ac:dyDescent="0.2">
      <c r="C337" t="s">
        <v>1919</v>
      </c>
      <c r="D337" t="b">
        <f ca="1">IF(CELL("format",F337)="G",IF(ABS(F337-G337) &lt;= ABS(F337*B$3),TRUE,FALSE),IF(F337=G337,TRUE,FALSE))</f>
        <v>1</v>
      </c>
      <c r="E337" s="5">
        <f>ABS(F337-G337)/ABS(F337)</f>
        <v>0</v>
      </c>
      <c r="F337">
        <v>26</v>
      </c>
      <c r="G337">
        <v>26</v>
      </c>
      <c r="H337">
        <v>26</v>
      </c>
      <c r="J337" s="5">
        <f>ABS(F337-G337)/ABS(F337)</f>
        <v>0</v>
      </c>
      <c r="K337" s="5">
        <f>ABS(G337-H337)/ABS(G337)</f>
        <v>0</v>
      </c>
    </row>
    <row r="338" spans="3:11" x14ac:dyDescent="0.2">
      <c r="C338" t="s">
        <v>1920</v>
      </c>
      <c r="D338" t="b">
        <f ca="1">IF(CELL("format",F338)="G",IF(ABS(F338-G338) &lt;= ABS(F338*B$3),TRUE,FALSE),IF(F338=G338,TRUE,FALSE))</f>
        <v>1</v>
      </c>
      <c r="E338" s="5">
        <f>ABS(F338-G338)/ABS(F338)</f>
        <v>0</v>
      </c>
      <c r="F338">
        <v>18</v>
      </c>
      <c r="G338">
        <v>18</v>
      </c>
      <c r="H338">
        <v>18</v>
      </c>
      <c r="J338" s="5">
        <f>ABS(F338-G338)/ABS(F338)</f>
        <v>0</v>
      </c>
      <c r="K338" s="5">
        <f>ABS(G338-H338)/ABS(G338)</f>
        <v>0</v>
      </c>
    </row>
    <row r="339" spans="3:11" x14ac:dyDescent="0.2">
      <c r="C339" t="s">
        <v>1921</v>
      </c>
      <c r="D339" t="b">
        <f ca="1">IF(CELL("format",F339)="G",IF(ABS(F339-G339) &lt;= ABS(F339*B$3),TRUE,FALSE),IF(F339=G339,TRUE,FALSE))</f>
        <v>1</v>
      </c>
      <c r="E339" s="5">
        <f>ABS(F339-G339)/ABS(F339)</f>
        <v>0</v>
      </c>
      <c r="F339">
        <v>2.78166</v>
      </c>
      <c r="G339">
        <v>2.78166</v>
      </c>
      <c r="H339">
        <v>2.78166</v>
      </c>
      <c r="J339" s="5">
        <f>ABS(F339-G339)/ABS(F339)</f>
        <v>0</v>
      </c>
      <c r="K339" s="5">
        <f>ABS(G339-H339)/ABS(G339)</f>
        <v>0</v>
      </c>
    </row>
    <row r="340" spans="3:11" x14ac:dyDescent="0.2">
      <c r="C340" t="s">
        <v>1922</v>
      </c>
      <c r="D340" t="e">
        <f ca="1">IF(CELL("format",F340)="G",IF(ABS(F340-G340) &lt;= ABS(F340*B$3),TRUE,FALSE),IF(F340=G340,TRUE,FALSE))</f>
        <v>#VALUE!</v>
      </c>
      <c r="E340" s="5" t="e">
        <f>ABS(F340-G340)/ABS(F340)</f>
        <v>#VALUE!</v>
      </c>
      <c r="F340" t="s">
        <v>2353</v>
      </c>
      <c r="G340" t="s">
        <v>2353</v>
      </c>
      <c r="H340" t="s">
        <v>2353</v>
      </c>
      <c r="J340" s="5" t="e">
        <f>ABS(F340-G340)/ABS(F340)</f>
        <v>#VALUE!</v>
      </c>
      <c r="K340" s="5" t="e">
        <f>ABS(G340-H340)/ABS(G340)</f>
        <v>#VALUE!</v>
      </c>
    </row>
    <row r="341" spans="3:11" x14ac:dyDescent="0.2">
      <c r="C341" t="s">
        <v>1923</v>
      </c>
      <c r="D341" t="b">
        <f ca="1">IF(CELL("format",F341)="G",IF(ABS(F341-G341) &lt;= ABS(F341*B$3),TRUE,FALSE),IF(F341=G341,TRUE,FALSE))</f>
        <v>1</v>
      </c>
      <c r="E341" s="5">
        <f>ABS(F341-G341)/ABS(F341)</f>
        <v>0</v>
      </c>
      <c r="F341">
        <v>26</v>
      </c>
      <c r="G341">
        <v>26</v>
      </c>
      <c r="H341">
        <v>26</v>
      </c>
      <c r="J341" s="5">
        <f>ABS(F341-G341)/ABS(F341)</f>
        <v>0</v>
      </c>
      <c r="K341" s="5">
        <f>ABS(G341-H341)/ABS(G341)</f>
        <v>0</v>
      </c>
    </row>
    <row r="342" spans="3:11" x14ac:dyDescent="0.2">
      <c r="C342" t="s">
        <v>1924</v>
      </c>
      <c r="D342" t="b">
        <f ca="1">IF(CELL("format",F342)="G",IF(ABS(F342-G342) &lt;= ABS(F342*B$3),TRUE,FALSE),IF(F342=G342,TRUE,FALSE))</f>
        <v>1</v>
      </c>
      <c r="E342" s="5">
        <f>ABS(F342-G342)/ABS(F342)</f>
        <v>0</v>
      </c>
      <c r="F342">
        <v>18</v>
      </c>
      <c r="G342">
        <v>18</v>
      </c>
      <c r="H342">
        <v>18</v>
      </c>
      <c r="J342" s="5">
        <f>ABS(F342-G342)/ABS(F342)</f>
        <v>0</v>
      </c>
      <c r="K342" s="5">
        <f>ABS(G342-H342)/ABS(G342)</f>
        <v>0</v>
      </c>
    </row>
    <row r="343" spans="3:11" x14ac:dyDescent="0.2">
      <c r="C343" t="s">
        <v>1925</v>
      </c>
      <c r="D343" t="b">
        <f ca="1">IF(CELL("format",F343)="G",IF(ABS(F343-G343) &lt;= ABS(F343*B$3),TRUE,FALSE),IF(F343=G343,TRUE,FALSE))</f>
        <v>1</v>
      </c>
      <c r="E343" s="5">
        <f>ABS(F343-G343)/ABS(F343)</f>
        <v>0</v>
      </c>
      <c r="F343">
        <v>3.0409199999999998</v>
      </c>
      <c r="G343">
        <v>3.0409199999999998</v>
      </c>
      <c r="H343">
        <v>3.0409199999999998</v>
      </c>
      <c r="J343" s="5">
        <f>ABS(F343-G343)/ABS(F343)</f>
        <v>0</v>
      </c>
      <c r="K343" s="5">
        <f>ABS(G343-H343)/ABS(G343)</f>
        <v>0</v>
      </c>
    </row>
    <row r="344" spans="3:11" x14ac:dyDescent="0.2">
      <c r="C344" t="s">
        <v>1926</v>
      </c>
      <c r="D344" t="e">
        <f ca="1">IF(CELL("format",F344)="G",IF(ABS(F344-G344) &lt;= ABS(F344*B$3),TRUE,FALSE),IF(F344=G344,TRUE,FALSE))</f>
        <v>#VALUE!</v>
      </c>
      <c r="E344" s="5" t="e">
        <f>ABS(F344-G344)/ABS(F344)</f>
        <v>#VALUE!</v>
      </c>
      <c r="F344" t="s">
        <v>2354</v>
      </c>
      <c r="G344" t="s">
        <v>2354</v>
      </c>
      <c r="H344" t="s">
        <v>2354</v>
      </c>
      <c r="J344" s="5" t="e">
        <f>ABS(F344-G344)/ABS(F344)</f>
        <v>#VALUE!</v>
      </c>
      <c r="K344" s="5" t="e">
        <f>ABS(G344-H344)/ABS(G344)</f>
        <v>#VALUE!</v>
      </c>
    </row>
    <row r="345" spans="3:11" x14ac:dyDescent="0.2">
      <c r="C345" t="s">
        <v>1927</v>
      </c>
      <c r="D345" t="b">
        <f ca="1">IF(CELL("format",F345)="G",IF(ABS(F345-G345) &lt;= ABS(F345*B$3),TRUE,FALSE),IF(F345=G345,TRUE,FALSE))</f>
        <v>1</v>
      </c>
      <c r="E345" s="5">
        <f>ABS(F345-G345)/ABS(F345)</f>
        <v>0</v>
      </c>
      <c r="F345">
        <v>1</v>
      </c>
      <c r="G345">
        <v>1</v>
      </c>
      <c r="H345">
        <v>1</v>
      </c>
      <c r="J345" s="5">
        <f>ABS(F345-G345)/ABS(F345)</f>
        <v>0</v>
      </c>
      <c r="K345" s="5">
        <f>ABS(G345-H345)/ABS(G345)</f>
        <v>0</v>
      </c>
    </row>
    <row r="346" spans="3:11" x14ac:dyDescent="0.2">
      <c r="C346" t="s">
        <v>1928</v>
      </c>
      <c r="D346" t="b">
        <f ca="1">IF(CELL("format",F346)="G",IF(ABS(F346-G346) &lt;= ABS(F346*B$3),TRUE,FALSE),IF(F346=G346,TRUE,FALSE))</f>
        <v>1</v>
      </c>
      <c r="E346" s="5">
        <f>ABS(F346-G346)/ABS(F346)</f>
        <v>0</v>
      </c>
      <c r="F346">
        <v>14</v>
      </c>
      <c r="G346">
        <v>14</v>
      </c>
      <c r="H346">
        <v>14</v>
      </c>
      <c r="J346" s="5">
        <f>ABS(F346-G346)/ABS(F346)</f>
        <v>0</v>
      </c>
      <c r="K346" s="5">
        <f>ABS(G346-H346)/ABS(G346)</f>
        <v>0</v>
      </c>
    </row>
    <row r="347" spans="3:11" x14ac:dyDescent="0.2">
      <c r="C347" t="s">
        <v>1929</v>
      </c>
      <c r="D347" t="b">
        <f ca="1">IF(CELL("format",F347)="G",IF(ABS(F347-G347) &lt;= ABS(F347*B$3),TRUE,FALSE),IF(F347=G347,TRUE,FALSE))</f>
        <v>1</v>
      </c>
      <c r="E347" s="5">
        <f>ABS(F347-G347)/ABS(F347)</f>
        <v>0</v>
      </c>
      <c r="F347">
        <v>2.3684599999999998</v>
      </c>
      <c r="G347">
        <v>2.3684599999999998</v>
      </c>
      <c r="H347">
        <v>2.3684599999999998</v>
      </c>
      <c r="J347" s="5">
        <f>ABS(F347-G347)/ABS(F347)</f>
        <v>0</v>
      </c>
      <c r="K347" s="5">
        <f>ABS(G347-H347)/ABS(G347)</f>
        <v>0</v>
      </c>
    </row>
    <row r="348" spans="3:11" x14ac:dyDescent="0.2">
      <c r="C348" t="s">
        <v>1930</v>
      </c>
      <c r="D348" t="e">
        <f ca="1">IF(CELL("format",F348)="G",IF(ABS(F348-G348) &lt;= ABS(F348*B$3),TRUE,FALSE),IF(F348=G348,TRUE,FALSE))</f>
        <v>#VALUE!</v>
      </c>
      <c r="E348" s="5" t="e">
        <f>ABS(F348-G348)/ABS(F348)</f>
        <v>#VALUE!</v>
      </c>
      <c r="F348" t="s">
        <v>2355</v>
      </c>
      <c r="G348" t="s">
        <v>2355</v>
      </c>
      <c r="H348" t="s">
        <v>2355</v>
      </c>
      <c r="J348" s="5" t="e">
        <f>ABS(F348-G348)/ABS(F348)</f>
        <v>#VALUE!</v>
      </c>
      <c r="K348" s="5" t="e">
        <f>ABS(G348-H348)/ABS(G348)</f>
        <v>#VALUE!</v>
      </c>
    </row>
    <row r="349" spans="3:11" x14ac:dyDescent="0.2">
      <c r="C349" t="s">
        <v>1931</v>
      </c>
      <c r="D349" t="b">
        <f ca="1">IF(CELL("format",F349)="G",IF(ABS(F349-G349) &lt;= ABS(F349*B$3),TRUE,FALSE),IF(F349=G349,TRUE,FALSE))</f>
        <v>1</v>
      </c>
      <c r="E349" s="5">
        <f>ABS(F349-G349)/ABS(F349)</f>
        <v>0</v>
      </c>
      <c r="F349">
        <v>11</v>
      </c>
      <c r="G349">
        <v>11</v>
      </c>
      <c r="H349">
        <v>11</v>
      </c>
      <c r="J349" s="5">
        <f>ABS(F349-G349)/ABS(F349)</f>
        <v>0</v>
      </c>
      <c r="K349" s="5">
        <f>ABS(G349-H349)/ABS(G349)</f>
        <v>0</v>
      </c>
    </row>
    <row r="350" spans="3:11" x14ac:dyDescent="0.2">
      <c r="C350" t="s">
        <v>1932</v>
      </c>
      <c r="D350" t="b">
        <f ca="1">IF(CELL("format",F350)="G",IF(ABS(F350-G350) &lt;= ABS(F350*B$3),TRUE,FALSE),IF(F350=G350,TRUE,FALSE))</f>
        <v>1</v>
      </c>
      <c r="E350" s="5">
        <f>ABS(F350-G350)/ABS(F350)</f>
        <v>0</v>
      </c>
      <c r="F350">
        <v>15</v>
      </c>
      <c r="G350">
        <v>15</v>
      </c>
      <c r="H350">
        <v>15</v>
      </c>
      <c r="J350" s="5">
        <f>ABS(F350-G350)/ABS(F350)</f>
        <v>0</v>
      </c>
      <c r="K350" s="5">
        <f>ABS(G350-H350)/ABS(G350)</f>
        <v>0</v>
      </c>
    </row>
    <row r="351" spans="3:11" x14ac:dyDescent="0.2">
      <c r="C351" t="s">
        <v>1933</v>
      </c>
      <c r="D351" t="b">
        <f ca="1">IF(CELL("format",F351)="G",IF(ABS(F351-G351) &lt;= ABS(F351*B$3),TRUE,FALSE),IF(F351=G351,TRUE,FALSE))</f>
        <v>1</v>
      </c>
      <c r="E351" s="5">
        <f>ABS(F351-G351)/ABS(F351)</f>
        <v>0</v>
      </c>
      <c r="F351">
        <v>1.48003</v>
      </c>
      <c r="G351">
        <v>1.48003</v>
      </c>
      <c r="H351">
        <v>1.48003</v>
      </c>
      <c r="J351" s="5">
        <f>ABS(F351-G351)/ABS(F351)</f>
        <v>0</v>
      </c>
      <c r="K351" s="5">
        <f>ABS(G351-H351)/ABS(G351)</f>
        <v>0</v>
      </c>
    </row>
    <row r="352" spans="3:11" x14ac:dyDescent="0.2">
      <c r="C352" t="s">
        <v>1934</v>
      </c>
      <c r="D352" t="e">
        <f ca="1">IF(CELL("format",F352)="G",IF(ABS(F352-G352) &lt;= ABS(F352*B$3),TRUE,FALSE),IF(F352=G352,TRUE,FALSE))</f>
        <v>#VALUE!</v>
      </c>
      <c r="E352" s="5" t="e">
        <f>ABS(F352-G352)/ABS(F352)</f>
        <v>#VALUE!</v>
      </c>
      <c r="F352" t="s">
        <v>2353</v>
      </c>
      <c r="G352" t="s">
        <v>2353</v>
      </c>
      <c r="H352" t="s">
        <v>2353</v>
      </c>
      <c r="J352" s="5" t="e">
        <f>ABS(F352-G352)/ABS(F352)</f>
        <v>#VALUE!</v>
      </c>
      <c r="K352" s="5" t="e">
        <f>ABS(G352-H352)/ABS(G352)</f>
        <v>#VALUE!</v>
      </c>
    </row>
    <row r="353" spans="3:11" x14ac:dyDescent="0.2">
      <c r="C353" t="s">
        <v>1935</v>
      </c>
      <c r="D353" t="b">
        <f ca="1">IF(CELL("format",F353)="G",IF(ABS(F353-G353) &lt;= ABS(F353*B$3),TRUE,FALSE),IF(F353=G353,TRUE,FALSE))</f>
        <v>1</v>
      </c>
      <c r="E353" s="5">
        <f>ABS(F353-G353)/ABS(F353)</f>
        <v>0</v>
      </c>
      <c r="F353">
        <v>26</v>
      </c>
      <c r="G353">
        <v>26</v>
      </c>
      <c r="H353">
        <v>26</v>
      </c>
      <c r="J353" s="5">
        <f>ABS(F353-G353)/ABS(F353)</f>
        <v>0</v>
      </c>
      <c r="K353" s="5">
        <f>ABS(G353-H353)/ABS(G353)</f>
        <v>0</v>
      </c>
    </row>
    <row r="354" spans="3:11" x14ac:dyDescent="0.2">
      <c r="C354" t="s">
        <v>1936</v>
      </c>
      <c r="D354" t="b">
        <f ca="1">IF(CELL("format",F354)="G",IF(ABS(F354-G354) &lt;= ABS(F354*B$3),TRUE,FALSE),IF(F354=G354,TRUE,FALSE))</f>
        <v>1</v>
      </c>
      <c r="E354" s="5">
        <f>ABS(F354-G354)/ABS(F354)</f>
        <v>0</v>
      </c>
      <c r="F354">
        <v>17</v>
      </c>
      <c r="G354">
        <v>17</v>
      </c>
      <c r="H354">
        <v>17</v>
      </c>
      <c r="J354" s="5">
        <f>ABS(F354-G354)/ABS(F354)</f>
        <v>0</v>
      </c>
      <c r="K354" s="5">
        <f>ABS(G354-H354)/ABS(G354)</f>
        <v>0</v>
      </c>
    </row>
    <row r="355" spans="3:11" x14ac:dyDescent="0.2">
      <c r="C355" t="s">
        <v>1937</v>
      </c>
      <c r="D355" t="b">
        <f ca="1">IF(CELL("format",F355)="G",IF(ABS(F355-G355) &lt;= ABS(F355*B$3),TRUE,FALSE),IF(F355=G355,TRUE,FALSE))</f>
        <v>1</v>
      </c>
      <c r="E355" s="5">
        <f>ABS(F355-G355)/ABS(F355)</f>
        <v>0</v>
      </c>
      <c r="F355">
        <v>3.4544299999999999</v>
      </c>
      <c r="G355">
        <v>3.4544299999999999</v>
      </c>
      <c r="H355">
        <v>3.4544299999999999</v>
      </c>
      <c r="J355" s="5">
        <f>ABS(F355-G355)/ABS(F355)</f>
        <v>0</v>
      </c>
      <c r="K355" s="5">
        <f>ABS(G355-H355)/ABS(G355)</f>
        <v>0</v>
      </c>
    </row>
    <row r="356" spans="3:11" x14ac:dyDescent="0.2">
      <c r="C356" t="s">
        <v>1938</v>
      </c>
      <c r="D356" t="e">
        <f ca="1">IF(CELL("format",F356)="G",IF(ABS(F356-G356) &lt;= ABS(F356*B$3),TRUE,FALSE),IF(F356=G356,TRUE,FALSE))</f>
        <v>#VALUE!</v>
      </c>
      <c r="E356" s="5" t="e">
        <f>ABS(F356-G356)/ABS(F356)</f>
        <v>#VALUE!</v>
      </c>
      <c r="F356" t="s">
        <v>2354</v>
      </c>
      <c r="G356" t="s">
        <v>2354</v>
      </c>
      <c r="H356" t="s">
        <v>2354</v>
      </c>
      <c r="J356" s="5" t="e">
        <f>ABS(F356-G356)/ABS(F356)</f>
        <v>#VALUE!</v>
      </c>
      <c r="K356" s="5" t="e">
        <f>ABS(G356-H356)/ABS(G356)</f>
        <v>#VALUE!</v>
      </c>
    </row>
    <row r="357" spans="3:11" x14ac:dyDescent="0.2">
      <c r="C357" t="s">
        <v>1939</v>
      </c>
      <c r="D357" t="b">
        <f ca="1">IF(CELL("format",F357)="G",IF(ABS(F357-G357) &lt;= ABS(F357*B$3),TRUE,FALSE),IF(F357=G357,TRUE,FALSE))</f>
        <v>1</v>
      </c>
      <c r="E357" s="5">
        <f>ABS(F357-G357)/ABS(F357)</f>
        <v>0</v>
      </c>
      <c r="F357">
        <v>18</v>
      </c>
      <c r="G357">
        <v>18</v>
      </c>
      <c r="H357">
        <v>18</v>
      </c>
      <c r="J357" s="5">
        <f>ABS(F357-G357)/ABS(F357)</f>
        <v>0</v>
      </c>
      <c r="K357" s="5">
        <f>ABS(G357-H357)/ABS(G357)</f>
        <v>0</v>
      </c>
    </row>
    <row r="358" spans="3:11" x14ac:dyDescent="0.2">
      <c r="C358" t="s">
        <v>1940</v>
      </c>
      <c r="D358" t="b">
        <f ca="1">IF(CELL("format",F358)="G",IF(ABS(F358-G358) &lt;= ABS(F358*B$3),TRUE,FALSE),IF(F358=G358,TRUE,FALSE))</f>
        <v>1</v>
      </c>
      <c r="E358" s="5">
        <f>ABS(F358-G358)/ABS(F358)</f>
        <v>0</v>
      </c>
      <c r="F358">
        <v>15</v>
      </c>
      <c r="G358">
        <v>15</v>
      </c>
      <c r="H358">
        <v>15</v>
      </c>
      <c r="J358" s="5">
        <f>ABS(F358-G358)/ABS(F358)</f>
        <v>0</v>
      </c>
      <c r="K358" s="5">
        <f>ABS(G358-H358)/ABS(G358)</f>
        <v>0</v>
      </c>
    </row>
    <row r="359" spans="3:11" x14ac:dyDescent="0.2">
      <c r="C359" t="s">
        <v>1941</v>
      </c>
      <c r="D359" t="b">
        <f ca="1">IF(CELL("format",F359)="G",IF(ABS(F359-G359) &lt;= ABS(F359*B$3),TRUE,FALSE),IF(F359=G359,TRUE,FALSE))</f>
        <v>1</v>
      </c>
      <c r="E359" s="5">
        <f>ABS(F359-G359)/ABS(F359)</f>
        <v>0</v>
      </c>
      <c r="F359">
        <v>3.9156599999999999</v>
      </c>
      <c r="G359">
        <v>3.9156599999999999</v>
      </c>
      <c r="H359">
        <v>3.9156599999999999</v>
      </c>
      <c r="J359" s="5">
        <f>ABS(F359-G359)/ABS(F359)</f>
        <v>0</v>
      </c>
      <c r="K359" s="5">
        <f>ABS(G359-H359)/ABS(G359)</f>
        <v>0</v>
      </c>
    </row>
    <row r="360" spans="3:11" x14ac:dyDescent="0.2">
      <c r="C360" t="s">
        <v>1942</v>
      </c>
      <c r="D360" t="e">
        <f ca="1">IF(CELL("format",F360)="G",IF(ABS(F360-G360) &lt;= ABS(F360*B$3),TRUE,FALSE),IF(F360=G360,TRUE,FALSE))</f>
        <v>#VALUE!</v>
      </c>
      <c r="E360" s="5" t="e">
        <f>ABS(F360-G360)/ABS(F360)</f>
        <v>#VALUE!</v>
      </c>
      <c r="F360" t="s">
        <v>2354</v>
      </c>
      <c r="G360" t="s">
        <v>2354</v>
      </c>
      <c r="H360" t="s">
        <v>2354</v>
      </c>
      <c r="J360" s="5" t="e">
        <f>ABS(F360-G360)/ABS(F360)</f>
        <v>#VALUE!</v>
      </c>
      <c r="K360" s="5" t="e">
        <f>ABS(G360-H360)/ABS(G360)</f>
        <v>#VALUE!</v>
      </c>
    </row>
    <row r="361" spans="3:11" x14ac:dyDescent="0.2">
      <c r="C361" t="s">
        <v>1943</v>
      </c>
      <c r="D361" t="b">
        <f ca="1">IF(CELL("format",F361)="G",IF(ABS(F361-G361) &lt;= ABS(F361*B$3),TRUE,FALSE),IF(F361=G361,TRUE,FALSE))</f>
        <v>1</v>
      </c>
      <c r="E361" s="5">
        <f>ABS(F361-G361)/ABS(F361)</f>
        <v>0</v>
      </c>
      <c r="F361">
        <v>18</v>
      </c>
      <c r="G361">
        <v>18</v>
      </c>
      <c r="H361">
        <v>18</v>
      </c>
      <c r="J361" s="5">
        <f>ABS(F361-G361)/ABS(F361)</f>
        <v>0</v>
      </c>
      <c r="K361" s="5">
        <f>ABS(G361-H361)/ABS(G361)</f>
        <v>0</v>
      </c>
    </row>
    <row r="362" spans="3:11" x14ac:dyDescent="0.2">
      <c r="C362" t="s">
        <v>1944</v>
      </c>
      <c r="D362" t="b">
        <f ca="1">IF(CELL("format",F362)="G",IF(ABS(F362-G362) &lt;= ABS(F362*B$3),TRUE,FALSE),IF(F362=G362,TRUE,FALSE))</f>
        <v>1</v>
      </c>
      <c r="E362" s="5">
        <f>ABS(F362-G362)/ABS(F362)</f>
        <v>0</v>
      </c>
      <c r="F362">
        <v>15</v>
      </c>
      <c r="G362">
        <v>15</v>
      </c>
      <c r="H362">
        <v>15</v>
      </c>
      <c r="J362" s="5">
        <f>ABS(F362-G362)/ABS(F362)</f>
        <v>0</v>
      </c>
      <c r="K362" s="5">
        <f>ABS(G362-H362)/ABS(G362)</f>
        <v>0</v>
      </c>
    </row>
    <row r="363" spans="3:11" x14ac:dyDescent="0.2">
      <c r="C363" t="s">
        <v>1945</v>
      </c>
      <c r="D363" t="b">
        <f ca="1">IF(CELL("format",F363)="G",IF(ABS(F363-G363) &lt;= ABS(F363*B$3),TRUE,FALSE),IF(F363=G363,TRUE,FALSE))</f>
        <v>1</v>
      </c>
      <c r="E363" s="5">
        <f>ABS(F363-G363)/ABS(F363)</f>
        <v>0</v>
      </c>
      <c r="F363">
        <v>4.1807400000000001</v>
      </c>
      <c r="G363">
        <v>4.1807400000000001</v>
      </c>
      <c r="H363">
        <v>4.1807400000000001</v>
      </c>
      <c r="J363" s="5">
        <f>ABS(F363-G363)/ABS(F363)</f>
        <v>0</v>
      </c>
      <c r="K363" s="5">
        <f>ABS(G363-H363)/ABS(G363)</f>
        <v>0</v>
      </c>
    </row>
    <row r="364" spans="3:11" x14ac:dyDescent="0.2">
      <c r="C364" t="s">
        <v>1946</v>
      </c>
      <c r="D364" t="e">
        <f ca="1">IF(CELL("format",F364)="G",IF(ABS(F364-G364) &lt;= ABS(F364*B$3),TRUE,FALSE),IF(F364=G364,TRUE,FALSE))</f>
        <v>#VALUE!</v>
      </c>
      <c r="E364" s="5" t="e">
        <f>ABS(F364-G364)/ABS(F364)</f>
        <v>#VALUE!</v>
      </c>
      <c r="F364" t="s">
        <v>2351</v>
      </c>
      <c r="G364" t="s">
        <v>2351</v>
      </c>
      <c r="H364" t="s">
        <v>2351</v>
      </c>
      <c r="J364" s="5" t="e">
        <f>ABS(F364-G364)/ABS(F364)</f>
        <v>#VALUE!</v>
      </c>
      <c r="K364" s="5" t="e">
        <f>ABS(G364-H364)/ABS(G364)</f>
        <v>#VALUE!</v>
      </c>
    </row>
    <row r="365" spans="3:11" x14ac:dyDescent="0.2">
      <c r="C365" t="s">
        <v>1947</v>
      </c>
      <c r="D365" t="b">
        <f ca="1">IF(CELL("format",F365)="G",IF(ABS(F365-G365) &lt;= ABS(F365*B$3),TRUE,FALSE),IF(F365=G365,TRUE,FALSE))</f>
        <v>1</v>
      </c>
      <c r="E365" s="5">
        <f>ABS(F365-G365)/ABS(F365)</f>
        <v>0</v>
      </c>
      <c r="F365">
        <v>22</v>
      </c>
      <c r="G365">
        <v>22</v>
      </c>
      <c r="H365">
        <v>22</v>
      </c>
      <c r="J365" s="5">
        <f>ABS(F365-G365)/ABS(F365)</f>
        <v>0</v>
      </c>
      <c r="K365" s="5">
        <f>ABS(G365-H365)/ABS(G365)</f>
        <v>0</v>
      </c>
    </row>
    <row r="366" spans="3:11" x14ac:dyDescent="0.2">
      <c r="C366" t="s">
        <v>1948</v>
      </c>
      <c r="D366" t="b">
        <f ca="1">IF(CELL("format",F366)="G",IF(ABS(F366-G366) &lt;= ABS(F366*B$3),TRUE,FALSE),IF(F366=G366,TRUE,FALSE))</f>
        <v>1</v>
      </c>
      <c r="E366" s="5">
        <f>ABS(F366-G366)/ABS(F366)</f>
        <v>0</v>
      </c>
      <c r="F366">
        <v>15</v>
      </c>
      <c r="G366">
        <v>15</v>
      </c>
      <c r="H366">
        <v>15</v>
      </c>
      <c r="J366" s="5">
        <f>ABS(F366-G366)/ABS(F366)</f>
        <v>0</v>
      </c>
      <c r="K366" s="5">
        <f>ABS(G366-H366)/ABS(G366)</f>
        <v>0</v>
      </c>
    </row>
    <row r="367" spans="3:11" x14ac:dyDescent="0.2">
      <c r="C367" t="s">
        <v>1949</v>
      </c>
      <c r="D367" t="b">
        <f ca="1">IF(CELL("format",F367)="G",IF(ABS(F367-G367) &lt;= ABS(F367*B$3),TRUE,FALSE),IF(F367=G367,TRUE,FALSE))</f>
        <v>1</v>
      </c>
      <c r="E367" s="5">
        <f>ABS(F367-G367)/ABS(F367)</f>
        <v>0</v>
      </c>
      <c r="F367">
        <v>1.0414000000000001</v>
      </c>
      <c r="G367">
        <v>1.0414000000000001</v>
      </c>
      <c r="H367">
        <v>1.0414000000000001</v>
      </c>
      <c r="J367" s="5">
        <f>ABS(F367-G367)/ABS(F367)</f>
        <v>0</v>
      </c>
      <c r="K367" s="5">
        <f>ABS(G367-H367)/ABS(G367)</f>
        <v>0</v>
      </c>
    </row>
    <row r="368" spans="3:11" x14ac:dyDescent="0.2">
      <c r="C368" t="s">
        <v>1950</v>
      </c>
      <c r="D368" t="e">
        <f ca="1">IF(CELL("format",F368)="G",IF(ABS(F368-G368) &lt;= ABS(F368*B$3),TRUE,FALSE),IF(F368=G368,TRUE,FALSE))</f>
        <v>#VALUE!</v>
      </c>
      <c r="E368" s="5" t="e">
        <f>ABS(F368-G368)/ABS(F368)</f>
        <v>#VALUE!</v>
      </c>
      <c r="F368" t="s">
        <v>2353</v>
      </c>
      <c r="G368" t="s">
        <v>2353</v>
      </c>
      <c r="H368" t="s">
        <v>2353</v>
      </c>
      <c r="J368" s="5" t="e">
        <f>ABS(F368-G368)/ABS(F368)</f>
        <v>#VALUE!</v>
      </c>
      <c r="K368" s="5" t="e">
        <f>ABS(G368-H368)/ABS(G368)</f>
        <v>#VALUE!</v>
      </c>
    </row>
    <row r="369" spans="3:11" x14ac:dyDescent="0.2">
      <c r="C369" t="s">
        <v>1951</v>
      </c>
      <c r="D369" t="b">
        <f ca="1">IF(CELL("format",F369)="G",IF(ABS(F369-G369) &lt;= ABS(F369*B$3),TRUE,FALSE),IF(F369=G369,TRUE,FALSE))</f>
        <v>1</v>
      </c>
      <c r="E369" s="5">
        <f>ABS(F369-G369)/ABS(F369)</f>
        <v>0</v>
      </c>
      <c r="F369">
        <v>26</v>
      </c>
      <c r="G369">
        <v>26</v>
      </c>
      <c r="H369">
        <v>26</v>
      </c>
      <c r="J369" s="5">
        <f>ABS(F369-G369)/ABS(F369)</f>
        <v>0</v>
      </c>
      <c r="K369" s="5">
        <f>ABS(G369-H369)/ABS(G369)</f>
        <v>0</v>
      </c>
    </row>
    <row r="370" spans="3:11" x14ac:dyDescent="0.2">
      <c r="C370" t="s">
        <v>1952</v>
      </c>
      <c r="D370" t="b">
        <f ca="1">IF(CELL("format",F370)="G",IF(ABS(F370-G370) &lt;= ABS(F370*B$3),TRUE,FALSE),IF(F370=G370,TRUE,FALSE))</f>
        <v>1</v>
      </c>
      <c r="E370" s="5">
        <f>ABS(F370-G370)/ABS(F370)</f>
        <v>0</v>
      </c>
      <c r="F370">
        <v>17</v>
      </c>
      <c r="G370">
        <v>17</v>
      </c>
      <c r="H370">
        <v>17</v>
      </c>
      <c r="J370" s="5">
        <f>ABS(F370-G370)/ABS(F370)</f>
        <v>0</v>
      </c>
      <c r="K370" s="5">
        <f>ABS(G370-H370)/ABS(G370)</f>
        <v>0</v>
      </c>
    </row>
    <row r="371" spans="3:11" x14ac:dyDescent="0.2">
      <c r="C371" t="s">
        <v>1953</v>
      </c>
      <c r="D371" t="b">
        <f ca="1">IF(CELL("format",F371)="G",IF(ABS(F371-G371) &lt;= ABS(F371*B$3),TRUE,FALSE),IF(F371=G371,TRUE,FALSE))</f>
        <v>1</v>
      </c>
      <c r="E371" s="5">
        <f>ABS(F371-G371)/ABS(F371)</f>
        <v>0</v>
      </c>
      <c r="F371">
        <v>1.30765</v>
      </c>
      <c r="G371">
        <v>1.30765</v>
      </c>
      <c r="H371">
        <v>1.30765</v>
      </c>
      <c r="J371" s="5">
        <f>ABS(F371-G371)/ABS(F371)</f>
        <v>0</v>
      </c>
      <c r="K371" s="5">
        <f>ABS(G371-H371)/ABS(G371)</f>
        <v>0</v>
      </c>
    </row>
    <row r="372" spans="3:11" x14ac:dyDescent="0.2">
      <c r="C372" t="s">
        <v>1954</v>
      </c>
      <c r="D372" t="e">
        <f ca="1">IF(CELL("format",F372)="G",IF(ABS(F372-G372) &lt;= ABS(F372*B$3),TRUE,FALSE),IF(F372=G372,TRUE,FALSE))</f>
        <v>#VALUE!</v>
      </c>
      <c r="E372" s="5" t="e">
        <f>ABS(F372-G372)/ABS(F372)</f>
        <v>#VALUE!</v>
      </c>
      <c r="F372" t="s">
        <v>2353</v>
      </c>
      <c r="G372" t="s">
        <v>2353</v>
      </c>
      <c r="H372" t="s">
        <v>2353</v>
      </c>
      <c r="J372" s="5" t="e">
        <f>ABS(F372-G372)/ABS(F372)</f>
        <v>#VALUE!</v>
      </c>
      <c r="K372" s="5" t="e">
        <f>ABS(G372-H372)/ABS(G372)</f>
        <v>#VALUE!</v>
      </c>
    </row>
    <row r="373" spans="3:11" x14ac:dyDescent="0.2">
      <c r="C373" t="s">
        <v>1955</v>
      </c>
      <c r="D373" t="b">
        <f ca="1">IF(CELL("format",F373)="G",IF(ABS(F373-G373) &lt;= ABS(F373*B$3),TRUE,FALSE),IF(F373=G373,TRUE,FALSE))</f>
        <v>1</v>
      </c>
      <c r="E373" s="5">
        <f>ABS(F373-G373)/ABS(F373)</f>
        <v>0</v>
      </c>
      <c r="F373">
        <v>26</v>
      </c>
      <c r="G373">
        <v>26</v>
      </c>
      <c r="H373">
        <v>26</v>
      </c>
      <c r="J373" s="5">
        <f>ABS(F373-G373)/ABS(F373)</f>
        <v>0</v>
      </c>
      <c r="K373" s="5">
        <f>ABS(G373-H373)/ABS(G373)</f>
        <v>0</v>
      </c>
    </row>
    <row r="374" spans="3:11" x14ac:dyDescent="0.2">
      <c r="C374" t="s">
        <v>1956</v>
      </c>
      <c r="D374" t="b">
        <f ca="1">IF(CELL("format",F374)="G",IF(ABS(F374-G374) &lt;= ABS(F374*B$3),TRUE,FALSE),IF(F374=G374,TRUE,FALSE))</f>
        <v>1</v>
      </c>
      <c r="E374" s="5">
        <f>ABS(F374-G374)/ABS(F374)</f>
        <v>0</v>
      </c>
      <c r="F374">
        <v>17</v>
      </c>
      <c r="G374">
        <v>17</v>
      </c>
      <c r="H374">
        <v>17</v>
      </c>
      <c r="J374" s="5">
        <f>ABS(F374-G374)/ABS(F374)</f>
        <v>0</v>
      </c>
      <c r="K374" s="5">
        <f>ABS(G374-H374)/ABS(G374)</f>
        <v>0</v>
      </c>
    </row>
    <row r="375" spans="3:11" x14ac:dyDescent="0.2">
      <c r="C375" t="s">
        <v>1957</v>
      </c>
      <c r="D375" t="b">
        <f ca="1">IF(CELL("format",F375)="G",IF(ABS(F375-G375) &lt;= ABS(F375*B$3),TRUE,FALSE),IF(F375=G375,TRUE,FALSE))</f>
        <v>1</v>
      </c>
      <c r="E375" s="5">
        <f>ABS(F375-G375)/ABS(F375)</f>
        <v>0</v>
      </c>
      <c r="F375">
        <v>1.0840700000000001</v>
      </c>
      <c r="G375">
        <v>1.0840700000000001</v>
      </c>
      <c r="H375">
        <v>1.0840700000000001</v>
      </c>
      <c r="J375" s="5">
        <f>ABS(F375-G375)/ABS(F375)</f>
        <v>0</v>
      </c>
      <c r="K375" s="5">
        <f>ABS(G375-H375)/ABS(G375)</f>
        <v>0</v>
      </c>
    </row>
    <row r="376" spans="3:11" x14ac:dyDescent="0.2">
      <c r="C376" t="s">
        <v>1958</v>
      </c>
      <c r="D376" t="e">
        <f ca="1">IF(CELL("format",F376)="G",IF(ABS(F376-G376) &lt;= ABS(F376*B$3),TRUE,FALSE),IF(F376=G376,TRUE,FALSE))</f>
        <v>#VALUE!</v>
      </c>
      <c r="E376" s="5" t="e">
        <f>ABS(F376-G376)/ABS(F376)</f>
        <v>#VALUE!</v>
      </c>
      <c r="F376" t="s">
        <v>2353</v>
      </c>
      <c r="G376" t="s">
        <v>2353</v>
      </c>
      <c r="H376" t="s">
        <v>2353</v>
      </c>
      <c r="J376" s="5" t="e">
        <f>ABS(F376-G376)/ABS(F376)</f>
        <v>#VALUE!</v>
      </c>
      <c r="K376" s="5" t="e">
        <f>ABS(G376-H376)/ABS(G376)</f>
        <v>#VALUE!</v>
      </c>
    </row>
    <row r="377" spans="3:11" x14ac:dyDescent="0.2">
      <c r="C377" t="s">
        <v>1959</v>
      </c>
      <c r="D377" t="b">
        <f ca="1">IF(CELL("format",F377)="G",IF(ABS(F377-G377) &lt;= ABS(F377*B$3),TRUE,FALSE),IF(F377=G377,TRUE,FALSE))</f>
        <v>1</v>
      </c>
      <c r="E377" s="5">
        <f>ABS(F377-G377)/ABS(F377)</f>
        <v>0</v>
      </c>
      <c r="F377">
        <v>26</v>
      </c>
      <c r="G377">
        <v>26</v>
      </c>
      <c r="H377">
        <v>26</v>
      </c>
      <c r="J377" s="5">
        <f>ABS(F377-G377)/ABS(F377)</f>
        <v>0</v>
      </c>
      <c r="K377" s="5">
        <f>ABS(G377-H377)/ABS(G377)</f>
        <v>0</v>
      </c>
    </row>
    <row r="378" spans="3:11" x14ac:dyDescent="0.2">
      <c r="C378" t="s">
        <v>1960</v>
      </c>
      <c r="D378" t="b">
        <f ca="1">IF(CELL("format",F378)="G",IF(ABS(F378-G378) &lt;= ABS(F378*B$3),TRUE,FALSE),IF(F378=G378,TRUE,FALSE))</f>
        <v>1</v>
      </c>
      <c r="E378" s="5">
        <f>ABS(F378-G378)/ABS(F378)</f>
        <v>0</v>
      </c>
      <c r="F378">
        <v>17</v>
      </c>
      <c r="G378">
        <v>17</v>
      </c>
      <c r="H378">
        <v>17</v>
      </c>
      <c r="J378" s="5">
        <f>ABS(F378-G378)/ABS(F378)</f>
        <v>0</v>
      </c>
      <c r="K378" s="5">
        <f>ABS(G378-H378)/ABS(G378)</f>
        <v>0</v>
      </c>
    </row>
    <row r="379" spans="3:11" x14ac:dyDescent="0.2">
      <c r="C379" t="s">
        <v>1961</v>
      </c>
      <c r="D379" t="b">
        <f ca="1">IF(CELL("format",F379)="G",IF(ABS(F379-G379) &lt;= ABS(F379*B$3),TRUE,FALSE),IF(F379=G379,TRUE,FALSE))</f>
        <v>1</v>
      </c>
      <c r="E379" s="5">
        <f>ABS(F379-G379)/ABS(F379)</f>
        <v>0</v>
      </c>
      <c r="F379">
        <v>1.4004799999999999</v>
      </c>
      <c r="G379">
        <v>1.4004799999999999</v>
      </c>
      <c r="H379">
        <v>1.4004799999999999</v>
      </c>
      <c r="J379" s="5">
        <f>ABS(F379-G379)/ABS(F379)</f>
        <v>0</v>
      </c>
      <c r="K379" s="5">
        <f>ABS(G379-H379)/ABS(G379)</f>
        <v>0</v>
      </c>
    </row>
    <row r="380" spans="3:11" x14ac:dyDescent="0.2">
      <c r="C380" t="s">
        <v>1962</v>
      </c>
      <c r="D380" t="e">
        <f ca="1">IF(CELL("format",F380)="G",IF(ABS(F380-G380) &lt;= ABS(F380*B$3),TRUE,FALSE),IF(F380=G380,TRUE,FALSE))</f>
        <v>#VALUE!</v>
      </c>
      <c r="E380" s="5" t="e">
        <f>ABS(F380-G380)/ABS(F380)</f>
        <v>#VALUE!</v>
      </c>
      <c r="F380" t="s">
        <v>2353</v>
      </c>
      <c r="G380" t="s">
        <v>2353</v>
      </c>
      <c r="H380" t="s">
        <v>2353</v>
      </c>
      <c r="J380" s="5" t="e">
        <f>ABS(F380-G380)/ABS(F380)</f>
        <v>#VALUE!</v>
      </c>
      <c r="K380" s="5" t="e">
        <f>ABS(G380-H380)/ABS(G380)</f>
        <v>#VALUE!</v>
      </c>
    </row>
    <row r="381" spans="3:11" x14ac:dyDescent="0.2">
      <c r="C381" t="s">
        <v>1963</v>
      </c>
      <c r="D381" t="b">
        <f ca="1">IF(CELL("format",F381)="G",IF(ABS(F381-G381) &lt;= ABS(F381*B$3),TRUE,FALSE),IF(F381=G381,TRUE,FALSE))</f>
        <v>1</v>
      </c>
      <c r="E381" s="5">
        <f>ABS(F381-G381)/ABS(F381)</f>
        <v>0</v>
      </c>
      <c r="F381">
        <v>26</v>
      </c>
      <c r="G381">
        <v>26</v>
      </c>
      <c r="H381">
        <v>26</v>
      </c>
      <c r="J381" s="5">
        <f>ABS(F381-G381)/ABS(F381)</f>
        <v>0</v>
      </c>
      <c r="K381" s="5">
        <f>ABS(G381-H381)/ABS(G381)</f>
        <v>0</v>
      </c>
    </row>
    <row r="382" spans="3:11" x14ac:dyDescent="0.2">
      <c r="C382" t="s">
        <v>1964</v>
      </c>
      <c r="D382" t="b">
        <f ca="1">IF(CELL("format",F382)="G",IF(ABS(F382-G382) &lt;= ABS(F382*B$3),TRUE,FALSE),IF(F382=G382,TRUE,FALSE))</f>
        <v>1</v>
      </c>
      <c r="E382" s="5">
        <f>ABS(F382-G382)/ABS(F382)</f>
        <v>0</v>
      </c>
      <c r="F382">
        <v>17</v>
      </c>
      <c r="G382">
        <v>17</v>
      </c>
      <c r="H382">
        <v>17</v>
      </c>
      <c r="J382" s="5">
        <f>ABS(F382-G382)/ABS(F382)</f>
        <v>0</v>
      </c>
      <c r="K382" s="5">
        <f>ABS(G382-H382)/ABS(G382)</f>
        <v>0</v>
      </c>
    </row>
    <row r="383" spans="3:11" x14ac:dyDescent="0.2">
      <c r="C383" t="s">
        <v>1965</v>
      </c>
      <c r="D383" t="b">
        <f ca="1">IF(CELL("format",F383)="G",IF(ABS(F383-G383) &lt;= ABS(F383*B$3),TRUE,FALSE),IF(F383=G383,TRUE,FALSE))</f>
        <v>1</v>
      </c>
      <c r="E383" s="5">
        <f>ABS(F383-G383)/ABS(F383)</f>
        <v>0</v>
      </c>
      <c r="F383">
        <v>1.1825699999999999</v>
      </c>
      <c r="G383">
        <v>1.1825699999999999</v>
      </c>
      <c r="H383">
        <v>1.1825699999999999</v>
      </c>
      <c r="J383" s="5">
        <f>ABS(F383-G383)/ABS(F383)</f>
        <v>0</v>
      </c>
      <c r="K383" s="5">
        <f>ABS(G383-H383)/ABS(G383)</f>
        <v>0</v>
      </c>
    </row>
    <row r="384" spans="3:11" x14ac:dyDescent="0.2">
      <c r="C384" t="s">
        <v>1966</v>
      </c>
      <c r="D384" t="e">
        <f ca="1">IF(CELL("format",F384)="G",IF(ABS(F384-G384) &lt;= ABS(F384*B$3),TRUE,FALSE),IF(F384=G384,TRUE,FALSE))</f>
        <v>#VALUE!</v>
      </c>
      <c r="E384" s="5" t="e">
        <f>ABS(F384-G384)/ABS(F384)</f>
        <v>#VALUE!</v>
      </c>
      <c r="F384" t="s">
        <v>2353</v>
      </c>
      <c r="G384" t="s">
        <v>2353</v>
      </c>
      <c r="H384" t="s">
        <v>2353</v>
      </c>
      <c r="J384" s="5" t="e">
        <f>ABS(F384-G384)/ABS(F384)</f>
        <v>#VALUE!</v>
      </c>
      <c r="K384" s="5" t="e">
        <f>ABS(G384-H384)/ABS(G384)</f>
        <v>#VALUE!</v>
      </c>
    </row>
    <row r="385" spans="3:11" x14ac:dyDescent="0.2">
      <c r="C385" t="s">
        <v>1967</v>
      </c>
      <c r="D385" t="b">
        <f ca="1">IF(CELL("format",F385)="G",IF(ABS(F385-G385) &lt;= ABS(F385*B$3),TRUE,FALSE),IF(F385=G385,TRUE,FALSE))</f>
        <v>1</v>
      </c>
      <c r="E385" s="5">
        <f>ABS(F385-G385)/ABS(F385)</f>
        <v>0</v>
      </c>
      <c r="F385">
        <v>26</v>
      </c>
      <c r="G385">
        <v>26</v>
      </c>
      <c r="H385">
        <v>26</v>
      </c>
      <c r="J385" s="5">
        <f>ABS(F385-G385)/ABS(F385)</f>
        <v>0</v>
      </c>
      <c r="K385" s="5">
        <f>ABS(G385-H385)/ABS(G385)</f>
        <v>0</v>
      </c>
    </row>
    <row r="386" spans="3:11" x14ac:dyDescent="0.2">
      <c r="C386" t="s">
        <v>1968</v>
      </c>
      <c r="D386" t="b">
        <f ca="1">IF(CELL("format",F386)="G",IF(ABS(F386-G386) &lt;= ABS(F386*B$3),TRUE,FALSE),IF(F386=G386,TRUE,FALSE))</f>
        <v>1</v>
      </c>
      <c r="E386" s="5">
        <f>ABS(F386-G386)/ABS(F386)</f>
        <v>0</v>
      </c>
      <c r="F386">
        <v>18</v>
      </c>
      <c r="G386">
        <v>18</v>
      </c>
      <c r="H386">
        <v>18</v>
      </c>
      <c r="J386" s="5">
        <f>ABS(F386-G386)/ABS(F386)</f>
        <v>0</v>
      </c>
      <c r="K386" s="5">
        <f>ABS(G386-H386)/ABS(G386)</f>
        <v>0</v>
      </c>
    </row>
    <row r="387" spans="3:11" x14ac:dyDescent="0.2">
      <c r="C387" t="s">
        <v>1969</v>
      </c>
      <c r="D387" t="b">
        <f ca="1">IF(CELL("format",F387)="G",IF(ABS(F387-G387) &lt;= ABS(F387*B$3),TRUE,FALSE),IF(F387=G387,TRUE,FALSE))</f>
        <v>1</v>
      </c>
      <c r="E387" s="5">
        <f>ABS(F387-G387)/ABS(F387)</f>
        <v>0</v>
      </c>
      <c r="F387">
        <v>1.8405499999999999</v>
      </c>
      <c r="G387">
        <v>1.8405499999999999</v>
      </c>
      <c r="H387">
        <v>1.8405499999999999</v>
      </c>
      <c r="J387" s="5">
        <f>ABS(F387-G387)/ABS(F387)</f>
        <v>0</v>
      </c>
      <c r="K387" s="5">
        <f>ABS(G387-H387)/ABS(G387)</f>
        <v>0</v>
      </c>
    </row>
    <row r="388" spans="3:11" x14ac:dyDescent="0.2">
      <c r="C388" t="s">
        <v>1970</v>
      </c>
      <c r="D388" t="e">
        <f ca="1">IF(CELL("format",F388)="G",IF(ABS(F388-G388) &lt;= ABS(F388*B$3),TRUE,FALSE),IF(F388=G388,TRUE,FALSE))</f>
        <v>#VALUE!</v>
      </c>
      <c r="E388" s="5" t="e">
        <f>ABS(F388-G388)/ABS(F388)</f>
        <v>#VALUE!</v>
      </c>
      <c r="F388" t="s">
        <v>2353</v>
      </c>
      <c r="G388" t="s">
        <v>2353</v>
      </c>
      <c r="H388" t="s">
        <v>2353</v>
      </c>
      <c r="J388" s="5" t="e">
        <f>ABS(F388-G388)/ABS(F388)</f>
        <v>#VALUE!</v>
      </c>
      <c r="K388" s="5" t="e">
        <f>ABS(G388-H388)/ABS(G388)</f>
        <v>#VALUE!</v>
      </c>
    </row>
    <row r="389" spans="3:11" x14ac:dyDescent="0.2">
      <c r="C389" t="s">
        <v>1971</v>
      </c>
      <c r="D389" t="b">
        <f ca="1">IF(CELL("format",F389)="G",IF(ABS(F389-G389) &lt;= ABS(F389*B$3),TRUE,FALSE),IF(F389=G389,TRUE,FALSE))</f>
        <v>1</v>
      </c>
      <c r="E389" s="5">
        <f>ABS(F389-G389)/ABS(F389)</f>
        <v>0</v>
      </c>
      <c r="F389">
        <v>26</v>
      </c>
      <c r="G389">
        <v>26</v>
      </c>
      <c r="H389">
        <v>26</v>
      </c>
      <c r="J389" s="5">
        <f>ABS(F389-G389)/ABS(F389)</f>
        <v>0</v>
      </c>
      <c r="K389" s="5">
        <f>ABS(G389-H389)/ABS(G389)</f>
        <v>0</v>
      </c>
    </row>
    <row r="390" spans="3:11" x14ac:dyDescent="0.2">
      <c r="C390" t="s">
        <v>1972</v>
      </c>
      <c r="D390" t="b">
        <f ca="1">IF(CELL("format",F390)="G",IF(ABS(F390-G390) &lt;= ABS(F390*B$3),TRUE,FALSE),IF(F390=G390,TRUE,FALSE))</f>
        <v>1</v>
      </c>
      <c r="E390" s="5">
        <f>ABS(F390-G390)/ABS(F390)</f>
        <v>0</v>
      </c>
      <c r="F390">
        <v>17</v>
      </c>
      <c r="G390">
        <v>17</v>
      </c>
      <c r="H390">
        <v>17</v>
      </c>
      <c r="J390" s="5">
        <f>ABS(F390-G390)/ABS(F390)</f>
        <v>0</v>
      </c>
      <c r="K390" s="5">
        <f>ABS(G390-H390)/ABS(G390)</f>
        <v>0</v>
      </c>
    </row>
    <row r="391" spans="3:11" x14ac:dyDescent="0.2">
      <c r="C391" t="s">
        <v>1973</v>
      </c>
      <c r="D391" t="b">
        <f ca="1">IF(CELL("format",F391)="G",IF(ABS(F391-G391) &lt;= ABS(F391*B$3),TRUE,FALSE),IF(F391=G391,TRUE,FALSE))</f>
        <v>1</v>
      </c>
      <c r="E391" s="5">
        <f>ABS(F391-G391)/ABS(F391)</f>
        <v>0</v>
      </c>
      <c r="F391">
        <v>1.36402</v>
      </c>
      <c r="G391">
        <v>1.36402</v>
      </c>
      <c r="H391">
        <v>1.36402</v>
      </c>
      <c r="J391" s="5">
        <f>ABS(F391-G391)/ABS(F391)</f>
        <v>0</v>
      </c>
      <c r="K391" s="5">
        <f>ABS(G391-H391)/ABS(G391)</f>
        <v>0</v>
      </c>
    </row>
    <row r="392" spans="3:11" x14ac:dyDescent="0.2">
      <c r="C392" t="s">
        <v>1974</v>
      </c>
      <c r="D392" t="e">
        <f ca="1">IF(CELL("format",F392)="G",IF(ABS(F392-G392) &lt;= ABS(F392*B$3),TRUE,FALSE),IF(F392=G392,TRUE,FALSE))</f>
        <v>#VALUE!</v>
      </c>
      <c r="E392" s="5" t="e">
        <f>ABS(F392-G392)/ABS(F392)</f>
        <v>#VALUE!</v>
      </c>
      <c r="F392" t="s">
        <v>2353</v>
      </c>
      <c r="G392" t="s">
        <v>2353</v>
      </c>
      <c r="H392" t="s">
        <v>2353</v>
      </c>
      <c r="J392" s="5" t="e">
        <f>ABS(F392-G392)/ABS(F392)</f>
        <v>#VALUE!</v>
      </c>
      <c r="K392" s="5" t="e">
        <f>ABS(G392-H392)/ABS(G392)</f>
        <v>#VALUE!</v>
      </c>
    </row>
    <row r="393" spans="3:11" x14ac:dyDescent="0.2">
      <c r="C393" t="s">
        <v>1975</v>
      </c>
      <c r="D393" t="b">
        <f ca="1">IF(CELL("format",F393)="G",IF(ABS(F393-G393) &lt;= ABS(F393*B$3),TRUE,FALSE),IF(F393=G393,TRUE,FALSE))</f>
        <v>1</v>
      </c>
      <c r="E393" s="5">
        <f>ABS(F393-G393)/ABS(F393)</f>
        <v>0</v>
      </c>
      <c r="F393">
        <v>26</v>
      </c>
      <c r="G393">
        <v>26</v>
      </c>
      <c r="H393">
        <v>26</v>
      </c>
      <c r="J393" s="5">
        <f>ABS(F393-G393)/ABS(F393)</f>
        <v>0</v>
      </c>
      <c r="K393" s="5">
        <f>ABS(G393-H393)/ABS(G393)</f>
        <v>0</v>
      </c>
    </row>
    <row r="394" spans="3:11" x14ac:dyDescent="0.2">
      <c r="C394" t="s">
        <v>1976</v>
      </c>
      <c r="D394" t="b">
        <f ca="1">IF(CELL("format",F394)="G",IF(ABS(F394-G394) &lt;= ABS(F394*B$3),TRUE,FALSE),IF(F394=G394,TRUE,FALSE))</f>
        <v>1</v>
      </c>
      <c r="E394" s="5">
        <f>ABS(F394-G394)/ABS(F394)</f>
        <v>0</v>
      </c>
      <c r="F394">
        <v>18</v>
      </c>
      <c r="G394">
        <v>18</v>
      </c>
      <c r="H394">
        <v>18</v>
      </c>
      <c r="J394" s="5">
        <f>ABS(F394-G394)/ABS(F394)</f>
        <v>0</v>
      </c>
      <c r="K394" s="5">
        <f>ABS(G394-H394)/ABS(G394)</f>
        <v>0</v>
      </c>
    </row>
    <row r="395" spans="3:11" x14ac:dyDescent="0.2">
      <c r="C395" t="s">
        <v>1977</v>
      </c>
      <c r="D395" t="b">
        <f ca="1">IF(CELL("format",F395)="G",IF(ABS(F395-G395) &lt;= ABS(F395*B$3),TRUE,FALSE),IF(F395=G395,TRUE,FALSE))</f>
        <v>1</v>
      </c>
      <c r="E395" s="5">
        <f>ABS(F395-G395)/ABS(F395)</f>
        <v>0</v>
      </c>
      <c r="F395">
        <v>2.8662999999999998</v>
      </c>
      <c r="G395">
        <v>2.8662999999999998</v>
      </c>
      <c r="H395">
        <v>2.8662999999999998</v>
      </c>
      <c r="J395" s="5">
        <f>ABS(F395-G395)/ABS(F395)</f>
        <v>0</v>
      </c>
      <c r="K395" s="5">
        <f>ABS(G395-H395)/ABS(G395)</f>
        <v>0</v>
      </c>
    </row>
    <row r="396" spans="3:11" x14ac:dyDescent="0.2">
      <c r="C396" t="s">
        <v>1978</v>
      </c>
      <c r="D396" t="e">
        <f ca="1">IF(CELL("format",F396)="G",IF(ABS(F396-G396) &lt;= ABS(F396*B$3),TRUE,FALSE),IF(F396=G396,TRUE,FALSE))</f>
        <v>#VALUE!</v>
      </c>
      <c r="E396" s="5" t="e">
        <f>ABS(F396-G396)/ABS(F396)</f>
        <v>#VALUE!</v>
      </c>
      <c r="F396" t="s">
        <v>2356</v>
      </c>
      <c r="G396" t="s">
        <v>2356</v>
      </c>
      <c r="H396" t="s">
        <v>2356</v>
      </c>
      <c r="J396" s="5" t="e">
        <f>ABS(F396-G396)/ABS(F396)</f>
        <v>#VALUE!</v>
      </c>
      <c r="K396" s="5" t="e">
        <f>ABS(G396-H396)/ABS(G396)</f>
        <v>#VALUE!</v>
      </c>
    </row>
    <row r="397" spans="3:11" x14ac:dyDescent="0.2">
      <c r="C397" t="s">
        <v>1979</v>
      </c>
      <c r="D397" t="b">
        <f ca="1">IF(CELL("format",F397)="G",IF(ABS(F397-G397) &lt;= ABS(F397*B$3),TRUE,FALSE),IF(F397=G397,TRUE,FALSE))</f>
        <v>1</v>
      </c>
      <c r="E397" s="5">
        <f>ABS(F397-G397)/ABS(F397)</f>
        <v>0</v>
      </c>
      <c r="F397">
        <v>19</v>
      </c>
      <c r="G397">
        <v>19</v>
      </c>
      <c r="H397">
        <v>19</v>
      </c>
      <c r="J397" s="5">
        <f>ABS(F397-G397)/ABS(F397)</f>
        <v>0</v>
      </c>
      <c r="K397" s="5">
        <f>ABS(G397-H397)/ABS(G397)</f>
        <v>0</v>
      </c>
    </row>
    <row r="398" spans="3:11" x14ac:dyDescent="0.2">
      <c r="C398" t="s">
        <v>1980</v>
      </c>
      <c r="D398" t="b">
        <f ca="1">IF(CELL("format",F398)="G",IF(ABS(F398-G398) &lt;= ABS(F398*B$3),TRUE,FALSE),IF(F398=G398,TRUE,FALSE))</f>
        <v>1</v>
      </c>
      <c r="E398" s="5">
        <f>ABS(F398-G398)/ABS(F398)</f>
        <v>0</v>
      </c>
      <c r="F398">
        <v>12</v>
      </c>
      <c r="G398">
        <v>12</v>
      </c>
      <c r="H398">
        <v>12</v>
      </c>
      <c r="J398" s="5">
        <f>ABS(F398-G398)/ABS(F398)</f>
        <v>0</v>
      </c>
      <c r="K398" s="5">
        <f>ABS(G398-H398)/ABS(G398)</f>
        <v>0</v>
      </c>
    </row>
    <row r="399" spans="3:11" x14ac:dyDescent="0.2">
      <c r="C399" t="s">
        <v>1981</v>
      </c>
      <c r="D399" t="b">
        <f ca="1">IF(CELL("format",F399)="G",IF(ABS(F399-G399) &lt;= ABS(F399*B$3),TRUE,FALSE),IF(F399=G399,TRUE,FALSE))</f>
        <v>1</v>
      </c>
      <c r="E399" s="5">
        <f>ABS(F399-G399)/ABS(F399)</f>
        <v>0</v>
      </c>
      <c r="F399">
        <v>6.8388400000000003</v>
      </c>
      <c r="G399">
        <v>6.8388400000000003</v>
      </c>
      <c r="H399">
        <v>6.8388400000000003</v>
      </c>
      <c r="J399" s="5">
        <f>ABS(F399-G399)/ABS(F399)</f>
        <v>0</v>
      </c>
      <c r="K399" s="5">
        <f>ABS(G399-H399)/ABS(G399)</f>
        <v>0</v>
      </c>
    </row>
    <row r="400" spans="3:11" x14ac:dyDescent="0.2">
      <c r="C400" t="s">
        <v>1982</v>
      </c>
      <c r="D400" t="e">
        <f ca="1">IF(CELL("format",F400)="G",IF(ABS(F400-G400) &lt;= ABS(F400*B$3),TRUE,FALSE),IF(F400=G400,TRUE,FALSE))</f>
        <v>#VALUE!</v>
      </c>
      <c r="E400" s="5" t="e">
        <f>ABS(F400-G400)/ABS(F400)</f>
        <v>#VALUE!</v>
      </c>
      <c r="F400" t="s">
        <v>2351</v>
      </c>
      <c r="G400" t="s">
        <v>2351</v>
      </c>
      <c r="H400" t="s">
        <v>2351</v>
      </c>
      <c r="J400" s="5" t="e">
        <f>ABS(F400-G400)/ABS(F400)</f>
        <v>#VALUE!</v>
      </c>
      <c r="K400" s="5" t="e">
        <f>ABS(G400-H400)/ABS(G400)</f>
        <v>#VALUE!</v>
      </c>
    </row>
    <row r="401" spans="3:11" x14ac:dyDescent="0.2">
      <c r="C401" t="s">
        <v>1983</v>
      </c>
      <c r="D401" t="b">
        <f ca="1">IF(CELL("format",F401)="G",IF(ABS(F401-G401) &lt;= ABS(F401*B$3),TRUE,FALSE),IF(F401=G401,TRUE,FALSE))</f>
        <v>1</v>
      </c>
      <c r="E401" s="5">
        <f>ABS(F401-G401)/ABS(F401)</f>
        <v>0</v>
      </c>
      <c r="F401">
        <v>22</v>
      </c>
      <c r="G401">
        <v>22</v>
      </c>
      <c r="H401">
        <v>22</v>
      </c>
      <c r="J401" s="5">
        <f>ABS(F401-G401)/ABS(F401)</f>
        <v>0</v>
      </c>
      <c r="K401" s="5">
        <f>ABS(G401-H401)/ABS(G401)</f>
        <v>0</v>
      </c>
    </row>
    <row r="402" spans="3:11" x14ac:dyDescent="0.2">
      <c r="C402" t="s">
        <v>1984</v>
      </c>
      <c r="D402" t="b">
        <f ca="1">IF(CELL("format",F402)="G",IF(ABS(F402-G402) &lt;= ABS(F402*B$3),TRUE,FALSE),IF(F402=G402,TRUE,FALSE))</f>
        <v>1</v>
      </c>
      <c r="E402" s="5">
        <f>ABS(F402-G402)/ABS(F402)</f>
        <v>0</v>
      </c>
      <c r="F402">
        <v>14</v>
      </c>
      <c r="G402">
        <v>14</v>
      </c>
      <c r="H402">
        <v>14</v>
      </c>
      <c r="J402" s="5">
        <f>ABS(F402-G402)/ABS(F402)</f>
        <v>0</v>
      </c>
      <c r="K402" s="5">
        <f>ABS(G402-H402)/ABS(G402)</f>
        <v>0</v>
      </c>
    </row>
    <row r="403" spans="3:11" x14ac:dyDescent="0.2">
      <c r="C403" t="s">
        <v>1985</v>
      </c>
      <c r="D403" t="b">
        <f ca="1">IF(CELL("format",F403)="G",IF(ABS(F403-G403) &lt;= ABS(F403*B$3),TRUE,FALSE),IF(F403=G403,TRUE,FALSE))</f>
        <v>1</v>
      </c>
      <c r="E403" s="5">
        <f>ABS(F403-G403)/ABS(F403)</f>
        <v>0</v>
      </c>
      <c r="F403">
        <v>4.7271799999999997</v>
      </c>
      <c r="G403">
        <v>4.7271799999999997</v>
      </c>
      <c r="H403">
        <v>4.7271799999999997</v>
      </c>
      <c r="J403" s="5">
        <f>ABS(F403-G403)/ABS(F403)</f>
        <v>0</v>
      </c>
      <c r="K403" s="5">
        <f>ABS(G403-H403)/ABS(G403)</f>
        <v>0</v>
      </c>
    </row>
    <row r="404" spans="3:11" x14ac:dyDescent="0.2">
      <c r="C404" t="s">
        <v>1986</v>
      </c>
      <c r="D404" t="e">
        <f ca="1">IF(CELL("format",F404)="G",IF(ABS(F404-G404) &lt;= ABS(F404*B$3),TRUE,FALSE),IF(F404=G404,TRUE,FALSE))</f>
        <v>#VALUE!</v>
      </c>
      <c r="E404" s="5" t="e">
        <f>ABS(F404-G404)/ABS(F404)</f>
        <v>#VALUE!</v>
      </c>
      <c r="F404" t="s">
        <v>2349</v>
      </c>
      <c r="G404" t="s">
        <v>2349</v>
      </c>
      <c r="H404" t="s">
        <v>2349</v>
      </c>
      <c r="J404" s="5" t="e">
        <f>ABS(F404-G404)/ABS(F404)</f>
        <v>#VALUE!</v>
      </c>
      <c r="K404" s="5" t="e">
        <f>ABS(G404-H404)/ABS(G404)</f>
        <v>#VALUE!</v>
      </c>
    </row>
    <row r="405" spans="3:11" x14ac:dyDescent="0.2">
      <c r="C405" t="s">
        <v>1987</v>
      </c>
      <c r="D405" t="b">
        <f ca="1">IF(CELL("format",F405)="G",IF(ABS(F405-G405) &lt;= ABS(F405*B$3),TRUE,FALSE),IF(F405=G405,TRUE,FALSE))</f>
        <v>1</v>
      </c>
      <c r="E405" s="5">
        <f>ABS(F405-G405)/ABS(F405)</f>
        <v>0</v>
      </c>
      <c r="F405">
        <v>1</v>
      </c>
      <c r="G405">
        <v>1</v>
      </c>
      <c r="H405">
        <v>1</v>
      </c>
      <c r="J405" s="5">
        <f>ABS(F405-G405)/ABS(F405)</f>
        <v>0</v>
      </c>
      <c r="K405" s="5">
        <f>ABS(G405-H405)/ABS(G405)</f>
        <v>0</v>
      </c>
    </row>
    <row r="406" spans="3:11" x14ac:dyDescent="0.2">
      <c r="C406" t="s">
        <v>1988</v>
      </c>
      <c r="D406" t="b">
        <f ca="1">IF(CELL("format",F406)="G",IF(ABS(F406-G406) &lt;= ABS(F406*B$3),TRUE,FALSE),IF(F406=G406,TRUE,FALSE))</f>
        <v>1</v>
      </c>
      <c r="E406" s="5">
        <f>ABS(F406-G406)/ABS(F406)</f>
        <v>0</v>
      </c>
      <c r="F406">
        <v>13</v>
      </c>
      <c r="G406">
        <v>13</v>
      </c>
      <c r="H406">
        <v>13</v>
      </c>
      <c r="J406" s="5">
        <f>ABS(F406-G406)/ABS(F406)</f>
        <v>0</v>
      </c>
      <c r="K406" s="5">
        <f>ABS(G406-H406)/ABS(G406)</f>
        <v>0</v>
      </c>
    </row>
    <row r="407" spans="3:11" x14ac:dyDescent="0.2">
      <c r="C407" t="s">
        <v>1989</v>
      </c>
      <c r="D407" t="b">
        <f ca="1">IF(CELL("format",F407)="G",IF(ABS(F407-G407) &lt;= ABS(F407*B$3),TRUE,FALSE),IF(F407=G407,TRUE,FALSE))</f>
        <v>1</v>
      </c>
      <c r="E407" s="5">
        <f>ABS(F407-G407)/ABS(F407)</f>
        <v>0</v>
      </c>
      <c r="F407">
        <v>6.59457</v>
      </c>
      <c r="G407">
        <v>6.59457</v>
      </c>
      <c r="H407">
        <v>6.59457</v>
      </c>
      <c r="J407" s="5">
        <f>ABS(F407-G407)/ABS(F407)</f>
        <v>0</v>
      </c>
      <c r="K407" s="5">
        <f>ABS(G407-H407)/ABS(G407)</f>
        <v>0</v>
      </c>
    </row>
    <row r="408" spans="3:11" x14ac:dyDescent="0.2">
      <c r="C408" t="s">
        <v>1990</v>
      </c>
      <c r="D408" t="e">
        <f ca="1">IF(CELL("format",F408)="G",IF(ABS(F408-G408) &lt;= ABS(F408*B$3),TRUE,FALSE),IF(F408=G408,TRUE,FALSE))</f>
        <v>#VALUE!</v>
      </c>
      <c r="E408" s="5" t="e">
        <f>ABS(F408-G408)/ABS(F408)</f>
        <v>#VALUE!</v>
      </c>
      <c r="F408" t="s">
        <v>2349</v>
      </c>
      <c r="G408" t="s">
        <v>2349</v>
      </c>
      <c r="H408" t="s">
        <v>2349</v>
      </c>
      <c r="J408" s="5" t="e">
        <f>ABS(F408-G408)/ABS(F408)</f>
        <v>#VALUE!</v>
      </c>
      <c r="K408" s="5" t="e">
        <f>ABS(G408-H408)/ABS(G408)</f>
        <v>#VALUE!</v>
      </c>
    </row>
    <row r="409" spans="3:11" x14ac:dyDescent="0.2">
      <c r="C409" t="s">
        <v>1991</v>
      </c>
      <c r="D409" t="b">
        <f ca="1">IF(CELL("format",F409)="G",IF(ABS(F409-G409) &lt;= ABS(F409*B$3),TRUE,FALSE),IF(F409=G409,TRUE,FALSE))</f>
        <v>1</v>
      </c>
      <c r="E409" s="5">
        <f>ABS(F409-G409)/ABS(F409)</f>
        <v>0</v>
      </c>
      <c r="F409">
        <v>22</v>
      </c>
      <c r="G409">
        <v>22</v>
      </c>
      <c r="H409">
        <v>22</v>
      </c>
      <c r="J409" s="5">
        <f>ABS(F409-G409)/ABS(F409)</f>
        <v>0</v>
      </c>
      <c r="K409" s="5">
        <f>ABS(G409-H409)/ABS(G409)</f>
        <v>0</v>
      </c>
    </row>
    <row r="410" spans="3:11" x14ac:dyDescent="0.2">
      <c r="C410" t="s">
        <v>1992</v>
      </c>
      <c r="D410" t="b">
        <f ca="1">IF(CELL("format",F410)="G",IF(ABS(F410-G410) &lt;= ABS(F410*B$3),TRUE,FALSE),IF(F410=G410,TRUE,FALSE))</f>
        <v>1</v>
      </c>
      <c r="E410" s="5">
        <f>ABS(F410-G410)/ABS(F410)</f>
        <v>0</v>
      </c>
      <c r="F410">
        <v>13</v>
      </c>
      <c r="G410">
        <v>13</v>
      </c>
      <c r="H410">
        <v>13</v>
      </c>
      <c r="J410" s="5">
        <f>ABS(F410-G410)/ABS(F410)</f>
        <v>0</v>
      </c>
      <c r="K410" s="5">
        <f>ABS(G410-H410)/ABS(G410)</f>
        <v>0</v>
      </c>
    </row>
    <row r="411" spans="3:11" x14ac:dyDescent="0.2">
      <c r="C411" t="s">
        <v>1993</v>
      </c>
      <c r="D411" t="b">
        <f ca="1">IF(CELL("format",F411)="G",IF(ABS(F411-G411) &lt;= ABS(F411*B$3),TRUE,FALSE),IF(F411=G411,TRUE,FALSE))</f>
        <v>1</v>
      </c>
      <c r="E411" s="5">
        <f>ABS(F411-G411)/ABS(F411)</f>
        <v>0</v>
      </c>
      <c r="F411">
        <v>4.47478</v>
      </c>
      <c r="G411">
        <v>4.47478</v>
      </c>
      <c r="H411">
        <v>4.47478</v>
      </c>
      <c r="J411" s="5">
        <f>ABS(F411-G411)/ABS(F411)</f>
        <v>0</v>
      </c>
      <c r="K411" s="5">
        <f>ABS(G411-H411)/ABS(G411)</f>
        <v>0</v>
      </c>
    </row>
    <row r="412" spans="3:11" x14ac:dyDescent="0.2">
      <c r="C412" t="s">
        <v>1994</v>
      </c>
      <c r="D412" t="e">
        <f ca="1">IF(CELL("format",F412)="G",IF(ABS(F412-G412) &lt;= ABS(F412*B$3),TRUE,FALSE),IF(F412=G412,TRUE,FALSE))</f>
        <v>#VALUE!</v>
      </c>
      <c r="E412" s="5" t="e">
        <f>ABS(F412-G412)/ABS(F412)</f>
        <v>#VALUE!</v>
      </c>
      <c r="F412" t="s">
        <v>2353</v>
      </c>
      <c r="G412" t="s">
        <v>2353</v>
      </c>
      <c r="H412" t="s">
        <v>2353</v>
      </c>
      <c r="J412" s="5" t="e">
        <f>ABS(F412-G412)/ABS(F412)</f>
        <v>#VALUE!</v>
      </c>
      <c r="K412" s="5" t="e">
        <f>ABS(G412-H412)/ABS(G412)</f>
        <v>#VALUE!</v>
      </c>
    </row>
    <row r="413" spans="3:11" x14ac:dyDescent="0.2">
      <c r="C413" t="s">
        <v>1995</v>
      </c>
      <c r="D413" t="b">
        <f ca="1">IF(CELL("format",F413)="G",IF(ABS(F413-G413) &lt;= ABS(F413*B$3),TRUE,FALSE),IF(F413=G413,TRUE,FALSE))</f>
        <v>1</v>
      </c>
      <c r="E413" s="5">
        <f>ABS(F413-G413)/ABS(F413)</f>
        <v>0</v>
      </c>
      <c r="F413">
        <v>26</v>
      </c>
      <c r="G413">
        <v>26</v>
      </c>
      <c r="H413">
        <v>26</v>
      </c>
      <c r="J413" s="5">
        <f>ABS(F413-G413)/ABS(F413)</f>
        <v>0</v>
      </c>
      <c r="K413" s="5">
        <f>ABS(G413-H413)/ABS(G413)</f>
        <v>0</v>
      </c>
    </row>
    <row r="414" spans="3:11" x14ac:dyDescent="0.2">
      <c r="C414" t="s">
        <v>1996</v>
      </c>
      <c r="D414" t="b">
        <f ca="1">IF(CELL("format",F414)="G",IF(ABS(F414-G414) &lt;= ABS(F414*B$3),TRUE,FALSE),IF(F414=G414,TRUE,FALSE))</f>
        <v>1</v>
      </c>
      <c r="E414" s="5">
        <f>ABS(F414-G414)/ABS(F414)</f>
        <v>0</v>
      </c>
      <c r="F414">
        <v>17</v>
      </c>
      <c r="G414">
        <v>17</v>
      </c>
      <c r="H414">
        <v>17</v>
      </c>
      <c r="J414" s="5">
        <f>ABS(F414-G414)/ABS(F414)</f>
        <v>0</v>
      </c>
      <c r="K414" s="5">
        <f>ABS(G414-H414)/ABS(G414)</f>
        <v>0</v>
      </c>
    </row>
    <row r="415" spans="3:11" x14ac:dyDescent="0.2">
      <c r="C415" t="s">
        <v>1997</v>
      </c>
      <c r="D415" t="b">
        <f ca="1">IF(CELL("format",F415)="G",IF(ABS(F415-G415) &lt;= ABS(F415*B$3),TRUE,FALSE),IF(F415=G415,TRUE,FALSE))</f>
        <v>1</v>
      </c>
      <c r="E415" s="5">
        <f>ABS(F415-G415)/ABS(F415)</f>
        <v>0</v>
      </c>
      <c r="F415">
        <v>3.9690699999999999</v>
      </c>
      <c r="G415">
        <v>3.9690699999999999</v>
      </c>
      <c r="H415">
        <v>3.9690699999999999</v>
      </c>
      <c r="J415" s="5">
        <f>ABS(F415-G415)/ABS(F415)</f>
        <v>0</v>
      </c>
      <c r="K415" s="5">
        <f>ABS(G415-H415)/ABS(G415)</f>
        <v>0</v>
      </c>
    </row>
    <row r="416" spans="3:11" x14ac:dyDescent="0.2">
      <c r="C416" t="s">
        <v>1998</v>
      </c>
      <c r="D416" t="e">
        <f ca="1">IF(CELL("format",F416)="G",IF(ABS(F416-G416) &lt;= ABS(F416*B$3),TRUE,FALSE),IF(F416=G416,TRUE,FALSE))</f>
        <v>#VALUE!</v>
      </c>
      <c r="E416" s="5" t="e">
        <f>ABS(F416-G416)/ABS(F416)</f>
        <v>#VALUE!</v>
      </c>
      <c r="F416" t="s">
        <v>2353</v>
      </c>
      <c r="G416" t="s">
        <v>2353</v>
      </c>
      <c r="H416" t="s">
        <v>2353</v>
      </c>
      <c r="J416" s="5" t="e">
        <f>ABS(F416-G416)/ABS(F416)</f>
        <v>#VALUE!</v>
      </c>
      <c r="K416" s="5" t="e">
        <f>ABS(G416-H416)/ABS(G416)</f>
        <v>#VALUE!</v>
      </c>
    </row>
    <row r="417" spans="3:11" x14ac:dyDescent="0.2">
      <c r="C417" t="s">
        <v>1999</v>
      </c>
      <c r="D417" t="b">
        <f ca="1">IF(CELL("format",F417)="G",IF(ABS(F417-G417) &lt;= ABS(F417*B$3),TRUE,FALSE),IF(F417=G417,TRUE,FALSE))</f>
        <v>1</v>
      </c>
      <c r="E417" s="5">
        <f>ABS(F417-G417)/ABS(F417)</f>
        <v>0</v>
      </c>
      <c r="F417">
        <v>26</v>
      </c>
      <c r="G417">
        <v>26</v>
      </c>
      <c r="H417">
        <v>26</v>
      </c>
      <c r="J417" s="5">
        <f>ABS(F417-G417)/ABS(F417)</f>
        <v>0</v>
      </c>
      <c r="K417" s="5">
        <f>ABS(G417-H417)/ABS(G417)</f>
        <v>0</v>
      </c>
    </row>
    <row r="418" spans="3:11" x14ac:dyDescent="0.2">
      <c r="C418" t="s">
        <v>2000</v>
      </c>
      <c r="D418" t="b">
        <f ca="1">IF(CELL("format",F418)="G",IF(ABS(F418-G418) &lt;= ABS(F418*B$3),TRUE,FALSE),IF(F418=G418,TRUE,FALSE))</f>
        <v>1</v>
      </c>
      <c r="E418" s="5">
        <f>ABS(F418-G418)/ABS(F418)</f>
        <v>0</v>
      </c>
      <c r="F418">
        <v>18</v>
      </c>
      <c r="G418">
        <v>18</v>
      </c>
      <c r="H418">
        <v>18</v>
      </c>
      <c r="J418" s="5">
        <f>ABS(F418-G418)/ABS(F418)</f>
        <v>0</v>
      </c>
      <c r="K418" s="5">
        <f>ABS(G418-H418)/ABS(G418)</f>
        <v>0</v>
      </c>
    </row>
    <row r="419" spans="3:11" x14ac:dyDescent="0.2">
      <c r="C419" t="s">
        <v>2001</v>
      </c>
      <c r="D419" t="b">
        <f ca="1">IF(CELL("format",F419)="G",IF(ABS(F419-G419) &lt;= ABS(F419*B$3),TRUE,FALSE),IF(F419=G419,TRUE,FALSE))</f>
        <v>1</v>
      </c>
      <c r="E419" s="5">
        <f>ABS(F419-G419)/ABS(F419)</f>
        <v>0</v>
      </c>
      <c r="F419">
        <v>6.2091399999999997</v>
      </c>
      <c r="G419">
        <v>6.2091399999999997</v>
      </c>
      <c r="H419">
        <v>6.2091399999999997</v>
      </c>
      <c r="J419" s="5">
        <f>ABS(F419-G419)/ABS(F419)</f>
        <v>0</v>
      </c>
      <c r="K419" s="5">
        <f>ABS(G419-H419)/ABS(G419)</f>
        <v>0</v>
      </c>
    </row>
    <row r="420" spans="3:11" x14ac:dyDescent="0.2">
      <c r="C420" t="s">
        <v>2002</v>
      </c>
      <c r="D420" t="e">
        <f ca="1">IF(CELL("format",F420)="G",IF(ABS(F420-G420) &lt;= ABS(F420*B$3),TRUE,FALSE),IF(F420=G420,TRUE,FALSE))</f>
        <v>#VALUE!</v>
      </c>
      <c r="E420" s="5" t="e">
        <f>ABS(F420-G420)/ABS(F420)</f>
        <v>#VALUE!</v>
      </c>
      <c r="F420" t="s">
        <v>2351</v>
      </c>
      <c r="G420" t="s">
        <v>2351</v>
      </c>
      <c r="H420" t="s">
        <v>2351</v>
      </c>
      <c r="J420" s="5" t="e">
        <f>ABS(F420-G420)/ABS(F420)</f>
        <v>#VALUE!</v>
      </c>
      <c r="K420" s="5" t="e">
        <f>ABS(G420-H420)/ABS(G420)</f>
        <v>#VALUE!</v>
      </c>
    </row>
    <row r="421" spans="3:11" x14ac:dyDescent="0.2">
      <c r="C421" t="s">
        <v>2003</v>
      </c>
      <c r="D421" t="b">
        <f ca="1">IF(CELL("format",F421)="G",IF(ABS(F421-G421) &lt;= ABS(F421*B$3),TRUE,FALSE),IF(F421=G421,TRUE,FALSE))</f>
        <v>1</v>
      </c>
      <c r="E421" s="5">
        <f>ABS(F421-G421)/ABS(F421)</f>
        <v>0</v>
      </c>
      <c r="F421">
        <v>22</v>
      </c>
      <c r="G421">
        <v>22</v>
      </c>
      <c r="H421">
        <v>22</v>
      </c>
      <c r="J421" s="5">
        <f>ABS(F421-G421)/ABS(F421)</f>
        <v>0</v>
      </c>
      <c r="K421" s="5">
        <f>ABS(G421-H421)/ABS(G421)</f>
        <v>0</v>
      </c>
    </row>
    <row r="422" spans="3:11" x14ac:dyDescent="0.2">
      <c r="C422" t="s">
        <v>2004</v>
      </c>
      <c r="D422" t="b">
        <f ca="1">IF(CELL("format",F422)="G",IF(ABS(F422-G422) &lt;= ABS(F422*B$3),TRUE,FALSE),IF(F422=G422,TRUE,FALSE))</f>
        <v>1</v>
      </c>
      <c r="E422" s="5">
        <f>ABS(F422-G422)/ABS(F422)</f>
        <v>0</v>
      </c>
      <c r="F422">
        <v>14</v>
      </c>
      <c r="G422">
        <v>14</v>
      </c>
      <c r="H422">
        <v>14</v>
      </c>
      <c r="J422" s="5">
        <f>ABS(F422-G422)/ABS(F422)</f>
        <v>0</v>
      </c>
      <c r="K422" s="5">
        <f>ABS(G422-H422)/ABS(G422)</f>
        <v>0</v>
      </c>
    </row>
    <row r="423" spans="3:11" x14ac:dyDescent="0.2">
      <c r="C423" t="s">
        <v>2005</v>
      </c>
      <c r="D423" t="b">
        <f ca="1">IF(CELL("format",F423)="G",IF(ABS(F423-G423) &lt;= ABS(F423*B$3),TRUE,FALSE),IF(F423=G423,TRUE,FALSE))</f>
        <v>1</v>
      </c>
      <c r="E423" s="5">
        <f>ABS(F423-G423)/ABS(F423)</f>
        <v>0</v>
      </c>
      <c r="F423">
        <v>0.37659700000000002</v>
      </c>
      <c r="G423">
        <v>0.37659700000000002</v>
      </c>
      <c r="H423">
        <v>0.37659700000000002</v>
      </c>
      <c r="J423" s="5">
        <f>ABS(F423-G423)/ABS(F423)</f>
        <v>0</v>
      </c>
      <c r="K423" s="5">
        <f>ABS(G423-H423)/ABS(G423)</f>
        <v>0</v>
      </c>
    </row>
    <row r="424" spans="3:11" x14ac:dyDescent="0.2">
      <c r="C424" t="s">
        <v>2006</v>
      </c>
      <c r="D424" t="e">
        <f ca="1">IF(CELL("format",F424)="G",IF(ABS(F424-G424) &lt;= ABS(F424*B$3),TRUE,FALSE),IF(F424=G424,TRUE,FALSE))</f>
        <v>#VALUE!</v>
      </c>
      <c r="E424" s="5" t="e">
        <f>ABS(F424-G424)/ABS(F424)</f>
        <v>#VALUE!</v>
      </c>
      <c r="F424" t="s">
        <v>2353</v>
      </c>
      <c r="G424" t="s">
        <v>2353</v>
      </c>
      <c r="H424" t="s">
        <v>2353</v>
      </c>
      <c r="J424" s="5" t="e">
        <f>ABS(F424-G424)/ABS(F424)</f>
        <v>#VALUE!</v>
      </c>
      <c r="K424" s="5" t="e">
        <f>ABS(G424-H424)/ABS(G424)</f>
        <v>#VALUE!</v>
      </c>
    </row>
    <row r="425" spans="3:11" x14ac:dyDescent="0.2">
      <c r="C425" t="s">
        <v>2007</v>
      </c>
      <c r="D425" t="b">
        <f ca="1">IF(CELL("format",F425)="G",IF(ABS(F425-G425) &lt;= ABS(F425*B$3),TRUE,FALSE),IF(F425=G425,TRUE,FALSE))</f>
        <v>1</v>
      </c>
      <c r="E425" s="5">
        <f>ABS(F425-G425)/ABS(F425)</f>
        <v>0</v>
      </c>
      <c r="F425">
        <v>26</v>
      </c>
      <c r="G425">
        <v>26</v>
      </c>
      <c r="H425">
        <v>26</v>
      </c>
      <c r="J425" s="5">
        <f>ABS(F425-G425)/ABS(F425)</f>
        <v>0</v>
      </c>
      <c r="K425" s="5">
        <f>ABS(G425-H425)/ABS(G425)</f>
        <v>0</v>
      </c>
    </row>
    <row r="426" spans="3:11" x14ac:dyDescent="0.2">
      <c r="C426" t="s">
        <v>2008</v>
      </c>
      <c r="D426" t="b">
        <f ca="1">IF(CELL("format",F426)="G",IF(ABS(F426-G426) &lt;= ABS(F426*B$3),TRUE,FALSE),IF(F426=G426,TRUE,FALSE))</f>
        <v>1</v>
      </c>
      <c r="E426" s="5">
        <f>ABS(F426-G426)/ABS(F426)</f>
        <v>0</v>
      </c>
      <c r="F426">
        <v>19</v>
      </c>
      <c r="G426">
        <v>19</v>
      </c>
      <c r="H426">
        <v>19</v>
      </c>
      <c r="J426" s="5">
        <f>ABS(F426-G426)/ABS(F426)</f>
        <v>0</v>
      </c>
      <c r="K426" s="5">
        <f>ABS(G426-H426)/ABS(G426)</f>
        <v>0</v>
      </c>
    </row>
    <row r="427" spans="3:11" x14ac:dyDescent="0.2">
      <c r="C427" t="s">
        <v>2009</v>
      </c>
      <c r="D427" t="b">
        <f ca="1">IF(CELL("format",F427)="G",IF(ABS(F427-G427) &lt;= ABS(F427*B$3),TRUE,FALSE),IF(F427=G427,TRUE,FALSE))</f>
        <v>1</v>
      </c>
      <c r="E427" s="5">
        <f>ABS(F427-G427)/ABS(F427)</f>
        <v>0</v>
      </c>
      <c r="F427">
        <v>0.60571699999999995</v>
      </c>
      <c r="G427">
        <v>0.60571699999999995</v>
      </c>
      <c r="H427">
        <v>0.60571699999999995</v>
      </c>
      <c r="J427" s="5">
        <f>ABS(F427-G427)/ABS(F427)</f>
        <v>0</v>
      </c>
      <c r="K427" s="5">
        <f>ABS(G427-H427)/ABS(G427)</f>
        <v>0</v>
      </c>
    </row>
    <row r="428" spans="3:11" x14ac:dyDescent="0.2">
      <c r="C428" t="s">
        <v>2010</v>
      </c>
      <c r="D428" t="e">
        <f ca="1">IF(CELL("format",F428)="G",IF(ABS(F428-G428) &lt;= ABS(F428*B$3),TRUE,FALSE),IF(F428=G428,TRUE,FALSE))</f>
        <v>#VALUE!</v>
      </c>
      <c r="E428" s="5" t="e">
        <f>ABS(F428-G428)/ABS(F428)</f>
        <v>#VALUE!</v>
      </c>
      <c r="F428" t="s">
        <v>2353</v>
      </c>
      <c r="G428" t="s">
        <v>2353</v>
      </c>
      <c r="H428" t="s">
        <v>2353</v>
      </c>
      <c r="J428" s="5" t="e">
        <f>ABS(F428-G428)/ABS(F428)</f>
        <v>#VALUE!</v>
      </c>
      <c r="K428" s="5" t="e">
        <f>ABS(G428-H428)/ABS(G428)</f>
        <v>#VALUE!</v>
      </c>
    </row>
    <row r="429" spans="3:11" x14ac:dyDescent="0.2">
      <c r="C429" t="s">
        <v>2011</v>
      </c>
      <c r="D429" t="b">
        <f ca="1">IF(CELL("format",F429)="G",IF(ABS(F429-G429) &lt;= ABS(F429*B$3),TRUE,FALSE),IF(F429=G429,TRUE,FALSE))</f>
        <v>1</v>
      </c>
      <c r="E429" s="5">
        <f>ABS(F429-G429)/ABS(F429)</f>
        <v>0</v>
      </c>
      <c r="F429">
        <v>26</v>
      </c>
      <c r="G429">
        <v>26</v>
      </c>
      <c r="H429">
        <v>26</v>
      </c>
      <c r="J429" s="5">
        <f>ABS(F429-G429)/ABS(F429)</f>
        <v>0</v>
      </c>
      <c r="K429" s="5">
        <f>ABS(G429-H429)/ABS(G429)</f>
        <v>0</v>
      </c>
    </row>
    <row r="430" spans="3:11" x14ac:dyDescent="0.2">
      <c r="C430" t="s">
        <v>2012</v>
      </c>
      <c r="D430" t="b">
        <f ca="1">IF(CELL("format",F430)="G",IF(ABS(F430-G430) &lt;= ABS(F430*B$3),TRUE,FALSE),IF(F430=G430,TRUE,FALSE))</f>
        <v>1</v>
      </c>
      <c r="E430" s="5">
        <f>ABS(F430-G430)/ABS(F430)</f>
        <v>0</v>
      </c>
      <c r="F430">
        <v>18</v>
      </c>
      <c r="G430">
        <v>18</v>
      </c>
      <c r="H430">
        <v>18</v>
      </c>
      <c r="J430" s="5">
        <f>ABS(F430-G430)/ABS(F430)</f>
        <v>0</v>
      </c>
      <c r="K430" s="5">
        <f>ABS(G430-H430)/ABS(G430)</f>
        <v>0</v>
      </c>
    </row>
    <row r="431" spans="3:11" x14ac:dyDescent="0.2">
      <c r="C431" t="s">
        <v>2013</v>
      </c>
      <c r="D431" t="b">
        <f ca="1">IF(CELL("format",F431)="G",IF(ABS(F431-G431) &lt;= ABS(F431*B$3),TRUE,FALSE),IF(F431=G431,TRUE,FALSE))</f>
        <v>1</v>
      </c>
      <c r="E431" s="5">
        <f>ABS(F431-G431)/ABS(F431)</f>
        <v>0</v>
      </c>
      <c r="F431">
        <v>0.82663299999999995</v>
      </c>
      <c r="G431">
        <v>0.82663299999999995</v>
      </c>
      <c r="H431">
        <v>0.82663299999999995</v>
      </c>
      <c r="J431" s="5">
        <f>ABS(F431-G431)/ABS(F431)</f>
        <v>0</v>
      </c>
      <c r="K431" s="5">
        <f>ABS(G431-H431)/ABS(G431)</f>
        <v>0</v>
      </c>
    </row>
    <row r="432" spans="3:11" x14ac:dyDescent="0.2">
      <c r="C432" t="s">
        <v>2014</v>
      </c>
      <c r="D432" t="e">
        <f ca="1">IF(CELL("format",F432)="G",IF(ABS(F432-G432) &lt;= ABS(F432*B$3),TRUE,FALSE),IF(F432=G432,TRUE,FALSE))</f>
        <v>#VALUE!</v>
      </c>
      <c r="E432" s="5" t="e">
        <f>ABS(F432-G432)/ABS(F432)</f>
        <v>#VALUE!</v>
      </c>
      <c r="F432" t="s">
        <v>2353</v>
      </c>
      <c r="G432" t="s">
        <v>2353</v>
      </c>
      <c r="H432" t="s">
        <v>2353</v>
      </c>
      <c r="J432" s="5" t="e">
        <f>ABS(F432-G432)/ABS(F432)</f>
        <v>#VALUE!</v>
      </c>
      <c r="K432" s="5" t="e">
        <f>ABS(G432-H432)/ABS(G432)</f>
        <v>#VALUE!</v>
      </c>
    </row>
    <row r="433" spans="3:11" x14ac:dyDescent="0.2">
      <c r="C433" t="s">
        <v>2015</v>
      </c>
      <c r="D433" t="b">
        <f ca="1">IF(CELL("format",F433)="G",IF(ABS(F433-G433) &lt;= ABS(F433*B$3),TRUE,FALSE),IF(F433=G433,TRUE,FALSE))</f>
        <v>1</v>
      </c>
      <c r="E433" s="5">
        <f>ABS(F433-G433)/ABS(F433)</f>
        <v>0</v>
      </c>
      <c r="F433">
        <v>26</v>
      </c>
      <c r="G433">
        <v>26</v>
      </c>
      <c r="H433">
        <v>26</v>
      </c>
      <c r="J433" s="5">
        <f>ABS(F433-G433)/ABS(F433)</f>
        <v>0</v>
      </c>
      <c r="K433" s="5">
        <f>ABS(G433-H433)/ABS(G433)</f>
        <v>0</v>
      </c>
    </row>
    <row r="434" spans="3:11" x14ac:dyDescent="0.2">
      <c r="C434" t="s">
        <v>2016</v>
      </c>
      <c r="D434" t="b">
        <f ca="1">IF(CELL("format",F434)="G",IF(ABS(F434-G434) &lt;= ABS(F434*B$3),TRUE,FALSE),IF(F434=G434,TRUE,FALSE))</f>
        <v>1</v>
      </c>
      <c r="E434" s="5">
        <f>ABS(F434-G434)/ABS(F434)</f>
        <v>0</v>
      </c>
      <c r="F434">
        <v>18</v>
      </c>
      <c r="G434">
        <v>18</v>
      </c>
      <c r="H434">
        <v>18</v>
      </c>
      <c r="J434" s="5">
        <f>ABS(F434-G434)/ABS(F434)</f>
        <v>0</v>
      </c>
      <c r="K434" s="5">
        <f>ABS(G434-H434)/ABS(G434)</f>
        <v>0</v>
      </c>
    </row>
    <row r="435" spans="3:11" x14ac:dyDescent="0.2">
      <c r="C435" t="s">
        <v>2017</v>
      </c>
      <c r="D435" t="b">
        <f ca="1">IF(CELL("format",F435)="G",IF(ABS(F435-G435) &lt;= ABS(F435*B$3),TRUE,FALSE),IF(F435=G435,TRUE,FALSE))</f>
        <v>1</v>
      </c>
      <c r="E435" s="5">
        <f>ABS(F435-G435)/ABS(F435)</f>
        <v>0</v>
      </c>
      <c r="F435">
        <v>1.0312699999999999</v>
      </c>
      <c r="G435">
        <v>1.0312699999999999</v>
      </c>
      <c r="H435">
        <v>1.0312699999999999</v>
      </c>
      <c r="J435" s="5">
        <f>ABS(F435-G435)/ABS(F435)</f>
        <v>0</v>
      </c>
      <c r="K435" s="5">
        <f>ABS(G435-H435)/ABS(G435)</f>
        <v>0</v>
      </c>
    </row>
    <row r="436" spans="3:11" x14ac:dyDescent="0.2">
      <c r="C436" t="s">
        <v>2018</v>
      </c>
      <c r="D436" t="e">
        <f ca="1">IF(CELL("format",F436)="G",IF(ABS(F436-G436) &lt;= ABS(F436*B$3),TRUE,FALSE),IF(F436=G436,TRUE,FALSE))</f>
        <v>#VALUE!</v>
      </c>
      <c r="E436" s="5" t="e">
        <f>ABS(F436-G436)/ABS(F436)</f>
        <v>#VALUE!</v>
      </c>
      <c r="F436" t="s">
        <v>2353</v>
      </c>
      <c r="G436" t="s">
        <v>2353</v>
      </c>
      <c r="H436" t="s">
        <v>2353</v>
      </c>
      <c r="J436" s="5" t="e">
        <f>ABS(F436-G436)/ABS(F436)</f>
        <v>#VALUE!</v>
      </c>
      <c r="K436" s="5" t="e">
        <f>ABS(G436-H436)/ABS(G436)</f>
        <v>#VALUE!</v>
      </c>
    </row>
    <row r="437" spans="3:11" x14ac:dyDescent="0.2">
      <c r="C437" t="s">
        <v>2019</v>
      </c>
      <c r="D437" t="b">
        <f ca="1">IF(CELL("format",F437)="G",IF(ABS(F437-G437) &lt;= ABS(F437*B$3),TRUE,FALSE),IF(F437=G437,TRUE,FALSE))</f>
        <v>1</v>
      </c>
      <c r="E437" s="5">
        <f>ABS(F437-G437)/ABS(F437)</f>
        <v>0</v>
      </c>
      <c r="F437">
        <v>26</v>
      </c>
      <c r="G437">
        <v>26</v>
      </c>
      <c r="H437">
        <v>26</v>
      </c>
      <c r="J437" s="5">
        <f>ABS(F437-G437)/ABS(F437)</f>
        <v>0</v>
      </c>
      <c r="K437" s="5">
        <f>ABS(G437-H437)/ABS(G437)</f>
        <v>0</v>
      </c>
    </row>
    <row r="438" spans="3:11" x14ac:dyDescent="0.2">
      <c r="C438" t="s">
        <v>2020</v>
      </c>
      <c r="D438" t="b">
        <f ca="1">IF(CELL("format",F438)="G",IF(ABS(F438-G438) &lt;= ABS(F438*B$3),TRUE,FALSE),IF(F438=G438,TRUE,FALSE))</f>
        <v>1</v>
      </c>
      <c r="E438" s="5">
        <f>ABS(F438-G438)/ABS(F438)</f>
        <v>0</v>
      </c>
      <c r="F438">
        <v>18</v>
      </c>
      <c r="G438">
        <v>18</v>
      </c>
      <c r="H438">
        <v>18</v>
      </c>
      <c r="J438" s="5">
        <f>ABS(F438-G438)/ABS(F438)</f>
        <v>0</v>
      </c>
      <c r="K438" s="5">
        <f>ABS(G438-H438)/ABS(G438)</f>
        <v>0</v>
      </c>
    </row>
    <row r="439" spans="3:11" x14ac:dyDescent="0.2">
      <c r="C439" t="s">
        <v>2021</v>
      </c>
      <c r="D439" t="b">
        <f ca="1">IF(CELL("format",F439)="G",IF(ABS(F439-G439) &lt;= ABS(F439*B$3),TRUE,FALSE),IF(F439=G439,TRUE,FALSE))</f>
        <v>1</v>
      </c>
      <c r="E439" s="5">
        <f>ABS(F439-G439)/ABS(F439)</f>
        <v>0</v>
      </c>
      <c r="F439">
        <v>1.92913</v>
      </c>
      <c r="G439">
        <v>1.92913</v>
      </c>
      <c r="H439">
        <v>1.92913</v>
      </c>
      <c r="J439" s="5">
        <f>ABS(F439-G439)/ABS(F439)</f>
        <v>0</v>
      </c>
      <c r="K439" s="5">
        <f>ABS(G439-H439)/ABS(G439)</f>
        <v>0</v>
      </c>
    </row>
    <row r="440" spans="3:11" x14ac:dyDescent="0.2">
      <c r="C440" t="s">
        <v>2022</v>
      </c>
      <c r="D440" t="e">
        <f ca="1">IF(CELL("format",F440)="G",IF(ABS(F440-G440) &lt;= ABS(F440*B$3),TRUE,FALSE),IF(F440=G440,TRUE,FALSE))</f>
        <v>#VALUE!</v>
      </c>
      <c r="E440" s="5" t="e">
        <f>ABS(F440-G440)/ABS(F440)</f>
        <v>#VALUE!</v>
      </c>
      <c r="F440" t="s">
        <v>2353</v>
      </c>
      <c r="G440" t="s">
        <v>2353</v>
      </c>
      <c r="H440" t="s">
        <v>2353</v>
      </c>
      <c r="J440" s="5" t="e">
        <f>ABS(F440-G440)/ABS(F440)</f>
        <v>#VALUE!</v>
      </c>
      <c r="K440" s="5" t="e">
        <f>ABS(G440-H440)/ABS(G440)</f>
        <v>#VALUE!</v>
      </c>
    </row>
    <row r="441" spans="3:11" x14ac:dyDescent="0.2">
      <c r="C441" t="s">
        <v>2023</v>
      </c>
      <c r="D441" t="b">
        <f ca="1">IF(CELL("format",F441)="G",IF(ABS(F441-G441) &lt;= ABS(F441*B$3),TRUE,FALSE),IF(F441=G441,TRUE,FALSE))</f>
        <v>1</v>
      </c>
      <c r="E441" s="5">
        <f>ABS(F441-G441)/ABS(F441)</f>
        <v>0</v>
      </c>
      <c r="F441">
        <v>26</v>
      </c>
      <c r="G441">
        <v>26</v>
      </c>
      <c r="H441">
        <v>26</v>
      </c>
      <c r="J441" s="5">
        <f>ABS(F441-G441)/ABS(F441)</f>
        <v>0</v>
      </c>
      <c r="K441" s="5">
        <f>ABS(G441-H441)/ABS(G441)</f>
        <v>0</v>
      </c>
    </row>
    <row r="442" spans="3:11" x14ac:dyDescent="0.2">
      <c r="C442" t="s">
        <v>2024</v>
      </c>
      <c r="D442" t="b">
        <f ca="1">IF(CELL("format",F442)="G",IF(ABS(F442-G442) &lt;= ABS(F442*B$3),TRUE,FALSE),IF(F442=G442,TRUE,FALSE))</f>
        <v>1</v>
      </c>
      <c r="E442" s="5">
        <f>ABS(F442-G442)/ABS(F442)</f>
        <v>0</v>
      </c>
      <c r="F442">
        <v>16</v>
      </c>
      <c r="G442">
        <v>16</v>
      </c>
      <c r="H442">
        <v>16</v>
      </c>
      <c r="J442" s="5">
        <f>ABS(F442-G442)/ABS(F442)</f>
        <v>0</v>
      </c>
      <c r="K442" s="5">
        <f>ABS(G442-H442)/ABS(G442)</f>
        <v>0</v>
      </c>
    </row>
    <row r="443" spans="3:11" x14ac:dyDescent="0.2">
      <c r="C443" t="s">
        <v>2025</v>
      </c>
      <c r="D443" t="b">
        <f ca="1">IF(CELL("format",F443)="G",IF(ABS(F443-G443) &lt;= ABS(F443*B$3),TRUE,FALSE),IF(F443=G443,TRUE,FALSE))</f>
        <v>1</v>
      </c>
      <c r="E443" s="5">
        <f>ABS(F443-G443)/ABS(F443)</f>
        <v>0</v>
      </c>
      <c r="F443">
        <v>4.6862500000000002</v>
      </c>
      <c r="G443">
        <v>4.6862500000000002</v>
      </c>
      <c r="H443">
        <v>4.6862500000000002</v>
      </c>
      <c r="J443" s="5">
        <f>ABS(F443-G443)/ABS(F443)</f>
        <v>0</v>
      </c>
      <c r="K443" s="5">
        <f>ABS(G443-H443)/ABS(G443)</f>
        <v>0</v>
      </c>
    </row>
    <row r="444" spans="3:11" x14ac:dyDescent="0.2">
      <c r="C444" t="s">
        <v>2026</v>
      </c>
      <c r="D444" t="e">
        <f ca="1">IF(CELL("format",F444)="G",IF(ABS(F444-G444) &lt;= ABS(F444*B$3),TRUE,FALSE),IF(F444=G444,TRUE,FALSE))</f>
        <v>#VALUE!</v>
      </c>
      <c r="E444" s="5" t="e">
        <f>ABS(F444-G444)/ABS(F444)</f>
        <v>#VALUE!</v>
      </c>
      <c r="F444" t="s">
        <v>2354</v>
      </c>
      <c r="G444" t="s">
        <v>2354</v>
      </c>
      <c r="H444" t="s">
        <v>2354</v>
      </c>
      <c r="J444" s="5" t="e">
        <f>ABS(F444-G444)/ABS(F444)</f>
        <v>#VALUE!</v>
      </c>
      <c r="K444" s="5" t="e">
        <f>ABS(G444-H444)/ABS(G444)</f>
        <v>#VALUE!</v>
      </c>
    </row>
    <row r="445" spans="3:11" x14ac:dyDescent="0.2">
      <c r="C445" t="s">
        <v>2027</v>
      </c>
      <c r="D445" t="b">
        <f ca="1">IF(CELL("format",F445)="G",IF(ABS(F445-G445) &lt;= ABS(F445*B$3),TRUE,FALSE),IF(F445=G445,TRUE,FALSE))</f>
        <v>1</v>
      </c>
      <c r="E445" s="5">
        <f>ABS(F445-G445)/ABS(F445)</f>
        <v>0</v>
      </c>
      <c r="F445">
        <v>18</v>
      </c>
      <c r="G445">
        <v>18</v>
      </c>
      <c r="H445">
        <v>18</v>
      </c>
      <c r="J445" s="5">
        <f>ABS(F445-G445)/ABS(F445)</f>
        <v>0</v>
      </c>
      <c r="K445" s="5">
        <f>ABS(G445-H445)/ABS(G445)</f>
        <v>0</v>
      </c>
    </row>
    <row r="446" spans="3:11" x14ac:dyDescent="0.2">
      <c r="C446" t="s">
        <v>2028</v>
      </c>
      <c r="D446" t="b">
        <f ca="1">IF(CELL("format",F446)="G",IF(ABS(F446-G446) &lt;= ABS(F446*B$3),TRUE,FALSE),IF(F446=G446,TRUE,FALSE))</f>
        <v>1</v>
      </c>
      <c r="E446" s="5">
        <f>ABS(F446-G446)/ABS(F446)</f>
        <v>0</v>
      </c>
      <c r="F446">
        <v>14</v>
      </c>
      <c r="G446">
        <v>14</v>
      </c>
      <c r="H446">
        <v>14</v>
      </c>
      <c r="J446" s="5">
        <f>ABS(F446-G446)/ABS(F446)</f>
        <v>0</v>
      </c>
      <c r="K446" s="5">
        <f>ABS(G446-H446)/ABS(G446)</f>
        <v>0</v>
      </c>
    </row>
    <row r="447" spans="3:11" x14ac:dyDescent="0.2">
      <c r="C447" t="s">
        <v>2029</v>
      </c>
      <c r="D447" t="b">
        <f ca="1">IF(CELL("format",F447)="G",IF(ABS(F447-G447) &lt;= ABS(F447*B$3),TRUE,FALSE),IF(F447=G447,TRUE,FALSE))</f>
        <v>1</v>
      </c>
      <c r="E447" s="5">
        <f>ABS(F447-G447)/ABS(F447)</f>
        <v>0</v>
      </c>
      <c r="F447">
        <v>6.4661099999999996</v>
      </c>
      <c r="G447">
        <v>6.4661099999999996</v>
      </c>
      <c r="H447">
        <v>6.4661099999999996</v>
      </c>
      <c r="J447" s="5">
        <f>ABS(F447-G447)/ABS(F447)</f>
        <v>0</v>
      </c>
      <c r="K447" s="5">
        <f>ABS(G447-H447)/ABS(G447)</f>
        <v>0</v>
      </c>
    </row>
    <row r="448" spans="3:11" x14ac:dyDescent="0.2">
      <c r="C448" t="s">
        <v>2030</v>
      </c>
      <c r="D448" t="e">
        <f ca="1">IF(CELL("format",F448)="G",IF(ABS(F448-G448) &lt;= ABS(F448*B$3),TRUE,FALSE),IF(F448=G448,TRUE,FALSE))</f>
        <v>#VALUE!</v>
      </c>
      <c r="E448" s="5" t="e">
        <f>ABS(F448-G448)/ABS(F448)</f>
        <v>#VALUE!</v>
      </c>
      <c r="F448" t="s">
        <v>2351</v>
      </c>
      <c r="G448" t="s">
        <v>2351</v>
      </c>
      <c r="H448" t="s">
        <v>2351</v>
      </c>
      <c r="J448" s="5" t="e">
        <f>ABS(F448-G448)/ABS(F448)</f>
        <v>#VALUE!</v>
      </c>
      <c r="K448" s="5" t="e">
        <f>ABS(G448-H448)/ABS(G448)</f>
        <v>#VALUE!</v>
      </c>
    </row>
    <row r="449" spans="3:11" x14ac:dyDescent="0.2">
      <c r="C449" t="s">
        <v>2031</v>
      </c>
      <c r="D449" t="b">
        <f ca="1">IF(CELL("format",F449)="G",IF(ABS(F449-G449) &lt;= ABS(F449*B$3),TRUE,FALSE),IF(F449=G449,TRUE,FALSE))</f>
        <v>1</v>
      </c>
      <c r="E449" s="5">
        <f>ABS(F449-G449)/ABS(F449)</f>
        <v>0</v>
      </c>
      <c r="F449">
        <v>22</v>
      </c>
      <c r="G449">
        <v>22</v>
      </c>
      <c r="H449">
        <v>22</v>
      </c>
      <c r="J449" s="5">
        <f>ABS(F449-G449)/ABS(F449)</f>
        <v>0</v>
      </c>
      <c r="K449" s="5">
        <f>ABS(G449-H449)/ABS(G449)</f>
        <v>0</v>
      </c>
    </row>
    <row r="450" spans="3:11" x14ac:dyDescent="0.2">
      <c r="C450" t="s">
        <v>2032</v>
      </c>
      <c r="D450" t="b">
        <f ca="1">IF(CELL("format",F450)="G",IF(ABS(F450-G450) &lt;= ABS(F450*B$3),TRUE,FALSE),IF(F450=G450,TRUE,FALSE))</f>
        <v>1</v>
      </c>
      <c r="E450" s="5">
        <f>ABS(F450-G450)/ABS(F450)</f>
        <v>0</v>
      </c>
      <c r="F450">
        <v>14</v>
      </c>
      <c r="G450">
        <v>14</v>
      </c>
      <c r="H450">
        <v>14</v>
      </c>
      <c r="J450" s="5">
        <f>ABS(F450-G450)/ABS(F450)</f>
        <v>0</v>
      </c>
      <c r="K450" s="5">
        <f>ABS(G450-H450)/ABS(G450)</f>
        <v>0</v>
      </c>
    </row>
    <row r="451" spans="3:11" x14ac:dyDescent="0.2">
      <c r="C451" t="s">
        <v>2033</v>
      </c>
      <c r="D451" t="b">
        <f ca="1">IF(CELL("format",F451)="G",IF(ABS(F451-G451) &lt;= ABS(F451*B$3),TRUE,FALSE),IF(F451=G451,TRUE,FALSE))</f>
        <v>1</v>
      </c>
      <c r="E451" s="5">
        <f>ABS(F451-G451)/ABS(F451)</f>
        <v>0</v>
      </c>
      <c r="F451">
        <v>6.3750900000000001</v>
      </c>
      <c r="G451">
        <v>6.3750900000000001</v>
      </c>
      <c r="H451">
        <v>6.3750900000000001</v>
      </c>
      <c r="J451" s="5">
        <f>ABS(F451-G451)/ABS(F451)</f>
        <v>0</v>
      </c>
      <c r="K451" s="5">
        <f>ABS(G451-H451)/ABS(G451)</f>
        <v>0</v>
      </c>
    </row>
    <row r="452" spans="3:11" x14ac:dyDescent="0.2">
      <c r="C452" t="s">
        <v>2034</v>
      </c>
      <c r="D452" t="e">
        <f ca="1">IF(CELL("format",F452)="G",IF(ABS(F452-G452) &lt;= ABS(F452*B$3),TRUE,FALSE),IF(F452=G452,TRUE,FALSE))</f>
        <v>#VALUE!</v>
      </c>
      <c r="E452" s="5" t="e">
        <f>ABS(F452-G452)/ABS(F452)</f>
        <v>#VALUE!</v>
      </c>
      <c r="F452" t="s">
        <v>2351</v>
      </c>
      <c r="G452" t="s">
        <v>2351</v>
      </c>
      <c r="H452" t="s">
        <v>2351</v>
      </c>
      <c r="J452" s="5" t="e">
        <f>ABS(F452-G452)/ABS(F452)</f>
        <v>#VALUE!</v>
      </c>
      <c r="K452" s="5" t="e">
        <f>ABS(G452-H452)/ABS(G452)</f>
        <v>#VALUE!</v>
      </c>
    </row>
    <row r="453" spans="3:11" x14ac:dyDescent="0.2">
      <c r="C453" t="s">
        <v>2035</v>
      </c>
      <c r="D453" t="b">
        <f ca="1">IF(CELL("format",F453)="G",IF(ABS(F453-G453) &lt;= ABS(F453*B$3),TRUE,FALSE),IF(F453=G453,TRUE,FALSE))</f>
        <v>1</v>
      </c>
      <c r="E453" s="5">
        <f>ABS(F453-G453)/ABS(F453)</f>
        <v>0</v>
      </c>
      <c r="F453">
        <v>22</v>
      </c>
      <c r="G453">
        <v>22</v>
      </c>
      <c r="H453">
        <v>22</v>
      </c>
      <c r="J453" s="5">
        <f>ABS(F453-G453)/ABS(F453)</f>
        <v>0</v>
      </c>
      <c r="K453" s="5">
        <f>ABS(G453-H453)/ABS(G453)</f>
        <v>0</v>
      </c>
    </row>
    <row r="454" spans="3:11" x14ac:dyDescent="0.2">
      <c r="C454" t="s">
        <v>2036</v>
      </c>
      <c r="D454" t="b">
        <f ca="1">IF(CELL("format",F454)="G",IF(ABS(F454-G454) &lt;= ABS(F454*B$3),TRUE,FALSE),IF(F454=G454,TRUE,FALSE))</f>
        <v>1</v>
      </c>
      <c r="E454" s="5">
        <f>ABS(F454-G454)/ABS(F454)</f>
        <v>0</v>
      </c>
      <c r="F454">
        <v>14</v>
      </c>
      <c r="G454">
        <v>14</v>
      </c>
      <c r="H454">
        <v>14</v>
      </c>
      <c r="J454" s="5">
        <f>ABS(F454-G454)/ABS(F454)</f>
        <v>0</v>
      </c>
      <c r="K454" s="5">
        <f>ABS(G454-H454)/ABS(G454)</f>
        <v>0</v>
      </c>
    </row>
    <row r="455" spans="3:11" x14ac:dyDescent="0.2">
      <c r="C455" t="s">
        <v>2037</v>
      </c>
      <c r="D455" t="b">
        <f ca="1">IF(CELL("format",F455)="G",IF(ABS(F455-G455) &lt;= ABS(F455*B$3),TRUE,FALSE),IF(F455=G455,TRUE,FALSE))</f>
        <v>1</v>
      </c>
      <c r="E455" s="5">
        <f>ABS(F455-G455)/ABS(F455)</f>
        <v>0</v>
      </c>
      <c r="F455">
        <v>6.44346</v>
      </c>
      <c r="G455">
        <v>6.44346</v>
      </c>
      <c r="H455">
        <v>6.44346</v>
      </c>
      <c r="J455" s="5">
        <f>ABS(F455-G455)/ABS(F455)</f>
        <v>0</v>
      </c>
      <c r="K455" s="5">
        <f>ABS(G455-H455)/ABS(G455)</f>
        <v>0</v>
      </c>
    </row>
    <row r="456" spans="3:11" x14ac:dyDescent="0.2">
      <c r="C456" t="s">
        <v>2038</v>
      </c>
      <c r="D456" t="e">
        <f ca="1">IF(CELL("format",F456)="G",IF(ABS(F456-G456) &lt;= ABS(F456*B$3),TRUE,FALSE),IF(F456=G456,TRUE,FALSE))</f>
        <v>#VALUE!</v>
      </c>
      <c r="E456" s="5" t="e">
        <f>ABS(F456-G456)/ABS(F456)</f>
        <v>#VALUE!</v>
      </c>
      <c r="F456" t="s">
        <v>2351</v>
      </c>
      <c r="G456" t="s">
        <v>2351</v>
      </c>
      <c r="H456" t="s">
        <v>2351</v>
      </c>
      <c r="J456" s="5" t="e">
        <f>ABS(F456-G456)/ABS(F456)</f>
        <v>#VALUE!</v>
      </c>
      <c r="K456" s="5" t="e">
        <f>ABS(G456-H456)/ABS(G456)</f>
        <v>#VALUE!</v>
      </c>
    </row>
    <row r="457" spans="3:11" x14ac:dyDescent="0.2">
      <c r="C457" t="s">
        <v>2039</v>
      </c>
      <c r="D457" t="b">
        <f ca="1">IF(CELL("format",F457)="G",IF(ABS(F457-G457) &lt;= ABS(F457*B$3),TRUE,FALSE),IF(F457=G457,TRUE,FALSE))</f>
        <v>1</v>
      </c>
      <c r="E457" s="5">
        <f>ABS(F457-G457)/ABS(F457)</f>
        <v>0</v>
      </c>
      <c r="F457">
        <v>22</v>
      </c>
      <c r="G457">
        <v>22</v>
      </c>
      <c r="H457">
        <v>22</v>
      </c>
      <c r="J457" s="5">
        <f>ABS(F457-G457)/ABS(F457)</f>
        <v>0</v>
      </c>
      <c r="K457" s="5">
        <f>ABS(G457-H457)/ABS(G457)</f>
        <v>0</v>
      </c>
    </row>
    <row r="458" spans="3:11" x14ac:dyDescent="0.2">
      <c r="C458" t="s">
        <v>2040</v>
      </c>
      <c r="D458" t="b">
        <f ca="1">IF(CELL("format",F458)="G",IF(ABS(F458-G458) &lt;= ABS(F458*B$3),TRUE,FALSE),IF(F458=G458,TRUE,FALSE))</f>
        <v>1</v>
      </c>
      <c r="E458" s="5">
        <f>ABS(F458-G458)/ABS(F458)</f>
        <v>0</v>
      </c>
      <c r="F458">
        <v>14</v>
      </c>
      <c r="G458">
        <v>14</v>
      </c>
      <c r="H458">
        <v>14</v>
      </c>
      <c r="J458" s="5">
        <f>ABS(F458-G458)/ABS(F458)</f>
        <v>0</v>
      </c>
      <c r="K458" s="5">
        <f>ABS(G458-H458)/ABS(G458)</f>
        <v>0</v>
      </c>
    </row>
    <row r="459" spans="3:11" x14ac:dyDescent="0.2">
      <c r="C459" t="s">
        <v>2041</v>
      </c>
      <c r="D459" t="b">
        <f ca="1">IF(CELL("format",F459)="G",IF(ABS(F459-G459) &lt;= ABS(F459*B$3),TRUE,FALSE),IF(F459=G459,TRUE,FALSE))</f>
        <v>1</v>
      </c>
      <c r="E459" s="5">
        <f>ABS(F459-G459)/ABS(F459)</f>
        <v>0</v>
      </c>
      <c r="F459">
        <v>1.04617</v>
      </c>
      <c r="G459">
        <v>1.04617</v>
      </c>
      <c r="H459">
        <v>1.04617</v>
      </c>
      <c r="J459" s="5">
        <f>ABS(F459-G459)/ABS(F459)</f>
        <v>0</v>
      </c>
      <c r="K459" s="5">
        <f>ABS(G459-H459)/ABS(G459)</f>
        <v>0</v>
      </c>
    </row>
    <row r="460" spans="3:11" x14ac:dyDescent="0.2">
      <c r="C460" t="s">
        <v>2042</v>
      </c>
      <c r="D460" t="e">
        <f ca="1">IF(CELL("format",F460)="G",IF(ABS(F460-G460) &lt;= ABS(F460*B$3),TRUE,FALSE),IF(F460=G460,TRUE,FALSE))</f>
        <v>#VALUE!</v>
      </c>
      <c r="E460" s="5" t="e">
        <f>ABS(F460-G460)/ABS(F460)</f>
        <v>#VALUE!</v>
      </c>
      <c r="F460" t="s">
        <v>2353</v>
      </c>
      <c r="G460" t="s">
        <v>2353</v>
      </c>
      <c r="H460" t="s">
        <v>2353</v>
      </c>
      <c r="J460" s="5" t="e">
        <f>ABS(F460-G460)/ABS(F460)</f>
        <v>#VALUE!</v>
      </c>
      <c r="K460" s="5" t="e">
        <f>ABS(G460-H460)/ABS(G460)</f>
        <v>#VALUE!</v>
      </c>
    </row>
    <row r="461" spans="3:11" x14ac:dyDescent="0.2">
      <c r="C461" t="s">
        <v>2043</v>
      </c>
      <c r="D461" t="b">
        <f ca="1">IF(CELL("format",F461)="G",IF(ABS(F461-G461) &lt;= ABS(F461*B$3),TRUE,FALSE),IF(F461=G461,TRUE,FALSE))</f>
        <v>1</v>
      </c>
      <c r="E461" s="5">
        <f>ABS(F461-G461)/ABS(F461)</f>
        <v>0</v>
      </c>
      <c r="F461">
        <v>26</v>
      </c>
      <c r="G461">
        <v>26</v>
      </c>
      <c r="H461">
        <v>26</v>
      </c>
      <c r="J461" s="5">
        <f>ABS(F461-G461)/ABS(F461)</f>
        <v>0</v>
      </c>
      <c r="K461" s="5">
        <f>ABS(G461-H461)/ABS(G461)</f>
        <v>0</v>
      </c>
    </row>
    <row r="462" spans="3:11" x14ac:dyDescent="0.2">
      <c r="C462" t="s">
        <v>2044</v>
      </c>
      <c r="D462" t="b">
        <f ca="1">IF(CELL("format",F462)="G",IF(ABS(F462-G462) &lt;= ABS(F462*B$3),TRUE,FALSE),IF(F462=G462,TRUE,FALSE))</f>
        <v>1</v>
      </c>
      <c r="E462" s="5">
        <f>ABS(F462-G462)/ABS(F462)</f>
        <v>0</v>
      </c>
      <c r="F462">
        <v>16</v>
      </c>
      <c r="G462">
        <v>16</v>
      </c>
      <c r="H462">
        <v>16</v>
      </c>
      <c r="J462" s="5">
        <f>ABS(F462-G462)/ABS(F462)</f>
        <v>0</v>
      </c>
      <c r="K462" s="5">
        <f>ABS(G462-H462)/ABS(G462)</f>
        <v>0</v>
      </c>
    </row>
    <row r="463" spans="3:11" x14ac:dyDescent="0.2">
      <c r="C463" t="s">
        <v>2045</v>
      </c>
      <c r="D463" t="b">
        <f ca="1">IF(CELL("format",F463)="G",IF(ABS(F463-G463) &lt;= ABS(F463*B$3),TRUE,FALSE),IF(F463=G463,TRUE,FALSE))</f>
        <v>1</v>
      </c>
      <c r="E463" s="5">
        <f>ABS(F463-G463)/ABS(F463)</f>
        <v>0</v>
      </c>
      <c r="F463">
        <v>2.2705799999999998</v>
      </c>
      <c r="G463">
        <v>2.2705799999999998</v>
      </c>
      <c r="H463">
        <v>2.2705799999999998</v>
      </c>
      <c r="J463" s="5">
        <f>ABS(F463-G463)/ABS(F463)</f>
        <v>0</v>
      </c>
      <c r="K463" s="5">
        <f>ABS(G463-H463)/ABS(G463)</f>
        <v>0</v>
      </c>
    </row>
    <row r="464" spans="3:11" x14ac:dyDescent="0.2">
      <c r="C464" t="s">
        <v>2046</v>
      </c>
      <c r="D464" t="e">
        <f ca="1">IF(CELL("format",F464)="G",IF(ABS(F464-G464) &lt;= ABS(F464*B$3),TRUE,FALSE),IF(F464=G464,TRUE,FALSE))</f>
        <v>#VALUE!</v>
      </c>
      <c r="E464" s="5" t="e">
        <f>ABS(F464-G464)/ABS(F464)</f>
        <v>#VALUE!</v>
      </c>
      <c r="F464" t="s">
        <v>2355</v>
      </c>
      <c r="G464" t="s">
        <v>2355</v>
      </c>
      <c r="H464" t="s">
        <v>2355</v>
      </c>
      <c r="J464" s="5" t="e">
        <f>ABS(F464-G464)/ABS(F464)</f>
        <v>#VALUE!</v>
      </c>
      <c r="K464" s="5" t="e">
        <f>ABS(G464-H464)/ABS(G464)</f>
        <v>#VALUE!</v>
      </c>
    </row>
    <row r="465" spans="3:11" x14ac:dyDescent="0.2">
      <c r="C465" t="s">
        <v>2047</v>
      </c>
      <c r="D465" t="b">
        <f ca="1">IF(CELL("format",F465)="G",IF(ABS(F465-G465) &lt;= ABS(F465*B$3),TRUE,FALSE),IF(F465=G465,TRUE,FALSE))</f>
        <v>1</v>
      </c>
      <c r="E465" s="5">
        <f>ABS(F465-G465)/ABS(F465)</f>
        <v>0</v>
      </c>
      <c r="F465">
        <v>11</v>
      </c>
      <c r="G465">
        <v>11</v>
      </c>
      <c r="H465">
        <v>11</v>
      </c>
      <c r="J465" s="5">
        <f>ABS(F465-G465)/ABS(F465)</f>
        <v>0</v>
      </c>
      <c r="K465" s="5">
        <f>ABS(G465-H465)/ABS(G465)</f>
        <v>0</v>
      </c>
    </row>
    <row r="466" spans="3:11" x14ac:dyDescent="0.2">
      <c r="C466" t="s">
        <v>2048</v>
      </c>
      <c r="D466" t="b">
        <f ca="1">IF(CELL("format",F466)="G",IF(ABS(F466-G466) &lt;= ABS(F466*B$3),TRUE,FALSE),IF(F466=G466,TRUE,FALSE))</f>
        <v>1</v>
      </c>
      <c r="E466" s="5">
        <f>ABS(F466-G466)/ABS(F466)</f>
        <v>0</v>
      </c>
      <c r="F466">
        <v>15</v>
      </c>
      <c r="G466">
        <v>15</v>
      </c>
      <c r="H466">
        <v>15</v>
      </c>
      <c r="J466" s="5">
        <f>ABS(F466-G466)/ABS(F466)</f>
        <v>0</v>
      </c>
      <c r="K466" s="5">
        <f>ABS(G466-H466)/ABS(G466)</f>
        <v>0</v>
      </c>
    </row>
    <row r="467" spans="3:11" x14ac:dyDescent="0.2">
      <c r="C467" t="s">
        <v>157</v>
      </c>
      <c r="D467" t="b">
        <f ca="1">IF(CELL("format",F467)="G",IF(ABS(F467-G467) &lt;= ABS(F467*B$3),TRUE,FALSE),IF(F467=G467,TRUE,FALSE))</f>
        <v>1</v>
      </c>
      <c r="E467" s="5">
        <f>ABS(F467-G467)/ABS(F467)</f>
        <v>0</v>
      </c>
      <c r="F467">
        <v>24.928699999999999</v>
      </c>
      <c r="G467">
        <v>24.928699999999999</v>
      </c>
      <c r="H467">
        <v>24.928699999999999</v>
      </c>
      <c r="J467" s="5">
        <f>ABS(F467-G467)/ABS(F467)</f>
        <v>0</v>
      </c>
      <c r="K467" s="5">
        <f>ABS(G467-H467)/ABS(G467)</f>
        <v>0</v>
      </c>
    </row>
    <row r="468" spans="3:11" x14ac:dyDescent="0.2">
      <c r="C468" t="s">
        <v>156</v>
      </c>
      <c r="D468" t="b">
        <f ca="1">IF(CELL("format",F468)="G",IF(ABS(F468-G468) &lt;= ABS(F468*B$3),TRUE,FALSE),IF(F468=G468,TRUE,FALSE))</f>
        <v>1</v>
      </c>
      <c r="E468" s="5">
        <f>ABS(F468-G468)/ABS(F468)</f>
        <v>0</v>
      </c>
      <c r="F468">
        <v>25.132000000000001</v>
      </c>
      <c r="G468">
        <v>25.132000000000001</v>
      </c>
      <c r="H468">
        <v>25.132000000000001</v>
      </c>
      <c r="J468" s="5">
        <f>ABS(F468-G468)/ABS(F468)</f>
        <v>0</v>
      </c>
      <c r="K468" s="5">
        <f>ABS(G468-H468)/ABS(G468)</f>
        <v>0</v>
      </c>
    </row>
    <row r="469" spans="3:11" x14ac:dyDescent="0.2">
      <c r="C469" t="s">
        <v>155</v>
      </c>
      <c r="D469" t="b">
        <f ca="1">IF(CELL("format",F469)="G",IF(ABS(F469-G469) &lt;= ABS(F469*B$3),TRUE,FALSE),IF(F469=G469,TRUE,FALSE))</f>
        <v>1</v>
      </c>
      <c r="E469" s="5">
        <f>ABS(F469-G469)/ABS(F469)</f>
        <v>0</v>
      </c>
      <c r="F469">
        <v>18.4254</v>
      </c>
      <c r="G469">
        <v>18.4254</v>
      </c>
      <c r="H469">
        <v>18.4254</v>
      </c>
      <c r="J469" s="5">
        <f>ABS(F469-G469)/ABS(F469)</f>
        <v>0</v>
      </c>
      <c r="K469" s="5">
        <f>ABS(G469-H469)/ABS(G469)</f>
        <v>0</v>
      </c>
    </row>
    <row r="470" spans="3:11" x14ac:dyDescent="0.2">
      <c r="C470" t="s">
        <v>154</v>
      </c>
      <c r="D470" t="b">
        <f ca="1">IF(CELL("format",F470)="G",IF(ABS(F470-G470) &lt;= ABS(F470*B$3),TRUE,FALSE),IF(F470=G470,TRUE,FALSE))</f>
        <v>1</v>
      </c>
      <c r="E470" s="5">
        <f>ABS(F470-G470)/ABS(F470)</f>
        <v>0</v>
      </c>
      <c r="F470">
        <v>14.792199999999999</v>
      </c>
      <c r="G470">
        <v>14.792199999999999</v>
      </c>
      <c r="H470">
        <v>14.792199999999999</v>
      </c>
      <c r="J470" s="5">
        <f>ABS(F470-G470)/ABS(F470)</f>
        <v>0</v>
      </c>
      <c r="K470" s="5">
        <f>ABS(G470-H470)/ABS(G470)</f>
        <v>0</v>
      </c>
    </row>
    <row r="471" spans="3:11" x14ac:dyDescent="0.2">
      <c r="C471" t="s">
        <v>2049</v>
      </c>
      <c r="D471" t="b">
        <f ca="1">IF(CELL("format",F471)="G",IF(ABS(F471-G471) &lt;= ABS(F471*B$3),TRUE,FALSE),IF(F471=G471,TRUE,FALSE))</f>
        <v>1</v>
      </c>
      <c r="E471" s="5">
        <f>ABS(F471-G471)/ABS(F471)</f>
        <v>0</v>
      </c>
      <c r="F471">
        <v>30.970700000000001</v>
      </c>
      <c r="G471">
        <v>30.970700000000001</v>
      </c>
      <c r="H471">
        <v>30.970700000000001</v>
      </c>
      <c r="J471" s="5">
        <f>ABS(F471-G471)/ABS(F471)</f>
        <v>0</v>
      </c>
      <c r="K471" s="5">
        <f>ABS(G471-H471)/ABS(G471)</f>
        <v>0</v>
      </c>
    </row>
    <row r="472" spans="3:11" x14ac:dyDescent="0.2">
      <c r="C472" t="s">
        <v>2050</v>
      </c>
      <c r="D472" t="b">
        <f ca="1">IF(CELL("format",F472)="G",IF(ABS(F472-G472) &lt;= ABS(F472*B$3),TRUE,FALSE),IF(F472=G472,TRUE,FALSE))</f>
        <v>1</v>
      </c>
      <c r="E472" s="5">
        <f>ABS(F472-G472)/ABS(F472)</f>
        <v>0</v>
      </c>
      <c r="F472">
        <v>31.220500000000001</v>
      </c>
      <c r="G472">
        <v>31.220500000000001</v>
      </c>
      <c r="H472">
        <v>31.220500000000001</v>
      </c>
      <c r="J472" s="5">
        <f>ABS(F472-G472)/ABS(F472)</f>
        <v>0</v>
      </c>
      <c r="K472" s="5">
        <f>ABS(G472-H472)/ABS(G472)</f>
        <v>0</v>
      </c>
    </row>
    <row r="473" spans="3:11" x14ac:dyDescent="0.2">
      <c r="C473" t="s">
        <v>153</v>
      </c>
      <c r="D473" t="b">
        <f ca="1">IF(CELL("format",F473)="G",IF(ABS(F473-G473) &lt;= ABS(F473*B$3),TRUE,FALSE),IF(F473=G473,TRUE,FALSE))</f>
        <v>1</v>
      </c>
      <c r="E473" s="5">
        <f>ABS(F473-G473)/ABS(F473)</f>
        <v>0</v>
      </c>
      <c r="F473">
        <v>27.471599999999999</v>
      </c>
      <c r="G473">
        <v>27.471599999999999</v>
      </c>
      <c r="H473">
        <v>27.471599999999999</v>
      </c>
      <c r="J473" s="5">
        <f>ABS(F473-G473)/ABS(F473)</f>
        <v>0</v>
      </c>
      <c r="K473" s="5">
        <f>ABS(G473-H473)/ABS(G473)</f>
        <v>0</v>
      </c>
    </row>
    <row r="474" spans="3:11" x14ac:dyDescent="0.2">
      <c r="C474" t="s">
        <v>2051</v>
      </c>
      <c r="D474" t="b">
        <f ca="1">IF(CELL("format",F474)="G",IF(ABS(F474-G474) &lt;= ABS(F474*B$3),TRUE,FALSE),IF(F474=G474,TRUE,FALSE))</f>
        <v>1</v>
      </c>
      <c r="E474" s="5">
        <f>ABS(F474-G474)/ABS(F474)</f>
        <v>0</v>
      </c>
      <c r="F474">
        <v>-12.5596</v>
      </c>
      <c r="G474">
        <v>-12.5596</v>
      </c>
      <c r="H474">
        <v>-12.5596</v>
      </c>
      <c r="J474" s="5">
        <f>ABS(F474-G474)/ABS(F474)</f>
        <v>0</v>
      </c>
      <c r="K474" s="5">
        <f>ABS(G474-H474)/ABS(G474)</f>
        <v>0</v>
      </c>
    </row>
    <row r="475" spans="3:11" x14ac:dyDescent="0.2">
      <c r="C475" t="s">
        <v>162</v>
      </c>
      <c r="D475" t="b">
        <f ca="1">IF(CELL("format",F475)="G",IF(ABS(F475-G475) &lt;= ABS(F475*B$3),TRUE,FALSE),IF(F475=G475,TRUE,FALSE))</f>
        <v>1</v>
      </c>
      <c r="E475" s="5">
        <f>ABS(F475-G475)/ABS(F475)</f>
        <v>0</v>
      </c>
      <c r="F475" s="4">
        <v>44602</v>
      </c>
      <c r="G475" s="4">
        <v>44602</v>
      </c>
      <c r="H475" s="4">
        <v>44602</v>
      </c>
      <c r="J475" s="5">
        <f>ABS(F475-G475)/ABS(F475)</f>
        <v>0</v>
      </c>
      <c r="K475" s="5">
        <f>ABS(G475-H475)/ABS(G475)</f>
        <v>0</v>
      </c>
    </row>
    <row r="476" spans="3:11" x14ac:dyDescent="0.2">
      <c r="C476" t="s">
        <v>2052</v>
      </c>
      <c r="D476" t="b">
        <f ca="1">IF(CELL("format",F476)="G",IF(ABS(F476-G476) &lt;= ABS(F476*B$3),TRUE,FALSE),IF(F476=G476,TRUE,FALSE))</f>
        <v>1</v>
      </c>
      <c r="E476" s="5">
        <f>ABS(F476-G476)/ABS(F476)</f>
        <v>0</v>
      </c>
      <c r="F476">
        <v>6</v>
      </c>
      <c r="G476">
        <v>6</v>
      </c>
      <c r="H476">
        <v>6</v>
      </c>
      <c r="J476" s="5">
        <f>ABS(F476-G476)/ABS(F476)</f>
        <v>0</v>
      </c>
      <c r="K476" s="5">
        <f>ABS(G476-H476)/ABS(G476)</f>
        <v>0</v>
      </c>
    </row>
    <row r="477" spans="3:11" x14ac:dyDescent="0.2">
      <c r="C477" t="s">
        <v>2053</v>
      </c>
      <c r="D477" t="b">
        <f ca="1">IF(CELL("format",F477)="G",IF(ABS(F477-G477) &lt;= ABS(F477*B$3),TRUE,FALSE),IF(F477=G477,TRUE,FALSE))</f>
        <v>1</v>
      </c>
      <c r="E477" s="5">
        <f>ABS(F477-G477)/ABS(F477)</f>
        <v>0</v>
      </c>
      <c r="F477">
        <v>1.24587</v>
      </c>
      <c r="G477">
        <v>1.24587</v>
      </c>
      <c r="H477">
        <v>1.24587</v>
      </c>
      <c r="J477" s="5">
        <f>ABS(F477-G477)/ABS(F477)</f>
        <v>0</v>
      </c>
      <c r="K477" s="5">
        <f>ABS(G477-H477)/ABS(G477)</f>
        <v>0</v>
      </c>
    </row>
    <row r="478" spans="3:11" x14ac:dyDescent="0.2">
      <c r="C478" t="s">
        <v>161</v>
      </c>
      <c r="D478" t="b">
        <f ca="1">IF(CELL("format",F478)="G",IF(ABS(F478-G478) &lt;= ABS(F478*B$3),TRUE,FALSE),IF(F478=G478,TRUE,FALSE))</f>
        <v>1</v>
      </c>
      <c r="E478" s="5">
        <f>ABS(F478-G478)/ABS(F478)</f>
        <v>0</v>
      </c>
      <c r="F478" s="4">
        <v>44602</v>
      </c>
      <c r="G478" s="4">
        <v>44602</v>
      </c>
      <c r="H478" s="4">
        <v>44602</v>
      </c>
      <c r="J478" s="5">
        <f>ABS(F478-G478)/ABS(F478)</f>
        <v>0</v>
      </c>
      <c r="K478" s="5">
        <f>ABS(G478-H478)/ABS(G478)</f>
        <v>0</v>
      </c>
    </row>
    <row r="479" spans="3:11" x14ac:dyDescent="0.2">
      <c r="C479" t="s">
        <v>2054</v>
      </c>
      <c r="D479" t="b">
        <f ca="1">IF(CELL("format",F479)="G",IF(ABS(F479-G479) &lt;= ABS(F479*B$3),TRUE,FALSE),IF(F479=G479,TRUE,FALSE))</f>
        <v>1</v>
      </c>
      <c r="E479" s="5">
        <f>ABS(F479-G479)/ABS(F479)</f>
        <v>0</v>
      </c>
      <c r="F479">
        <v>6</v>
      </c>
      <c r="G479">
        <v>6</v>
      </c>
      <c r="H479">
        <v>6</v>
      </c>
      <c r="J479" s="5">
        <f>ABS(F479-G479)/ABS(F479)</f>
        <v>0</v>
      </c>
      <c r="K479" s="5">
        <f>ABS(G479-H479)/ABS(G479)</f>
        <v>0</v>
      </c>
    </row>
    <row r="480" spans="3:11" x14ac:dyDescent="0.2">
      <c r="C480" t="s">
        <v>2055</v>
      </c>
      <c r="D480" t="b">
        <f ca="1">IF(CELL("format",F480)="G",IF(ABS(F480-G480) &lt;= ABS(F480*B$3),TRUE,FALSE),IF(F480=G480,TRUE,FALSE))</f>
        <v>1</v>
      </c>
      <c r="E480" s="5">
        <f>ABS(F480-G480)/ABS(F480)</f>
        <v>0</v>
      </c>
      <c r="F480">
        <v>-17.0749</v>
      </c>
      <c r="G480">
        <v>-17.0749</v>
      </c>
      <c r="H480">
        <v>-17.0749</v>
      </c>
      <c r="J480" s="5">
        <f>ABS(F480-G480)/ABS(F480)</f>
        <v>0</v>
      </c>
      <c r="K480" s="5">
        <f>ABS(G480-H480)/ABS(G480)</f>
        <v>0</v>
      </c>
    </row>
    <row r="481" spans="3:11" x14ac:dyDescent="0.2">
      <c r="C481" t="s">
        <v>160</v>
      </c>
      <c r="D481" t="e">
        <f ca="1">IF(CELL("format",F481)="G",IF(ABS(F481-G481) &lt;= ABS(F481*B$3),TRUE,FALSE),IF(F481=G481,TRUE,FALSE))</f>
        <v>#VALUE!</v>
      </c>
      <c r="E481" s="5" t="e">
        <f>ABS(F481-G481)/ABS(F481)</f>
        <v>#VALUE!</v>
      </c>
      <c r="F481" t="s">
        <v>2357</v>
      </c>
      <c r="G481" t="s">
        <v>2357</v>
      </c>
      <c r="H481" t="s">
        <v>2357</v>
      </c>
      <c r="J481" s="5" t="e">
        <f>ABS(F481-G481)/ABS(F481)</f>
        <v>#VALUE!</v>
      </c>
      <c r="K481" s="5" t="e">
        <f>ABS(G481-H481)/ABS(G481)</f>
        <v>#VALUE!</v>
      </c>
    </row>
    <row r="482" spans="3:11" x14ac:dyDescent="0.2">
      <c r="C482" t="s">
        <v>2056</v>
      </c>
      <c r="D482" t="b">
        <f ca="1">IF(CELL("format",F482)="G",IF(ABS(F482-G482) &lt;= ABS(F482*B$3),TRUE,FALSE),IF(F482=G482,TRUE,FALSE))</f>
        <v>1</v>
      </c>
      <c r="E482" s="5">
        <f>ABS(F482-G482)/ABS(F482)</f>
        <v>0</v>
      </c>
      <c r="F482">
        <v>23</v>
      </c>
      <c r="G482">
        <v>23</v>
      </c>
      <c r="H482">
        <v>23</v>
      </c>
      <c r="J482" s="5">
        <f>ABS(F482-G482)/ABS(F482)</f>
        <v>0</v>
      </c>
      <c r="K482" s="5">
        <f>ABS(G482-H482)/ABS(G482)</f>
        <v>0</v>
      </c>
    </row>
    <row r="483" spans="3:11" x14ac:dyDescent="0.2">
      <c r="C483" t="s">
        <v>2057</v>
      </c>
      <c r="D483" t="b">
        <f ca="1">IF(CELL("format",F483)="G",IF(ABS(F483-G483) &lt;= ABS(F483*B$3),TRUE,FALSE),IF(F483=G483,TRUE,FALSE))</f>
        <v>1</v>
      </c>
      <c r="E483" s="5">
        <f>ABS(F483-G483)/ABS(F483)</f>
        <v>0</v>
      </c>
      <c r="F483">
        <v>-12.811999999999999</v>
      </c>
      <c r="G483">
        <v>-12.811999999999999</v>
      </c>
      <c r="H483">
        <v>-12.811999999999999</v>
      </c>
      <c r="J483" s="5">
        <f>ABS(F483-G483)/ABS(F483)</f>
        <v>0</v>
      </c>
      <c r="K483" s="5">
        <f>ABS(G483-H483)/ABS(G483)</f>
        <v>0</v>
      </c>
    </row>
    <row r="484" spans="3:11" x14ac:dyDescent="0.2">
      <c r="C484" t="s">
        <v>159</v>
      </c>
      <c r="D484" t="b">
        <f ca="1">IF(CELL("format",F484)="G",IF(ABS(F484-G484) &lt;= ABS(F484*B$3),TRUE,FALSE),IF(F484=G484,TRUE,FALSE))</f>
        <v>1</v>
      </c>
      <c r="E484" s="5">
        <f>ABS(F484-G484)/ABS(F484)</f>
        <v>0</v>
      </c>
      <c r="F484" s="4">
        <v>44602</v>
      </c>
      <c r="G484" s="4">
        <v>44602</v>
      </c>
      <c r="H484" s="4">
        <v>44602</v>
      </c>
      <c r="J484" s="5">
        <f>ABS(F484-G484)/ABS(F484)</f>
        <v>0</v>
      </c>
      <c r="K484" s="5">
        <f>ABS(G484-H484)/ABS(G484)</f>
        <v>0</v>
      </c>
    </row>
    <row r="485" spans="3:11" x14ac:dyDescent="0.2">
      <c r="C485" t="s">
        <v>2058</v>
      </c>
      <c r="D485" t="b">
        <f ca="1">IF(CELL("format",F485)="G",IF(ABS(F485-G485) &lt;= ABS(F485*B$3),TRUE,FALSE),IF(F485=G485,TRUE,FALSE))</f>
        <v>1</v>
      </c>
      <c r="E485" s="5">
        <f>ABS(F485-G485)/ABS(F485)</f>
        <v>0</v>
      </c>
      <c r="F485">
        <v>5</v>
      </c>
      <c r="G485">
        <v>5</v>
      </c>
      <c r="H485">
        <v>5</v>
      </c>
      <c r="J485" s="5">
        <f>ABS(F485-G485)/ABS(F485)</f>
        <v>0</v>
      </c>
      <c r="K485" s="5">
        <f>ABS(G485-H485)/ABS(G485)</f>
        <v>0</v>
      </c>
    </row>
    <row r="486" spans="3:11" x14ac:dyDescent="0.2">
      <c r="C486" t="s">
        <v>2059</v>
      </c>
      <c r="D486" t="b">
        <f ca="1">IF(CELL("format",F486)="G",IF(ABS(F486-G486) &lt;= ABS(F486*B$3),TRUE,FALSE),IF(F486=G486,TRUE,FALSE))</f>
        <v>1</v>
      </c>
      <c r="E486" s="5">
        <f>ABS(F486-G486)/ABS(F486)</f>
        <v>0</v>
      </c>
      <c r="F486">
        <v>-7.0512800000000002</v>
      </c>
      <c r="G486">
        <v>-7.0512800000000002</v>
      </c>
      <c r="H486">
        <v>-7.0512800000000002</v>
      </c>
      <c r="J486" s="5">
        <f>ABS(F486-G486)/ABS(F486)</f>
        <v>0</v>
      </c>
      <c r="K486" s="5">
        <f>ABS(G486-H486)/ABS(G486)</f>
        <v>0</v>
      </c>
    </row>
    <row r="487" spans="3:11" x14ac:dyDescent="0.2">
      <c r="C487" t="s">
        <v>2060</v>
      </c>
      <c r="D487" t="b">
        <f ca="1">IF(CELL("format",F487)="G",IF(ABS(F487-G487) &lt;= ABS(F487*B$3),TRUE,FALSE),IF(F487=G487,TRUE,FALSE))</f>
        <v>1</v>
      </c>
      <c r="E487" s="5">
        <f>ABS(F487-G487)/ABS(F487)</f>
        <v>0</v>
      </c>
      <c r="F487" s="4">
        <v>44602</v>
      </c>
      <c r="G487" s="4">
        <v>44602</v>
      </c>
      <c r="H487" s="4">
        <v>44602</v>
      </c>
      <c r="J487" s="5">
        <f>ABS(F487-G487)/ABS(F487)</f>
        <v>0</v>
      </c>
      <c r="K487" s="5">
        <f>ABS(G487-H487)/ABS(G487)</f>
        <v>0</v>
      </c>
    </row>
    <row r="488" spans="3:11" x14ac:dyDescent="0.2">
      <c r="C488" t="s">
        <v>2061</v>
      </c>
      <c r="D488" t="b">
        <f ca="1">IF(CELL("format",F488)="G",IF(ABS(F488-G488) &lt;= ABS(F488*B$3),TRUE,FALSE),IF(F488=G488,TRUE,FALSE))</f>
        <v>1</v>
      </c>
      <c r="E488" s="5">
        <f>ABS(F488-G488)/ABS(F488)</f>
        <v>0</v>
      </c>
      <c r="F488">
        <v>6</v>
      </c>
      <c r="G488">
        <v>6</v>
      </c>
      <c r="H488">
        <v>6</v>
      </c>
      <c r="J488" s="5">
        <f>ABS(F488-G488)/ABS(F488)</f>
        <v>0</v>
      </c>
      <c r="K488" s="5">
        <f>ABS(G488-H488)/ABS(G488)</f>
        <v>0</v>
      </c>
    </row>
    <row r="489" spans="3:11" x14ac:dyDescent="0.2">
      <c r="C489" t="s">
        <v>2062</v>
      </c>
      <c r="D489" t="b">
        <f ca="1">IF(CELL("format",F489)="G",IF(ABS(F489-G489) &lt;= ABS(F489*B$3),TRUE,FALSE),IF(F489=G489,TRUE,FALSE))</f>
        <v>1</v>
      </c>
      <c r="E489" s="5">
        <f>ABS(F489-G489)/ABS(F489)</f>
        <v>0</v>
      </c>
      <c r="F489">
        <v>9.9830699999999997</v>
      </c>
      <c r="G489">
        <v>9.9830699999999997</v>
      </c>
      <c r="H489">
        <v>9.9830699999999997</v>
      </c>
      <c r="J489" s="5">
        <f>ABS(F489-G489)/ABS(F489)</f>
        <v>0</v>
      </c>
      <c r="K489" s="5">
        <f>ABS(G489-H489)/ABS(G489)</f>
        <v>0</v>
      </c>
    </row>
    <row r="490" spans="3:11" x14ac:dyDescent="0.2">
      <c r="C490" t="s">
        <v>2063</v>
      </c>
      <c r="D490" t="b">
        <f ca="1">IF(CELL("format",F490)="G",IF(ABS(F490-G490) &lt;= ABS(F490*B$3),TRUE,FALSE),IF(F490=G490,TRUE,FALSE))</f>
        <v>1</v>
      </c>
      <c r="E490" s="5">
        <f>ABS(F490-G490)/ABS(F490)</f>
        <v>0</v>
      </c>
      <c r="F490" s="4">
        <v>44870</v>
      </c>
      <c r="G490" s="4">
        <v>44870</v>
      </c>
      <c r="H490" s="4">
        <v>44870</v>
      </c>
      <c r="J490" s="5">
        <f>ABS(F490-G490)/ABS(F490)</f>
        <v>0</v>
      </c>
      <c r="K490" s="5">
        <f>ABS(G490-H490)/ABS(G490)</f>
        <v>0</v>
      </c>
    </row>
    <row r="491" spans="3:11" x14ac:dyDescent="0.2">
      <c r="C491" t="s">
        <v>2064</v>
      </c>
      <c r="D491" t="b">
        <f ca="1">IF(CELL("format",F491)="G",IF(ABS(F491-G491) &lt;= ABS(F491*B$3),TRUE,FALSE),IF(F491=G491,TRUE,FALSE))</f>
        <v>1</v>
      </c>
      <c r="E491" s="5">
        <f>ABS(F491-G491)/ABS(F491)</f>
        <v>0</v>
      </c>
      <c r="F491">
        <v>6</v>
      </c>
      <c r="G491">
        <v>6</v>
      </c>
      <c r="H491">
        <v>6</v>
      </c>
      <c r="J491" s="5">
        <f>ABS(F491-G491)/ABS(F491)</f>
        <v>0</v>
      </c>
      <c r="K491" s="5">
        <f>ABS(G491-H491)/ABS(G491)</f>
        <v>0</v>
      </c>
    </row>
    <row r="492" spans="3:11" x14ac:dyDescent="0.2">
      <c r="C492" t="s">
        <v>2065</v>
      </c>
      <c r="D492" t="b">
        <f ca="1">IF(CELL("format",F492)="G",IF(ABS(F492-G492) &lt;= ABS(F492*B$3),TRUE,FALSE),IF(F492=G492,TRUE,FALSE))</f>
        <v>1</v>
      </c>
      <c r="E492" s="5">
        <f>ABS(F492-G492)/ABS(F492)</f>
        <v>0</v>
      </c>
      <c r="F492">
        <v>4.9894699999999998</v>
      </c>
      <c r="G492">
        <v>4.9894699999999998</v>
      </c>
      <c r="H492">
        <v>4.9894699999999998</v>
      </c>
      <c r="J492" s="5">
        <f>ABS(F492-G492)/ABS(F492)</f>
        <v>0</v>
      </c>
      <c r="K492" s="5">
        <f>ABS(G492-H492)/ABS(G492)</f>
        <v>0</v>
      </c>
    </row>
    <row r="493" spans="3:11" x14ac:dyDescent="0.2">
      <c r="C493" t="s">
        <v>158</v>
      </c>
      <c r="D493" t="b">
        <f ca="1">IF(CELL("format",F493)="G",IF(ABS(F493-G493) &lt;= ABS(F493*B$3),TRUE,FALSE),IF(F493=G493,TRUE,FALSE))</f>
        <v>1</v>
      </c>
      <c r="E493" s="5">
        <f>ABS(F493-G493)/ABS(F493)</f>
        <v>0</v>
      </c>
      <c r="F493" s="4">
        <v>44602</v>
      </c>
      <c r="G493" s="4">
        <v>44602</v>
      </c>
      <c r="H493" s="4">
        <v>44602</v>
      </c>
      <c r="J493" s="5">
        <f>ABS(F493-G493)/ABS(F493)</f>
        <v>0</v>
      </c>
      <c r="K493" s="5">
        <f>ABS(G493-H493)/ABS(G493)</f>
        <v>0</v>
      </c>
    </row>
    <row r="494" spans="3:11" x14ac:dyDescent="0.2">
      <c r="C494" t="s">
        <v>2066</v>
      </c>
      <c r="D494" t="b">
        <f ca="1">IF(CELL("format",F494)="G",IF(ABS(F494-G494) &lt;= ABS(F494*B$3),TRUE,FALSE),IF(F494=G494,TRUE,FALSE))</f>
        <v>1</v>
      </c>
      <c r="E494" s="5">
        <f>ABS(F494-G494)/ABS(F494)</f>
        <v>0</v>
      </c>
      <c r="F494">
        <v>6</v>
      </c>
      <c r="G494">
        <v>6</v>
      </c>
      <c r="H494">
        <v>6</v>
      </c>
      <c r="J494" s="5">
        <f>ABS(F494-G494)/ABS(F494)</f>
        <v>0</v>
      </c>
      <c r="K494" s="5">
        <f>ABS(G494-H494)/ABS(G494)</f>
        <v>0</v>
      </c>
    </row>
    <row r="495" spans="3:11" x14ac:dyDescent="0.2">
      <c r="C495" t="s">
        <v>2067</v>
      </c>
      <c r="D495" t="b">
        <f ca="1">IF(CELL("format",F495)="G",IF(ABS(F495-G495) &lt;= ABS(F495*B$3),TRUE,FALSE),IF(F495=G495,TRUE,FALSE))</f>
        <v>1</v>
      </c>
      <c r="E495" s="5">
        <f>ABS(F495-G495)/ABS(F495)</f>
        <v>0</v>
      </c>
      <c r="F495">
        <v>63.8611</v>
      </c>
      <c r="G495">
        <v>63.8611</v>
      </c>
      <c r="H495">
        <v>63.8611</v>
      </c>
      <c r="J495" s="5">
        <f>ABS(F495-G495)/ABS(F495)</f>
        <v>0</v>
      </c>
      <c r="K495" s="5">
        <f>ABS(G495-H495)/ABS(G495)</f>
        <v>0</v>
      </c>
    </row>
    <row r="496" spans="3:11" x14ac:dyDescent="0.2">
      <c r="C496" t="s">
        <v>167</v>
      </c>
      <c r="D496" t="b">
        <f ca="1">IF(CELL("format",F496)="G",IF(ABS(F496-G496) &lt;= ABS(F496*B$3),TRUE,FALSE),IF(F496=G496,TRUE,FALSE))</f>
        <v>1</v>
      </c>
      <c r="E496" s="5">
        <f>ABS(F496-G496)/ABS(F496)</f>
        <v>0</v>
      </c>
      <c r="F496" s="4">
        <v>44853</v>
      </c>
      <c r="G496" s="4">
        <v>44853</v>
      </c>
      <c r="H496" s="4">
        <v>44853</v>
      </c>
      <c r="J496" s="5">
        <f>ABS(F496-G496)/ABS(F496)</f>
        <v>0</v>
      </c>
      <c r="K496" s="5">
        <f>ABS(G496-H496)/ABS(G496)</f>
        <v>0</v>
      </c>
    </row>
    <row r="497" spans="3:11" x14ac:dyDescent="0.2">
      <c r="C497" t="s">
        <v>2068</v>
      </c>
      <c r="D497" t="b">
        <f ca="1">IF(CELL("format",F497)="G",IF(ABS(F497-G497) &lt;= ABS(F497*B$3),TRUE,FALSE),IF(F497=G497,TRUE,FALSE))</f>
        <v>1</v>
      </c>
      <c r="E497" s="5">
        <f>ABS(F497-G497)/ABS(F497)</f>
        <v>0</v>
      </c>
      <c r="F497">
        <v>15</v>
      </c>
      <c r="G497">
        <v>15</v>
      </c>
      <c r="H497">
        <v>15</v>
      </c>
      <c r="J497" s="5">
        <f>ABS(F497-G497)/ABS(F497)</f>
        <v>0</v>
      </c>
      <c r="K497" s="5">
        <f>ABS(G497-H497)/ABS(G497)</f>
        <v>0</v>
      </c>
    </row>
    <row r="498" spans="3:11" x14ac:dyDescent="0.2">
      <c r="C498" t="s">
        <v>2069</v>
      </c>
      <c r="D498" t="b">
        <f ca="1">IF(CELL("format",F498)="G",IF(ABS(F498-G498) &lt;= ABS(F498*B$3),TRUE,FALSE),IF(F498=G498,TRUE,FALSE))</f>
        <v>1</v>
      </c>
      <c r="E498" s="5">
        <f>ABS(F498-G498)/ABS(F498)</f>
        <v>0</v>
      </c>
      <c r="F498">
        <v>44.297499999999999</v>
      </c>
      <c r="G498">
        <v>44.297499999999999</v>
      </c>
      <c r="H498">
        <v>44.297499999999999</v>
      </c>
      <c r="J498" s="5">
        <f>ABS(F498-G498)/ABS(F498)</f>
        <v>0</v>
      </c>
      <c r="K498" s="5">
        <f>ABS(G498-H498)/ABS(G498)</f>
        <v>0</v>
      </c>
    </row>
    <row r="499" spans="3:11" x14ac:dyDescent="0.2">
      <c r="C499" t="s">
        <v>166</v>
      </c>
      <c r="D499" t="b">
        <f ca="1">IF(CELL("format",F499)="G",IF(ABS(F499-G499) &lt;= ABS(F499*B$3),TRUE,FALSE),IF(F499=G499,TRUE,FALSE))</f>
        <v>1</v>
      </c>
      <c r="E499" s="5">
        <f>ABS(F499-G499)/ABS(F499)</f>
        <v>0</v>
      </c>
      <c r="F499" s="4">
        <v>44817</v>
      </c>
      <c r="G499" s="4">
        <v>44817</v>
      </c>
      <c r="H499" s="4">
        <v>44817</v>
      </c>
      <c r="J499" s="5">
        <f>ABS(F499-G499)/ABS(F499)</f>
        <v>0</v>
      </c>
      <c r="K499" s="5">
        <f>ABS(G499-H499)/ABS(G499)</f>
        <v>0</v>
      </c>
    </row>
    <row r="500" spans="3:11" x14ac:dyDescent="0.2">
      <c r="C500" t="s">
        <v>2070</v>
      </c>
      <c r="D500" t="b">
        <f ca="1">IF(CELL("format",F500)="G",IF(ABS(F500-G500) &lt;= ABS(F500*B$3),TRUE,FALSE),IF(F500=G500,TRUE,FALSE))</f>
        <v>1</v>
      </c>
      <c r="E500" s="5">
        <f>ABS(F500-G500)/ABS(F500)</f>
        <v>0</v>
      </c>
      <c r="F500">
        <v>14</v>
      </c>
      <c r="G500">
        <v>14</v>
      </c>
      <c r="H500">
        <v>14</v>
      </c>
      <c r="J500" s="5">
        <f>ABS(F500-G500)/ABS(F500)</f>
        <v>0</v>
      </c>
      <c r="K500" s="5">
        <f>ABS(G500-H500)/ABS(G500)</f>
        <v>0</v>
      </c>
    </row>
    <row r="501" spans="3:11" x14ac:dyDescent="0.2">
      <c r="C501" t="s">
        <v>2071</v>
      </c>
      <c r="D501" t="b">
        <f ca="1">IF(CELL("format",F501)="G",IF(ABS(F501-G501) &lt;= ABS(F501*B$3),TRUE,FALSE),IF(F501=G501,TRUE,FALSE))</f>
        <v>1</v>
      </c>
      <c r="E501" s="5">
        <f>ABS(F501-G501)/ABS(F501)</f>
        <v>0</v>
      </c>
      <c r="F501">
        <v>62.488599999999998</v>
      </c>
      <c r="G501">
        <v>62.488599999999998</v>
      </c>
      <c r="H501">
        <v>62.488599999999998</v>
      </c>
      <c r="J501" s="5">
        <f>ABS(F501-G501)/ABS(F501)</f>
        <v>0</v>
      </c>
      <c r="K501" s="5">
        <f>ABS(G501-H501)/ABS(G501)</f>
        <v>0</v>
      </c>
    </row>
    <row r="502" spans="3:11" x14ac:dyDescent="0.2">
      <c r="C502" t="s">
        <v>165</v>
      </c>
      <c r="D502" t="b">
        <f ca="1">IF(CELL("format",F502)="G",IF(ABS(F502-G502) &lt;= ABS(F502*B$3),TRUE,FALSE),IF(F502=G502,TRUE,FALSE))</f>
        <v>1</v>
      </c>
      <c r="E502" s="5">
        <f>ABS(F502-G502)/ABS(F502)</f>
        <v>0</v>
      </c>
      <c r="F502" s="4">
        <v>44853</v>
      </c>
      <c r="G502" s="4">
        <v>44853</v>
      </c>
      <c r="H502" s="4">
        <v>44853</v>
      </c>
      <c r="J502" s="5">
        <f>ABS(F502-G502)/ABS(F502)</f>
        <v>0</v>
      </c>
      <c r="K502" s="5">
        <f>ABS(G502-H502)/ABS(G502)</f>
        <v>0</v>
      </c>
    </row>
    <row r="503" spans="3:11" x14ac:dyDescent="0.2">
      <c r="C503" t="s">
        <v>2072</v>
      </c>
      <c r="D503" t="b">
        <f ca="1">IF(CELL("format",F503)="G",IF(ABS(F503-G503) &lt;= ABS(F503*B$3),TRUE,FALSE),IF(F503=G503,TRUE,FALSE))</f>
        <v>1</v>
      </c>
      <c r="E503" s="5">
        <f>ABS(F503-G503)/ABS(F503)</f>
        <v>0</v>
      </c>
      <c r="F503">
        <v>15</v>
      </c>
      <c r="G503">
        <v>15</v>
      </c>
      <c r="H503">
        <v>15</v>
      </c>
      <c r="J503" s="5">
        <f>ABS(F503-G503)/ABS(F503)</f>
        <v>0</v>
      </c>
      <c r="K503" s="5">
        <f>ABS(G503-H503)/ABS(G503)</f>
        <v>0</v>
      </c>
    </row>
    <row r="504" spans="3:11" x14ac:dyDescent="0.2">
      <c r="C504" t="s">
        <v>2073</v>
      </c>
      <c r="D504" t="b">
        <f ca="1">IF(CELL("format",F504)="G",IF(ABS(F504-G504) &lt;= ABS(F504*B$3),TRUE,FALSE),IF(F504=G504,TRUE,FALSE))</f>
        <v>1</v>
      </c>
      <c r="E504" s="5">
        <f>ABS(F504-G504)/ABS(F504)</f>
        <v>0</v>
      </c>
      <c r="F504">
        <v>36.682499999999997</v>
      </c>
      <c r="G504">
        <v>36.682499999999997</v>
      </c>
      <c r="H504">
        <v>36.682499999999997</v>
      </c>
      <c r="J504" s="5">
        <f>ABS(F504-G504)/ABS(F504)</f>
        <v>0</v>
      </c>
      <c r="K504" s="5">
        <f>ABS(G504-H504)/ABS(G504)</f>
        <v>0</v>
      </c>
    </row>
    <row r="505" spans="3:11" x14ac:dyDescent="0.2">
      <c r="C505" t="s">
        <v>164</v>
      </c>
      <c r="D505" t="b">
        <f ca="1">IF(CELL("format",F505)="G",IF(ABS(F505-G505) &lt;= ABS(F505*B$3),TRUE,FALSE),IF(F505=G505,TRUE,FALSE))</f>
        <v>1</v>
      </c>
      <c r="E505" s="5">
        <f>ABS(F505-G505)/ABS(F505)</f>
        <v>0</v>
      </c>
      <c r="F505" s="4">
        <v>44816</v>
      </c>
      <c r="G505" s="4">
        <v>44816</v>
      </c>
      <c r="H505" s="4">
        <v>44816</v>
      </c>
      <c r="J505" s="5">
        <f>ABS(F505-G505)/ABS(F505)</f>
        <v>0</v>
      </c>
      <c r="K505" s="5">
        <f>ABS(G505-H505)/ABS(G505)</f>
        <v>0</v>
      </c>
    </row>
    <row r="506" spans="3:11" x14ac:dyDescent="0.2">
      <c r="C506" t="s">
        <v>2074</v>
      </c>
      <c r="D506" t="b">
        <f ca="1">IF(CELL("format",F506)="G",IF(ABS(F506-G506) &lt;= ABS(F506*B$3),TRUE,FALSE),IF(F506=G506,TRUE,FALSE))</f>
        <v>1</v>
      </c>
      <c r="E506" s="5">
        <f>ABS(F506-G506)/ABS(F506)</f>
        <v>0</v>
      </c>
      <c r="F506">
        <v>15</v>
      </c>
      <c r="G506">
        <v>15</v>
      </c>
      <c r="H506">
        <v>15</v>
      </c>
      <c r="J506" s="5">
        <f>ABS(F506-G506)/ABS(F506)</f>
        <v>0</v>
      </c>
      <c r="K506" s="5">
        <f>ABS(G506-H506)/ABS(G506)</f>
        <v>0</v>
      </c>
    </row>
    <row r="507" spans="3:11" x14ac:dyDescent="0.2">
      <c r="C507" t="s">
        <v>2075</v>
      </c>
      <c r="D507" t="b">
        <f ca="1">IF(CELL("format",F507)="G",IF(ABS(F507-G507) &lt;= ABS(F507*B$3),TRUE,FALSE),IF(F507=G507,TRUE,FALSE))</f>
        <v>1</v>
      </c>
      <c r="E507" s="5">
        <f>ABS(F507-G507)/ABS(F507)</f>
        <v>0</v>
      </c>
      <c r="F507">
        <v>70.147599999999997</v>
      </c>
      <c r="G507">
        <v>70.147599999999997</v>
      </c>
      <c r="H507">
        <v>70.147599999999997</v>
      </c>
      <c r="J507" s="5">
        <f>ABS(F507-G507)/ABS(F507)</f>
        <v>0</v>
      </c>
      <c r="K507" s="5">
        <f>ABS(G507-H507)/ABS(G507)</f>
        <v>0</v>
      </c>
    </row>
    <row r="508" spans="3:11" x14ac:dyDescent="0.2">
      <c r="C508" t="s">
        <v>2076</v>
      </c>
      <c r="D508" t="b">
        <f ca="1">IF(CELL("format",F508)="G",IF(ABS(F508-G508) &lt;= ABS(F508*B$3),TRUE,FALSE),IF(F508=G508,TRUE,FALSE))</f>
        <v>1</v>
      </c>
      <c r="E508" s="5">
        <f>ABS(F508-G508)/ABS(F508)</f>
        <v>0</v>
      </c>
      <c r="F508" s="4">
        <v>44584</v>
      </c>
      <c r="G508" s="4">
        <v>44584</v>
      </c>
      <c r="H508" s="4">
        <v>44584</v>
      </c>
      <c r="J508" s="5">
        <f>ABS(F508-G508)/ABS(F508)</f>
        <v>0</v>
      </c>
      <c r="K508" s="5">
        <f>ABS(G508-H508)/ABS(G508)</f>
        <v>0</v>
      </c>
    </row>
    <row r="509" spans="3:11" x14ac:dyDescent="0.2">
      <c r="C509" t="s">
        <v>2077</v>
      </c>
      <c r="D509" t="b">
        <f ca="1">IF(CELL("format",F509)="G",IF(ABS(F509-G509) &lt;= ABS(F509*B$3),TRUE,FALSE),IF(F509=G509,TRUE,FALSE))</f>
        <v>1</v>
      </c>
      <c r="E509" s="5">
        <f>ABS(F509-G509)/ABS(F509)</f>
        <v>0</v>
      </c>
      <c r="F509">
        <v>15</v>
      </c>
      <c r="G509">
        <v>15</v>
      </c>
      <c r="H509">
        <v>15</v>
      </c>
      <c r="J509" s="5">
        <f>ABS(F509-G509)/ABS(F509)</f>
        <v>0</v>
      </c>
      <c r="K509" s="5">
        <f>ABS(G509-H509)/ABS(G509)</f>
        <v>0</v>
      </c>
    </row>
    <row r="510" spans="3:11" x14ac:dyDescent="0.2">
      <c r="C510" t="s">
        <v>2078</v>
      </c>
      <c r="D510" t="b">
        <f ca="1">IF(CELL("format",F510)="G",IF(ABS(F510-G510) &lt;= ABS(F510*B$3),TRUE,FALSE),IF(F510=G510,TRUE,FALSE))</f>
        <v>1</v>
      </c>
      <c r="E510" s="5">
        <f>ABS(F510-G510)/ABS(F510)</f>
        <v>0</v>
      </c>
      <c r="F510">
        <v>49.673099999999998</v>
      </c>
      <c r="G510">
        <v>49.673099999999998</v>
      </c>
      <c r="H510">
        <v>49.673099999999998</v>
      </c>
      <c r="J510" s="5">
        <f>ABS(F510-G510)/ABS(F510)</f>
        <v>0</v>
      </c>
      <c r="K510" s="5">
        <f>ABS(G510-H510)/ABS(G510)</f>
        <v>0</v>
      </c>
    </row>
    <row r="511" spans="3:11" x14ac:dyDescent="0.2">
      <c r="C511" t="s">
        <v>2079</v>
      </c>
      <c r="D511" t="b">
        <f ca="1">IF(CELL("format",F511)="G",IF(ABS(F511-G511) &lt;= ABS(F511*B$3),TRUE,FALSE),IF(F511=G511,TRUE,FALSE))</f>
        <v>1</v>
      </c>
      <c r="E511" s="5">
        <f>ABS(F511-G511)/ABS(F511)</f>
        <v>0</v>
      </c>
      <c r="F511" s="4">
        <v>44817</v>
      </c>
      <c r="G511" s="4">
        <v>44817</v>
      </c>
      <c r="H511" s="4">
        <v>44817</v>
      </c>
      <c r="J511" s="5">
        <f>ABS(F511-G511)/ABS(F511)</f>
        <v>0</v>
      </c>
      <c r="K511" s="5">
        <f>ABS(G511-H511)/ABS(G511)</f>
        <v>0</v>
      </c>
    </row>
    <row r="512" spans="3:11" x14ac:dyDescent="0.2">
      <c r="C512" t="s">
        <v>2080</v>
      </c>
      <c r="D512" t="b">
        <f ca="1">IF(CELL("format",F512)="G",IF(ABS(F512-G512) &lt;= ABS(F512*B$3),TRUE,FALSE),IF(F512=G512,TRUE,FALSE))</f>
        <v>1</v>
      </c>
      <c r="E512" s="5">
        <f>ABS(F512-G512)/ABS(F512)</f>
        <v>0</v>
      </c>
      <c r="F512">
        <v>14</v>
      </c>
      <c r="G512">
        <v>14</v>
      </c>
      <c r="H512">
        <v>14</v>
      </c>
      <c r="J512" s="5">
        <f>ABS(F512-G512)/ABS(F512)</f>
        <v>0</v>
      </c>
      <c r="K512" s="5">
        <f>ABS(G512-H512)/ABS(G512)</f>
        <v>0</v>
      </c>
    </row>
    <row r="513" spans="3:11" x14ac:dyDescent="0.2">
      <c r="C513" t="s">
        <v>2081</v>
      </c>
      <c r="D513" t="b">
        <f ca="1">IF(CELL("format",F513)="G",IF(ABS(F513-G513) &lt;= ABS(F513*B$3),TRUE,FALSE),IF(F513=G513,TRUE,FALSE))</f>
        <v>1</v>
      </c>
      <c r="E513" s="5">
        <f>ABS(F513-G513)/ABS(F513)</f>
        <v>0</v>
      </c>
      <c r="F513">
        <v>49.073399999999999</v>
      </c>
      <c r="G513">
        <v>49.073399999999999</v>
      </c>
      <c r="H513">
        <v>49.073399999999999</v>
      </c>
      <c r="J513" s="5">
        <f>ABS(F513-G513)/ABS(F513)</f>
        <v>0</v>
      </c>
      <c r="K513" s="5">
        <f>ABS(G513-H513)/ABS(G513)</f>
        <v>0</v>
      </c>
    </row>
    <row r="514" spans="3:11" x14ac:dyDescent="0.2">
      <c r="C514" t="s">
        <v>163</v>
      </c>
      <c r="D514" t="b">
        <f ca="1">IF(CELL("format",F514)="G",IF(ABS(F514-G514) &lt;= ABS(F514*B$3),TRUE,FALSE),IF(F514=G514,TRUE,FALSE))</f>
        <v>1</v>
      </c>
      <c r="E514" s="5">
        <f>ABS(F514-G514)/ABS(F514)</f>
        <v>0</v>
      </c>
      <c r="F514" s="4">
        <v>44847</v>
      </c>
      <c r="G514" s="4">
        <v>44847</v>
      </c>
      <c r="H514" s="4">
        <v>44847</v>
      </c>
      <c r="J514" s="5">
        <f>ABS(F514-G514)/ABS(F514)</f>
        <v>0</v>
      </c>
      <c r="K514" s="5">
        <f>ABS(G514-H514)/ABS(G514)</f>
        <v>0</v>
      </c>
    </row>
    <row r="515" spans="3:11" x14ac:dyDescent="0.2">
      <c r="C515" t="s">
        <v>2082</v>
      </c>
      <c r="D515" t="b">
        <f ca="1">IF(CELL("format",F515)="G",IF(ABS(F515-G515) &lt;= ABS(F515*B$3),TRUE,FALSE),IF(F515=G515,TRUE,FALSE))</f>
        <v>1</v>
      </c>
      <c r="E515" s="5">
        <f>ABS(F515-G515)/ABS(F515)</f>
        <v>0</v>
      </c>
      <c r="F515">
        <v>14</v>
      </c>
      <c r="G515">
        <v>14</v>
      </c>
      <c r="H515">
        <v>14</v>
      </c>
      <c r="J515" s="5">
        <f>ABS(F515-G515)/ABS(F515)</f>
        <v>0</v>
      </c>
      <c r="K515" s="5">
        <f>ABS(G515-H515)/ABS(G515)</f>
        <v>0</v>
      </c>
    </row>
    <row r="516" spans="3:11" x14ac:dyDescent="0.2">
      <c r="C516" t="s">
        <v>152</v>
      </c>
      <c r="D516" t="b">
        <f ca="1">IF(CELL("format",F516)="G",IF(ABS(F516-G516) &lt;= ABS(F516*B$3),TRUE,FALSE),IF(F516=G516,TRUE,FALSE))</f>
        <v>1</v>
      </c>
      <c r="E516" s="5">
        <f>ABS(F516-G516)/ABS(F516)</f>
        <v>0</v>
      </c>
      <c r="F516">
        <v>438.24099999999999</v>
      </c>
      <c r="G516">
        <v>438.24099999999999</v>
      </c>
      <c r="H516">
        <v>438.24099999999999</v>
      </c>
      <c r="J516" s="5">
        <f>ABS(F516-G516)/ABS(F516)</f>
        <v>0</v>
      </c>
      <c r="K516" s="5">
        <f>ABS(G516-H516)/ABS(G516)</f>
        <v>0</v>
      </c>
    </row>
    <row r="517" spans="3:11" x14ac:dyDescent="0.2">
      <c r="C517" t="s">
        <v>151</v>
      </c>
      <c r="D517" t="b">
        <f ca="1">IF(CELL("format",F517)="G",IF(ABS(F517-G517) &lt;= ABS(F517*B$3),TRUE,FALSE),IF(F517=G517,TRUE,FALSE))</f>
        <v>1</v>
      </c>
      <c r="E517" s="5">
        <f>ABS(F517-G517)/ABS(F517)</f>
        <v>0</v>
      </c>
      <c r="F517">
        <v>1062.1600000000001</v>
      </c>
      <c r="G517">
        <v>1062.1600000000001</v>
      </c>
      <c r="H517">
        <v>1062.1600000000001</v>
      </c>
      <c r="J517" s="5">
        <f>ABS(F517-G517)/ABS(F517)</f>
        <v>0</v>
      </c>
      <c r="K517" s="5">
        <f>ABS(G517-H517)/ABS(G517)</f>
        <v>0</v>
      </c>
    </row>
    <row r="518" spans="3:11" x14ac:dyDescent="0.2">
      <c r="C518" t="s">
        <v>150</v>
      </c>
      <c r="D518" t="b">
        <f ca="1">IF(CELL("format",F518)="G",IF(ABS(F518-G518) &lt;= ABS(F518*B$3),TRUE,FALSE),IF(F518=G518,TRUE,FALSE))</f>
        <v>1</v>
      </c>
      <c r="E518" s="5">
        <f>ABS(F518-G518)/ABS(F518)</f>
        <v>0</v>
      </c>
      <c r="F518">
        <v>967.27800000000002</v>
      </c>
      <c r="G518">
        <v>967.27800000000002</v>
      </c>
      <c r="H518">
        <v>967.27800000000002</v>
      </c>
      <c r="J518" s="5">
        <f>ABS(F518-G518)/ABS(F518)</f>
        <v>0</v>
      </c>
      <c r="K518" s="5">
        <f>ABS(G518-H518)/ABS(G518)</f>
        <v>0</v>
      </c>
    </row>
    <row r="519" spans="3:11" x14ac:dyDescent="0.2">
      <c r="C519" t="s">
        <v>149</v>
      </c>
      <c r="D519" t="b">
        <f ca="1">IF(CELL("format",F519)="G",IF(ABS(F519-G519) &lt;= ABS(F519*B$3),TRUE,FALSE),IF(F519=G519,TRUE,FALSE))</f>
        <v>1</v>
      </c>
      <c r="E519" s="5">
        <f>ABS(F519-G519)/ABS(F519)</f>
        <v>0</v>
      </c>
      <c r="F519">
        <v>1370.48</v>
      </c>
      <c r="G519">
        <v>1370.48</v>
      </c>
      <c r="H519">
        <v>1370.48</v>
      </c>
      <c r="J519" s="5">
        <f>ABS(F519-G519)/ABS(F519)</f>
        <v>0</v>
      </c>
      <c r="K519" s="5">
        <f>ABS(G519-H519)/ABS(G519)</f>
        <v>0</v>
      </c>
    </row>
    <row r="520" spans="3:11" x14ac:dyDescent="0.2">
      <c r="C520" t="s">
        <v>148</v>
      </c>
      <c r="D520" t="b">
        <f ca="1">IF(CELL("format",F520)="G",IF(ABS(F520-G520) &lt;= ABS(F520*B$3),TRUE,FALSE),IF(F520=G520,TRUE,FALSE))</f>
        <v>1</v>
      </c>
      <c r="E520" s="5">
        <f>ABS(F520-G520)/ABS(F520)</f>
        <v>0</v>
      </c>
      <c r="F520">
        <v>1664.34</v>
      </c>
      <c r="G520">
        <v>1664.34</v>
      </c>
      <c r="H520">
        <v>1664.34</v>
      </c>
      <c r="J520" s="5">
        <f>ABS(F520-G520)/ABS(F520)</f>
        <v>0</v>
      </c>
      <c r="K520" s="5">
        <f>ABS(G520-H520)/ABS(G520)</f>
        <v>0</v>
      </c>
    </row>
    <row r="521" spans="3:11" x14ac:dyDescent="0.2">
      <c r="C521" t="s">
        <v>2083</v>
      </c>
      <c r="D521" t="b">
        <f ca="1">IF(CELL("format",F521)="G",IF(ABS(F521-G521) &lt;= ABS(F521*B$3),TRUE,FALSE),IF(F521=G521,TRUE,FALSE))</f>
        <v>1</v>
      </c>
      <c r="E521" s="5" t="e">
        <f>ABS(F521-G521)/ABS(F521)</f>
        <v>#DIV/0!</v>
      </c>
      <c r="H521">
        <v>612.30399999999997</v>
      </c>
      <c r="J521" s="5" t="e">
        <f>ABS(F521-G521)/ABS(F521)</f>
        <v>#DIV/0!</v>
      </c>
      <c r="K521" s="5" t="e">
        <f>ABS(G521-H521)/ABS(G521)</f>
        <v>#DIV/0!</v>
      </c>
    </row>
    <row r="522" spans="3:11" x14ac:dyDescent="0.2">
      <c r="C522" t="s">
        <v>2084</v>
      </c>
      <c r="D522" t="b">
        <f ca="1">IF(CELL("format",F522)="G",IF(ABS(F522-G522) &lt;= ABS(F522*B$3),TRUE,FALSE),IF(F522=G522,TRUE,FALSE))</f>
        <v>1</v>
      </c>
      <c r="E522" s="5" t="e">
        <f>ABS(F522-G522)/ABS(F522)</f>
        <v>#DIV/0!</v>
      </c>
      <c r="H522">
        <v>804.02099999999996</v>
      </c>
      <c r="J522" s="5" t="e">
        <f>ABS(F522-G522)/ABS(F522)</f>
        <v>#DIV/0!</v>
      </c>
      <c r="K522" s="5" t="e">
        <f>ABS(G522-H522)/ABS(G522)</f>
        <v>#DIV/0!</v>
      </c>
    </row>
    <row r="523" spans="3:11" x14ac:dyDescent="0.2">
      <c r="C523" t="s">
        <v>2085</v>
      </c>
      <c r="D523" t="b">
        <f ca="1">IF(CELL("format",F523)="G",IF(ABS(F523-G523) &lt;= ABS(F523*B$3),TRUE,FALSE),IF(F523=G523,TRUE,FALSE))</f>
        <v>1</v>
      </c>
      <c r="E523" s="5" t="e">
        <f>ABS(F523-G523)/ABS(F523)</f>
        <v>#DIV/0!</v>
      </c>
      <c r="H523">
        <v>435.995</v>
      </c>
      <c r="J523" s="5" t="e">
        <f>ABS(F523-G523)/ABS(F523)</f>
        <v>#DIV/0!</v>
      </c>
      <c r="K523" s="5" t="e">
        <f>ABS(G523-H523)/ABS(G523)</f>
        <v>#DIV/0!</v>
      </c>
    </row>
    <row r="524" spans="3:11" x14ac:dyDescent="0.2">
      <c r="C524" t="s">
        <v>2086</v>
      </c>
      <c r="D524" t="b">
        <f ca="1">IF(CELL("format",F524)="G",IF(ABS(F524-G524) &lt;= ABS(F524*B$3),TRUE,FALSE),IF(F524=G524,TRUE,FALSE))</f>
        <v>1</v>
      </c>
      <c r="E524" s="5" t="e">
        <f>ABS(F524-G524)/ABS(F524)</f>
        <v>#DIV/0!</v>
      </c>
      <c r="H524">
        <v>1024.2</v>
      </c>
      <c r="J524" s="5" t="e">
        <f>ABS(F524-G524)/ABS(F524)</f>
        <v>#DIV/0!</v>
      </c>
      <c r="K524" s="5" t="e">
        <f>ABS(G524-H524)/ABS(G524)</f>
        <v>#DIV/0!</v>
      </c>
    </row>
    <row r="525" spans="3:11" x14ac:dyDescent="0.2">
      <c r="C525" t="s">
        <v>2087</v>
      </c>
      <c r="D525" t="b">
        <f ca="1">IF(CELL("format",F525)="G",IF(ABS(F525-G525) &lt;= ABS(F525*B$3),TRUE,FALSE),IF(F525=G525,TRUE,FALSE))</f>
        <v>1</v>
      </c>
      <c r="E525" s="5" t="e">
        <f>ABS(F525-G525)/ABS(F525)</f>
        <v>#DIV/0!</v>
      </c>
      <c r="H525">
        <v>445.21499999999997</v>
      </c>
      <c r="J525" s="5" t="e">
        <f>ABS(F525-G525)/ABS(F525)</f>
        <v>#DIV/0!</v>
      </c>
      <c r="K525" s="5" t="e">
        <f>ABS(G525-H525)/ABS(G525)</f>
        <v>#DIV/0!</v>
      </c>
    </row>
    <row r="526" spans="3:11" x14ac:dyDescent="0.2">
      <c r="C526" t="s">
        <v>2088</v>
      </c>
      <c r="D526" t="b">
        <f ca="1">IF(CELL("format",F526)="G",IF(ABS(F526-G526) &lt;= ABS(F526*B$3),TRUE,FALSE),IF(F526=G526,TRUE,FALSE))</f>
        <v>1</v>
      </c>
      <c r="E526" s="5" t="e">
        <f>ABS(F526-G526)/ABS(F526)</f>
        <v>#DIV/0!</v>
      </c>
      <c r="H526">
        <v>646.673</v>
      </c>
      <c r="J526" s="5" t="e">
        <f>ABS(F526-G526)/ABS(F526)</f>
        <v>#DIV/0!</v>
      </c>
      <c r="K526" s="5" t="e">
        <f>ABS(G526-H526)/ABS(G526)</f>
        <v>#DIV/0!</v>
      </c>
    </row>
    <row r="527" spans="3:11" x14ac:dyDescent="0.2">
      <c r="C527" t="s">
        <v>2089</v>
      </c>
      <c r="D527" t="b">
        <f ca="1">IF(CELL("format",F527)="G",IF(ABS(F527-G527) &lt;= ABS(F527*B$3),TRUE,FALSE),IF(F527=G527,TRUE,FALSE))</f>
        <v>1</v>
      </c>
      <c r="E527" s="5">
        <f>ABS(F527-G527)/ABS(F527)</f>
        <v>0</v>
      </c>
      <c r="F527">
        <v>-2.01695</v>
      </c>
      <c r="G527">
        <v>-2.01695</v>
      </c>
      <c r="H527">
        <v>-2.01695</v>
      </c>
      <c r="J527" s="5">
        <f>ABS(F527-G527)/ABS(F527)</f>
        <v>0</v>
      </c>
      <c r="K527" s="5">
        <f>ABS(G527-H527)/ABS(G527)</f>
        <v>0</v>
      </c>
    </row>
    <row r="528" spans="3:11" x14ac:dyDescent="0.2">
      <c r="C528" t="s">
        <v>2090</v>
      </c>
      <c r="D528" t="b">
        <f ca="1">IF(CELL("format",F528)="G",IF(ABS(F528-G528) &lt;= ABS(F528*B$3),TRUE,FALSE),IF(F528=G528,TRUE,FALSE))</f>
        <v>1</v>
      </c>
      <c r="E528" s="5">
        <f>ABS(F528-G528)/ABS(F528)</f>
        <v>0</v>
      </c>
      <c r="F528">
        <v>-37.979599999999998</v>
      </c>
      <c r="G528">
        <v>-37.979599999999998</v>
      </c>
      <c r="H528">
        <v>-37.979599999999998</v>
      </c>
      <c r="J528" s="5">
        <f>ABS(F528-G528)/ABS(F528)</f>
        <v>0</v>
      </c>
      <c r="K528" s="5">
        <f>ABS(G528-H528)/ABS(G528)</f>
        <v>0</v>
      </c>
    </row>
    <row r="529" spans="3:11" x14ac:dyDescent="0.2">
      <c r="C529" t="s">
        <v>2091</v>
      </c>
      <c r="D529" t="e">
        <f ca="1">IF(CELL("format",F529)="G",IF(ABS(F529-G529) &lt;= ABS(F529*B$3),TRUE,FALSE),IF(F529=G529,TRUE,FALSE))</f>
        <v>#VALUE!</v>
      </c>
      <c r="E529" s="5" t="e">
        <f>ABS(F529-G529)/ABS(F529)</f>
        <v>#VALUE!</v>
      </c>
      <c r="F529" t="s">
        <v>2357</v>
      </c>
      <c r="G529" t="s">
        <v>2357</v>
      </c>
      <c r="H529" t="s">
        <v>2357</v>
      </c>
      <c r="J529" s="5" t="e">
        <f>ABS(F529-G529)/ABS(F529)</f>
        <v>#VALUE!</v>
      </c>
      <c r="K529" s="5" t="e">
        <f>ABS(G529-H529)/ABS(G529)</f>
        <v>#VALUE!</v>
      </c>
    </row>
    <row r="530" spans="3:11" x14ac:dyDescent="0.2">
      <c r="C530" t="s">
        <v>2092</v>
      </c>
      <c r="D530" t="b">
        <f ca="1">IF(CELL("format",F530)="G",IF(ABS(F530-G530) &lt;= ABS(F530*B$3),TRUE,FALSE),IF(F530=G530,TRUE,FALSE))</f>
        <v>1</v>
      </c>
      <c r="E530" s="5">
        <f>ABS(F530-G530)/ABS(F530)</f>
        <v>0</v>
      </c>
      <c r="F530">
        <v>23</v>
      </c>
      <c r="G530">
        <v>23</v>
      </c>
      <c r="H530">
        <v>23</v>
      </c>
      <c r="J530" s="5">
        <f>ABS(F530-G530)/ABS(F530)</f>
        <v>0</v>
      </c>
      <c r="K530" s="5">
        <f>ABS(G530-H530)/ABS(G530)</f>
        <v>0</v>
      </c>
    </row>
    <row r="531" spans="3:11" x14ac:dyDescent="0.2">
      <c r="C531" t="s">
        <v>2090</v>
      </c>
      <c r="D531" t="b">
        <f ca="1">IF(CELL("format",F531)="G",IF(ABS(F531-G531) &lt;= ABS(F531*B$3),TRUE,FALSE),IF(F531=G531,TRUE,FALSE))</f>
        <v>1</v>
      </c>
      <c r="E531" s="5">
        <f>ABS(F531-G531)/ABS(F531)</f>
        <v>0</v>
      </c>
      <c r="F531">
        <v>24.730599999999999</v>
      </c>
      <c r="G531">
        <v>24.730599999999999</v>
      </c>
      <c r="H531">
        <v>24.730599999999999</v>
      </c>
      <c r="J531" s="5">
        <f>ABS(F531-G531)/ABS(F531)</f>
        <v>0</v>
      </c>
      <c r="K531" s="5">
        <f>ABS(G531-H531)/ABS(G531)</f>
        <v>0</v>
      </c>
    </row>
    <row r="532" spans="3:11" x14ac:dyDescent="0.2">
      <c r="C532" t="s">
        <v>2091</v>
      </c>
      <c r="D532" t="b">
        <f ca="1">IF(CELL("format",F532)="G",IF(ABS(F532-G532) &lt;= ABS(F532*B$3),TRUE,FALSE),IF(F532=G532,TRUE,FALSE))</f>
        <v>1</v>
      </c>
      <c r="E532" s="5">
        <f>ABS(F532-G532)/ABS(F532)</f>
        <v>0</v>
      </c>
      <c r="F532" s="4">
        <v>44778</v>
      </c>
      <c r="G532" s="4">
        <v>44778</v>
      </c>
      <c r="H532" s="4">
        <v>44778</v>
      </c>
      <c r="J532" s="5">
        <f>ABS(F532-G532)/ABS(F532)</f>
        <v>0</v>
      </c>
      <c r="K532" s="5">
        <f>ABS(G532-H532)/ABS(G532)</f>
        <v>0</v>
      </c>
    </row>
    <row r="533" spans="3:11" x14ac:dyDescent="0.2">
      <c r="C533" t="s">
        <v>2092</v>
      </c>
      <c r="D533" t="b">
        <f ca="1">IF(CELL("format",F533)="G",IF(ABS(F533-G533) &lt;= ABS(F533*B$3),TRUE,FALSE),IF(F533=G533,TRUE,FALSE))</f>
        <v>1</v>
      </c>
      <c r="E533" s="5">
        <f>ABS(F533-G533)/ABS(F533)</f>
        <v>0</v>
      </c>
      <c r="F533">
        <v>15</v>
      </c>
      <c r="G533">
        <v>15</v>
      </c>
      <c r="H533">
        <v>15</v>
      </c>
      <c r="J533" s="5">
        <f>ABS(F533-G533)/ABS(F533)</f>
        <v>0</v>
      </c>
      <c r="K533" s="5">
        <f>ABS(G533-H533)/ABS(G533)</f>
        <v>0</v>
      </c>
    </row>
    <row r="534" spans="3:11" x14ac:dyDescent="0.2">
      <c r="C534" t="s">
        <v>2093</v>
      </c>
      <c r="D534" t="b">
        <f ca="1">IF(CELL("format",F534)="G",IF(ABS(F534-G534) &lt;= ABS(F534*B$3),TRUE,FALSE),IF(F534=G534,TRUE,FALSE))</f>
        <v>1</v>
      </c>
      <c r="E534" s="5">
        <f>ABS(F534-G534)/ABS(F534)</f>
        <v>0</v>
      </c>
      <c r="F534">
        <v>711.73</v>
      </c>
      <c r="G534">
        <v>711.73</v>
      </c>
      <c r="H534">
        <v>711.73</v>
      </c>
      <c r="J534" s="5">
        <f>ABS(F534-G534)/ABS(F534)</f>
        <v>0</v>
      </c>
      <c r="K534" s="5">
        <f>ABS(G534-H534)/ABS(G534)</f>
        <v>0</v>
      </c>
    </row>
    <row r="535" spans="3:11" x14ac:dyDescent="0.2">
      <c r="C535" t="s">
        <v>2094</v>
      </c>
      <c r="D535" t="b">
        <f ca="1">IF(CELL("format",F535)="G",IF(ABS(F535-G535) &lt;= ABS(F535*B$3),TRUE,FALSE),IF(F535=G535,TRUE,FALSE))</f>
        <v>1</v>
      </c>
      <c r="E535" s="5">
        <f>ABS(F535-G535)/ABS(F535)</f>
        <v>0</v>
      </c>
      <c r="F535">
        <v>255.36</v>
      </c>
      <c r="G535">
        <v>255.36</v>
      </c>
      <c r="H535">
        <v>255.36</v>
      </c>
      <c r="J535" s="5">
        <f>ABS(F535-G535)/ABS(F535)</f>
        <v>0</v>
      </c>
      <c r="K535" s="5">
        <f>ABS(G535-H535)/ABS(G535)</f>
        <v>0</v>
      </c>
    </row>
    <row r="536" spans="3:11" x14ac:dyDescent="0.2">
      <c r="C536" t="s">
        <v>2095</v>
      </c>
      <c r="D536" t="b">
        <f ca="1">IF(CELL("format",F536)="G",IF(ABS(F536-G536) &lt;= ABS(F536*B$3),TRUE,FALSE),IF(F536=G536,TRUE,FALSE))</f>
        <v>1</v>
      </c>
      <c r="E536" s="5">
        <f>ABS(F536-G536)/ABS(F536)</f>
        <v>0</v>
      </c>
      <c r="F536">
        <v>522.41</v>
      </c>
      <c r="G536">
        <v>522.41</v>
      </c>
      <c r="H536">
        <v>522.41</v>
      </c>
      <c r="J536" s="5">
        <f>ABS(F536-G536)/ABS(F536)</f>
        <v>0</v>
      </c>
      <c r="K536" s="5">
        <f>ABS(G536-H536)/ABS(G536)</f>
        <v>0</v>
      </c>
    </row>
    <row r="537" spans="3:11" x14ac:dyDescent="0.2">
      <c r="C537" t="s">
        <v>2096</v>
      </c>
      <c r="D537" t="b">
        <f ca="1">IF(CELL("format",F537)="G",IF(ABS(F537-G537) &lt;= ABS(F537*B$3),TRUE,FALSE),IF(F537=G537,TRUE,FALSE))</f>
        <v>1</v>
      </c>
      <c r="E537" s="5">
        <f>ABS(F537-G537)/ABS(F537)</f>
        <v>0</v>
      </c>
      <c r="F537">
        <v>53.39</v>
      </c>
      <c r="G537">
        <v>53.39</v>
      </c>
      <c r="H537">
        <v>53.39</v>
      </c>
      <c r="J537" s="5">
        <f>ABS(F537-G537)/ABS(F537)</f>
        <v>0</v>
      </c>
      <c r="K537" s="5">
        <f>ABS(G537-H537)/ABS(G537)</f>
        <v>0</v>
      </c>
    </row>
    <row r="538" spans="3:11" x14ac:dyDescent="0.2">
      <c r="C538" t="s">
        <v>2097</v>
      </c>
      <c r="D538" t="b">
        <f ca="1">IF(CELL("format",F538)="G",IF(ABS(F538-G538) &lt;= ABS(F538*B$3),TRUE,FALSE),IF(F538=G538,TRUE,FALSE))</f>
        <v>1</v>
      </c>
      <c r="E538" s="5">
        <f>ABS(F538-G538)/ABS(F538)</f>
        <v>0</v>
      </c>
      <c r="F538">
        <v>2.99</v>
      </c>
      <c r="G538">
        <v>2.99</v>
      </c>
      <c r="H538">
        <v>2.99</v>
      </c>
      <c r="J538" s="5">
        <f>ABS(F538-G538)/ABS(F538)</f>
        <v>0</v>
      </c>
      <c r="K538" s="5">
        <f>ABS(G538-H538)/ABS(G538)</f>
        <v>0</v>
      </c>
    </row>
    <row r="539" spans="3:11" x14ac:dyDescent="0.2">
      <c r="C539" t="s">
        <v>2098</v>
      </c>
      <c r="D539" t="b">
        <f ca="1">IF(CELL("format",F539)="G",IF(ABS(F539-G539) &lt;= ABS(F539*B$3),TRUE,FALSE),IF(F539=G539,TRUE,FALSE))</f>
        <v>1</v>
      </c>
      <c r="E539" s="5">
        <f>ABS(F539-G539)/ABS(F539)</f>
        <v>0</v>
      </c>
      <c r="F539">
        <v>1.97</v>
      </c>
      <c r="G539">
        <v>1.97</v>
      </c>
      <c r="H539">
        <v>1.97</v>
      </c>
      <c r="J539" s="5">
        <f>ABS(F539-G539)/ABS(F539)</f>
        <v>0</v>
      </c>
      <c r="K539" s="5">
        <f>ABS(G539-H539)/ABS(G539)</f>
        <v>0</v>
      </c>
    </row>
    <row r="540" spans="3:11" x14ac:dyDescent="0.2">
      <c r="C540" t="s">
        <v>2099</v>
      </c>
      <c r="D540" t="b">
        <f ca="1">IF(CELL("format",F540)="G",IF(ABS(F540-G540) &lt;= ABS(F540*B$3),TRUE,FALSE),IF(F540=G540,TRUE,FALSE))</f>
        <v>1</v>
      </c>
      <c r="E540" s="5">
        <f>ABS(F540-G540)/ABS(F540)</f>
        <v>0</v>
      </c>
      <c r="F540">
        <v>1</v>
      </c>
      <c r="G540">
        <v>1</v>
      </c>
      <c r="H540">
        <v>1</v>
      </c>
      <c r="J540" s="5">
        <f>ABS(F540-G540)/ABS(F540)</f>
        <v>0</v>
      </c>
      <c r="K540" s="5">
        <f>ABS(G540-H540)/ABS(G540)</f>
        <v>0</v>
      </c>
    </row>
    <row r="541" spans="3:11" x14ac:dyDescent="0.2">
      <c r="C541" t="s">
        <v>2100</v>
      </c>
      <c r="D541" t="b">
        <f ca="1">IF(CELL("format",F541)="G",IF(ABS(F541-G541) &lt;= ABS(F541*B$3),TRUE,FALSE),IF(F541=G541,TRUE,FALSE))</f>
        <v>0</v>
      </c>
      <c r="E541" s="5">
        <f>ABS(F541-G541)/ABS(F541)</f>
        <v>0.33333333333333331</v>
      </c>
      <c r="F541">
        <v>3</v>
      </c>
      <c r="G541">
        <v>2</v>
      </c>
      <c r="H541">
        <v>2</v>
      </c>
      <c r="J541" s="5">
        <f>ABS(F541-G541)/ABS(F541)</f>
        <v>0.33333333333333331</v>
      </c>
      <c r="K541" s="5">
        <f>ABS(G541-H541)/ABS(G541)</f>
        <v>0</v>
      </c>
    </row>
    <row r="542" spans="3:11" x14ac:dyDescent="0.2">
      <c r="C542" t="s">
        <v>2101</v>
      </c>
      <c r="D542" t="b">
        <f ca="1">IF(CELL("format",F542)="G",IF(ABS(F542-G542) &lt;= ABS(F542*B$3),TRUE,FALSE),IF(F542=G542,TRUE,FALSE))</f>
        <v>1</v>
      </c>
      <c r="E542" s="5">
        <f>ABS(F542-G542)/ABS(F542)</f>
        <v>0</v>
      </c>
      <c r="F542">
        <v>29</v>
      </c>
      <c r="G542">
        <v>29</v>
      </c>
      <c r="H542">
        <v>29</v>
      </c>
      <c r="J542" s="5">
        <f>ABS(F542-G542)/ABS(F542)</f>
        <v>0</v>
      </c>
      <c r="K542" s="5">
        <f>ABS(G542-H542)/ABS(G542)</f>
        <v>0</v>
      </c>
    </row>
    <row r="543" spans="3:11" x14ac:dyDescent="0.2">
      <c r="C543" t="s">
        <v>2102</v>
      </c>
      <c r="D543" t="b">
        <f ca="1">IF(CELL("format",F543)="G",IF(ABS(F543-G543) &lt;= ABS(F543*B$3),TRUE,FALSE),IF(F543=G543,TRUE,FALSE))</f>
        <v>0</v>
      </c>
      <c r="E543" s="5">
        <f>ABS(F543-G543)/ABS(F543)</f>
        <v>0.14285714285714285</v>
      </c>
      <c r="F543">
        <v>7</v>
      </c>
      <c r="G543">
        <v>6</v>
      </c>
      <c r="H543">
        <v>6</v>
      </c>
      <c r="J543" s="5">
        <f>ABS(F543-G543)/ABS(F543)</f>
        <v>0.14285714285714285</v>
      </c>
      <c r="K543" s="5">
        <f>ABS(G543-H543)/ABS(G543)</f>
        <v>0</v>
      </c>
    </row>
    <row r="544" spans="3:11" x14ac:dyDescent="0.2">
      <c r="C544" t="s">
        <v>2103</v>
      </c>
      <c r="D544" t="b">
        <f ca="1">IF(CELL("format",F544)="G",IF(ABS(F544-G544) &lt;= ABS(F544*B$3),TRUE,FALSE),IF(F544=G544,TRUE,FALSE))</f>
        <v>1</v>
      </c>
      <c r="E544" s="5">
        <f>ABS(F544-G544)/ABS(F544)</f>
        <v>0</v>
      </c>
      <c r="F544">
        <v>6.4</v>
      </c>
      <c r="G544">
        <v>6.4</v>
      </c>
      <c r="H544">
        <v>6.4</v>
      </c>
      <c r="J544" s="5">
        <f>ABS(F544-G544)/ABS(F544)</f>
        <v>0</v>
      </c>
      <c r="K544" s="5">
        <f>ABS(G544-H544)/ABS(G544)</f>
        <v>0</v>
      </c>
    </row>
    <row r="545" spans="3:11" x14ac:dyDescent="0.2">
      <c r="C545" t="s">
        <v>2104</v>
      </c>
      <c r="D545" t="b">
        <f ca="1">IF(CELL("format",F545)="G",IF(ABS(F545-G545) &lt;= ABS(F545*B$3),TRUE,FALSE),IF(F545=G545,TRUE,FALSE))</f>
        <v>1</v>
      </c>
      <c r="E545" s="5">
        <f>ABS(F545-G545)/ABS(F545)</f>
        <v>0</v>
      </c>
      <c r="F545">
        <v>2.14</v>
      </c>
      <c r="G545">
        <v>2.14</v>
      </c>
      <c r="H545">
        <v>2.14</v>
      </c>
      <c r="J545" s="5">
        <f>ABS(F545-G545)/ABS(F545)</f>
        <v>0</v>
      </c>
      <c r="K545" s="5">
        <f>ABS(G545-H545)/ABS(G545)</f>
        <v>0</v>
      </c>
    </row>
    <row r="546" spans="3:11" x14ac:dyDescent="0.2">
      <c r="C546" t="s">
        <v>2105</v>
      </c>
      <c r="D546" t="b">
        <f ca="1">IF(CELL("format",F546)="G",IF(ABS(F546-G546) &lt;= ABS(F546*B$3),TRUE,FALSE),IF(F546=G546,TRUE,FALSE))</f>
        <v>1</v>
      </c>
      <c r="E546" s="5">
        <f>ABS(F546-G546)/ABS(F546)</f>
        <v>0</v>
      </c>
      <c r="F546">
        <v>22</v>
      </c>
      <c r="G546">
        <v>22</v>
      </c>
      <c r="H546">
        <v>22</v>
      </c>
      <c r="J546" s="5">
        <f>ABS(F546-G546)/ABS(F546)</f>
        <v>0</v>
      </c>
      <c r="K546" s="5">
        <f>ABS(G546-H546)/ABS(G546)</f>
        <v>0</v>
      </c>
    </row>
    <row r="547" spans="3:11" x14ac:dyDescent="0.2">
      <c r="C547" t="s">
        <v>2106</v>
      </c>
      <c r="D547" t="b">
        <f ca="1">IF(CELL("format",F547)="G",IF(ABS(F547-G547) &lt;= ABS(F547*B$3),TRUE,FALSE),IF(F547=G547,TRUE,FALSE))</f>
        <v>1</v>
      </c>
      <c r="E547" s="5">
        <f>ABS(F547-G547)/ABS(F547)</f>
        <v>0</v>
      </c>
      <c r="F547">
        <v>14</v>
      </c>
      <c r="G547">
        <v>14</v>
      </c>
      <c r="H547">
        <v>14</v>
      </c>
      <c r="J547" s="5">
        <f>ABS(F547-G547)/ABS(F547)</f>
        <v>0</v>
      </c>
      <c r="K547" s="5">
        <f>ABS(G547-H547)/ABS(G547)</f>
        <v>0</v>
      </c>
    </row>
    <row r="548" spans="3:11" x14ac:dyDescent="0.2">
      <c r="C548" t="s">
        <v>2107</v>
      </c>
      <c r="D548" t="b">
        <f ca="1">IF(CELL("format",F548)="G",IF(ABS(F548-G548) &lt;= ABS(F548*B$3),TRUE,FALSE),IF(F548=G548,TRUE,FALSE))</f>
        <v>1</v>
      </c>
      <c r="E548" s="5">
        <f>ABS(F548-G548)/ABS(F548)</f>
        <v>0</v>
      </c>
      <c r="F548">
        <v>22</v>
      </c>
      <c r="G548">
        <v>22</v>
      </c>
      <c r="H548">
        <v>22</v>
      </c>
      <c r="J548" s="5">
        <f>ABS(F548-G548)/ABS(F548)</f>
        <v>0</v>
      </c>
      <c r="K548" s="5">
        <f>ABS(G548-H548)/ABS(G548)</f>
        <v>0</v>
      </c>
    </row>
    <row r="549" spans="3:11" x14ac:dyDescent="0.2">
      <c r="C549" t="s">
        <v>2108</v>
      </c>
      <c r="D549" t="b">
        <f ca="1">IF(CELL("format",F549)="G",IF(ABS(F549-G549) &lt;= ABS(F549*B$3),TRUE,FALSE),IF(F549=G549,TRUE,FALSE))</f>
        <v>0</v>
      </c>
      <c r="E549" s="5">
        <f>ABS(F549-G549)/ABS(F549)</f>
        <v>6.6666666666666666E-2</v>
      </c>
      <c r="F549">
        <v>15</v>
      </c>
      <c r="G549">
        <v>14</v>
      </c>
      <c r="H549">
        <v>14</v>
      </c>
      <c r="J549" s="5">
        <f>ABS(F549-G549)/ABS(F549)</f>
        <v>6.6666666666666666E-2</v>
      </c>
      <c r="K549" s="5">
        <f>ABS(G549-H549)/ABS(G549)</f>
        <v>0</v>
      </c>
    </row>
    <row r="550" spans="3:11" x14ac:dyDescent="0.2">
      <c r="C550" t="s">
        <v>2093</v>
      </c>
      <c r="D550" t="b">
        <f ca="1">IF(CELL("format",F550)="G",IF(ABS(F550-G550) &lt;= ABS(F550*B$3),TRUE,FALSE),IF(F550=G550,TRUE,FALSE))</f>
        <v>1</v>
      </c>
      <c r="E550" s="5">
        <f>ABS(F550-G550)/ABS(F550)</f>
        <v>0</v>
      </c>
      <c r="F550">
        <v>682.47</v>
      </c>
      <c r="G550">
        <v>682.47</v>
      </c>
      <c r="H550">
        <v>682.47</v>
      </c>
      <c r="J550" s="5">
        <f>ABS(F550-G550)/ABS(F550)</f>
        <v>0</v>
      </c>
      <c r="K550" s="5">
        <f>ABS(G550-H550)/ABS(G550)</f>
        <v>0</v>
      </c>
    </row>
    <row r="551" spans="3:11" x14ac:dyDescent="0.2">
      <c r="C551" t="s">
        <v>2094</v>
      </c>
      <c r="D551" t="b">
        <f ca="1">IF(CELL("format",F551)="G",IF(ABS(F551-G551) &lt;= ABS(F551*B$3),TRUE,FALSE),IF(F551=G551,TRUE,FALSE))</f>
        <v>1</v>
      </c>
      <c r="E551" s="5">
        <f>ABS(F551-G551)/ABS(F551)</f>
        <v>0</v>
      </c>
      <c r="F551">
        <v>293.68</v>
      </c>
      <c r="G551">
        <v>293.68</v>
      </c>
      <c r="H551">
        <v>293.68</v>
      </c>
      <c r="J551" s="5">
        <f>ABS(F551-G551)/ABS(F551)</f>
        <v>0</v>
      </c>
      <c r="K551" s="5">
        <f>ABS(G551-H551)/ABS(G551)</f>
        <v>0</v>
      </c>
    </row>
    <row r="552" spans="3:11" x14ac:dyDescent="0.2">
      <c r="C552" t="s">
        <v>2095</v>
      </c>
      <c r="D552" t="b">
        <f ca="1">IF(CELL("format",F552)="G",IF(ABS(F552-G552) &lt;= ABS(F552*B$3),TRUE,FALSE),IF(F552=G552,TRUE,FALSE))</f>
        <v>1</v>
      </c>
      <c r="E552" s="5">
        <f>ABS(F552-G552)/ABS(F552)</f>
        <v>0</v>
      </c>
      <c r="F552">
        <v>388.18</v>
      </c>
      <c r="G552">
        <v>388.18</v>
      </c>
      <c r="H552">
        <v>388.18</v>
      </c>
      <c r="J552" s="5">
        <f>ABS(F552-G552)/ABS(F552)</f>
        <v>0</v>
      </c>
      <c r="K552" s="5">
        <f>ABS(G552-H552)/ABS(G552)</f>
        <v>0</v>
      </c>
    </row>
    <row r="553" spans="3:11" x14ac:dyDescent="0.2">
      <c r="C553" t="s">
        <v>2096</v>
      </c>
      <c r="D553" t="b">
        <f ca="1">IF(CELL("format",F553)="G",IF(ABS(F553-G553) &lt;= ABS(F553*B$3),TRUE,FALSE),IF(F553=G553,TRUE,FALSE))</f>
        <v>1</v>
      </c>
      <c r="E553" s="5">
        <f>ABS(F553-G553)/ABS(F553)</f>
        <v>0</v>
      </c>
      <c r="F553">
        <v>12.47</v>
      </c>
      <c r="G553">
        <v>12.47</v>
      </c>
      <c r="H553">
        <v>12.47</v>
      </c>
      <c r="J553" s="5">
        <f>ABS(F553-G553)/ABS(F553)</f>
        <v>0</v>
      </c>
      <c r="K553" s="5">
        <f>ABS(G553-H553)/ABS(G553)</f>
        <v>0</v>
      </c>
    </row>
    <row r="554" spans="3:11" x14ac:dyDescent="0.2">
      <c r="C554" t="s">
        <v>2097</v>
      </c>
      <c r="D554" t="b">
        <f ca="1">IF(CELL("format",F554)="G",IF(ABS(F554-G554) &lt;= ABS(F554*B$3),TRUE,FALSE),IF(F554=G554,TRUE,FALSE))</f>
        <v>1</v>
      </c>
      <c r="E554" s="5">
        <f>ABS(F554-G554)/ABS(F554)</f>
        <v>0</v>
      </c>
      <c r="F554">
        <v>3.08</v>
      </c>
      <c r="G554">
        <v>3.08</v>
      </c>
      <c r="H554">
        <v>3.08</v>
      </c>
      <c r="J554" s="5">
        <f>ABS(F554-G554)/ABS(F554)</f>
        <v>0</v>
      </c>
      <c r="K554" s="5">
        <f>ABS(G554-H554)/ABS(G554)</f>
        <v>0</v>
      </c>
    </row>
    <row r="555" spans="3:11" x14ac:dyDescent="0.2">
      <c r="C555" t="s">
        <v>2098</v>
      </c>
      <c r="D555" t="b">
        <f ca="1">IF(CELL("format",F555)="G",IF(ABS(F555-G555) &lt;= ABS(F555*B$3),TRUE,FALSE),IF(F555=G555,TRUE,FALSE))</f>
        <v>1</v>
      </c>
      <c r="E555" s="5">
        <f>ABS(F555-G555)/ABS(F555)</f>
        <v>0</v>
      </c>
      <c r="F555">
        <v>2.71</v>
      </c>
      <c r="G555">
        <v>2.71</v>
      </c>
      <c r="H555">
        <v>2.71</v>
      </c>
      <c r="J555" s="5">
        <f>ABS(F555-G555)/ABS(F555)</f>
        <v>0</v>
      </c>
      <c r="K555" s="5">
        <f>ABS(G555-H555)/ABS(G555)</f>
        <v>0</v>
      </c>
    </row>
    <row r="556" spans="3:11" x14ac:dyDescent="0.2">
      <c r="C556" t="s">
        <v>2099</v>
      </c>
      <c r="D556" t="b">
        <f ca="1">IF(CELL("format",F556)="G",IF(ABS(F556-G556) &lt;= ABS(F556*B$3),TRUE,FALSE),IF(F556=G556,TRUE,FALSE))</f>
        <v>1</v>
      </c>
      <c r="E556" s="5">
        <f>ABS(F556-G556)/ABS(F556)</f>
        <v>0</v>
      </c>
      <c r="F556">
        <v>9</v>
      </c>
      <c r="G556">
        <v>9</v>
      </c>
      <c r="H556">
        <v>9</v>
      </c>
      <c r="J556" s="5">
        <f>ABS(F556-G556)/ABS(F556)</f>
        <v>0</v>
      </c>
      <c r="K556" s="5">
        <f>ABS(G556-H556)/ABS(G556)</f>
        <v>0</v>
      </c>
    </row>
    <row r="557" spans="3:11" x14ac:dyDescent="0.2">
      <c r="C557" t="s">
        <v>2100</v>
      </c>
      <c r="D557" t="b">
        <f ca="1">IF(CELL("format",F557)="G",IF(ABS(F557-G557) &lt;= ABS(F557*B$3),TRUE,FALSE),IF(F557=G557,TRUE,FALSE))</f>
        <v>0</v>
      </c>
      <c r="E557" s="5">
        <f>ABS(F557-G557)/ABS(F557)</f>
        <v>0.16666666666666666</v>
      </c>
      <c r="F557">
        <v>6</v>
      </c>
      <c r="G557">
        <v>5</v>
      </c>
      <c r="H557">
        <v>5</v>
      </c>
      <c r="J557" s="5">
        <f>ABS(F557-G557)/ABS(F557)</f>
        <v>0.16666666666666666</v>
      </c>
      <c r="K557" s="5">
        <f>ABS(G557-H557)/ABS(G557)</f>
        <v>0</v>
      </c>
    </row>
    <row r="558" spans="3:11" x14ac:dyDescent="0.2">
      <c r="C558" t="s">
        <v>2101</v>
      </c>
      <c r="D558" t="b">
        <f ca="1">IF(CELL("format",F558)="G",IF(ABS(F558-G558) &lt;= ABS(F558*B$3),TRUE,FALSE),IF(F558=G558,TRUE,FALSE))</f>
        <v>1</v>
      </c>
      <c r="E558" s="5">
        <f>ABS(F558-G558)/ABS(F558)</f>
        <v>0</v>
      </c>
      <c r="F558">
        <v>9</v>
      </c>
      <c r="G558">
        <v>9</v>
      </c>
      <c r="H558">
        <v>9</v>
      </c>
      <c r="J558" s="5">
        <f>ABS(F558-G558)/ABS(F558)</f>
        <v>0</v>
      </c>
      <c r="K558" s="5">
        <f>ABS(G558-H558)/ABS(G558)</f>
        <v>0</v>
      </c>
    </row>
    <row r="559" spans="3:11" x14ac:dyDescent="0.2">
      <c r="C559" t="s">
        <v>2102</v>
      </c>
      <c r="D559" t="b">
        <f ca="1">IF(CELL("format",F559)="G",IF(ABS(F559-G559) &lt;= ABS(F559*B$3),TRUE,FALSE),IF(F559=G559,TRUE,FALSE))</f>
        <v>0</v>
      </c>
      <c r="E559" s="5">
        <f>ABS(F559-G559)/ABS(F559)</f>
        <v>0.16666666666666666</v>
      </c>
      <c r="F559">
        <v>6</v>
      </c>
      <c r="G559">
        <v>5</v>
      </c>
      <c r="H559">
        <v>5</v>
      </c>
      <c r="J559" s="5">
        <f>ABS(F559-G559)/ABS(F559)</f>
        <v>0.16666666666666666</v>
      </c>
      <c r="K559" s="5">
        <f>ABS(G559-H559)/ABS(G559)</f>
        <v>0</v>
      </c>
    </row>
    <row r="560" spans="3:11" x14ac:dyDescent="0.2">
      <c r="C560" t="s">
        <v>2103</v>
      </c>
      <c r="D560" t="b">
        <f ca="1">IF(CELL("format",F560)="G",IF(ABS(F560-G560) &lt;= ABS(F560*B$3),TRUE,FALSE),IF(F560=G560,TRUE,FALSE))</f>
        <v>1</v>
      </c>
      <c r="E560" s="5">
        <f>ABS(F560-G560)/ABS(F560)</f>
        <v>0</v>
      </c>
      <c r="F560">
        <v>5.6</v>
      </c>
      <c r="G560">
        <v>5.6</v>
      </c>
      <c r="H560">
        <v>5.6</v>
      </c>
      <c r="J560" s="5">
        <f>ABS(F560-G560)/ABS(F560)</f>
        <v>0</v>
      </c>
      <c r="K560" s="5">
        <f>ABS(G560-H560)/ABS(G560)</f>
        <v>0</v>
      </c>
    </row>
    <row r="561" spans="3:11" x14ac:dyDescent="0.2">
      <c r="C561" t="s">
        <v>2104</v>
      </c>
      <c r="D561" t="b">
        <f ca="1">IF(CELL("format",F561)="G",IF(ABS(F561-G561) &lt;= ABS(F561*B$3),TRUE,FALSE),IF(F561=G561,TRUE,FALSE))</f>
        <v>1</v>
      </c>
      <c r="E561" s="5">
        <f>ABS(F561-G561)/ABS(F561)</f>
        <v>0</v>
      </c>
      <c r="F561">
        <v>1.04</v>
      </c>
      <c r="G561">
        <v>1.04</v>
      </c>
      <c r="H561">
        <v>1.04</v>
      </c>
      <c r="J561" s="5">
        <f>ABS(F561-G561)/ABS(F561)</f>
        <v>0</v>
      </c>
      <c r="K561" s="5">
        <f>ABS(G561-H561)/ABS(G561)</f>
        <v>0</v>
      </c>
    </row>
    <row r="562" spans="3:11" x14ac:dyDescent="0.2">
      <c r="C562" t="s">
        <v>2105</v>
      </c>
      <c r="D562" t="b">
        <f ca="1">IF(CELL("format",F562)="G",IF(ABS(F562-G562) &lt;= ABS(F562*B$3),TRUE,FALSE),IF(F562=G562,TRUE,FALSE))</f>
        <v>1</v>
      </c>
      <c r="E562" s="5">
        <f>ABS(F562-G562)/ABS(F562)</f>
        <v>0</v>
      </c>
      <c r="F562">
        <v>2</v>
      </c>
      <c r="G562">
        <v>2</v>
      </c>
      <c r="H562">
        <v>2</v>
      </c>
      <c r="J562" s="5">
        <f>ABS(F562-G562)/ABS(F562)</f>
        <v>0</v>
      </c>
      <c r="K562" s="5">
        <f>ABS(G562-H562)/ABS(G562)</f>
        <v>0</v>
      </c>
    </row>
    <row r="563" spans="3:11" x14ac:dyDescent="0.2">
      <c r="C563" t="s">
        <v>2106</v>
      </c>
      <c r="D563" t="b">
        <f ca="1">IF(CELL("format",F563)="G",IF(ABS(F563-G563) &lt;= ABS(F563*B$3),TRUE,FALSE),IF(F563=G563,TRUE,FALSE))</f>
        <v>1</v>
      </c>
      <c r="E563" s="5">
        <f>ABS(F563-G563)/ABS(F563)</f>
        <v>0</v>
      </c>
      <c r="F563">
        <v>14</v>
      </c>
      <c r="G563">
        <v>14</v>
      </c>
      <c r="H563">
        <v>14</v>
      </c>
      <c r="J563" s="5">
        <f>ABS(F563-G563)/ABS(F563)</f>
        <v>0</v>
      </c>
      <c r="K563" s="5">
        <f>ABS(G563-H563)/ABS(G563)</f>
        <v>0</v>
      </c>
    </row>
    <row r="564" spans="3:11" x14ac:dyDescent="0.2">
      <c r="C564" t="s">
        <v>2107</v>
      </c>
      <c r="D564" t="b">
        <f ca="1">IF(CELL("format",F564)="G",IF(ABS(F564-G564) &lt;= ABS(F564*B$3),TRUE,FALSE),IF(F564=G564,TRUE,FALSE))</f>
        <v>1</v>
      </c>
      <c r="E564" s="5">
        <f>ABS(F564-G564)/ABS(F564)</f>
        <v>0</v>
      </c>
      <c r="F564">
        <v>15</v>
      </c>
      <c r="G564">
        <v>15</v>
      </c>
      <c r="H564">
        <v>15</v>
      </c>
      <c r="J564" s="5">
        <f>ABS(F564-G564)/ABS(F564)</f>
        <v>0</v>
      </c>
      <c r="K564" s="5">
        <f>ABS(G564-H564)/ABS(G564)</f>
        <v>0</v>
      </c>
    </row>
    <row r="565" spans="3:11" x14ac:dyDescent="0.2">
      <c r="C565" t="s">
        <v>2108</v>
      </c>
      <c r="D565" t="b">
        <f ca="1">IF(CELL("format",F565)="G",IF(ABS(F565-G565) &lt;= ABS(F565*B$3),TRUE,FALSE),IF(F565=G565,TRUE,FALSE))</f>
        <v>0</v>
      </c>
      <c r="E565" s="5">
        <f>ABS(F565-G565)/ABS(F565)</f>
        <v>6.6666666666666666E-2</v>
      </c>
      <c r="F565">
        <v>15</v>
      </c>
      <c r="G565">
        <v>14</v>
      </c>
      <c r="H565">
        <v>14</v>
      </c>
      <c r="J565" s="5">
        <f>ABS(F565-G565)/ABS(F565)</f>
        <v>6.6666666666666666E-2</v>
      </c>
      <c r="K565" s="5">
        <f>ABS(G565-H565)/ABS(G565)</f>
        <v>0</v>
      </c>
    </row>
    <row r="566" spans="3:11" x14ac:dyDescent="0.2">
      <c r="C566" t="s">
        <v>2093</v>
      </c>
      <c r="D566" t="b">
        <f ca="1">IF(CELL("format",F566)="G",IF(ABS(F566-G566) &lt;= ABS(F566*B$3),TRUE,FALSE),IF(F566=G566,TRUE,FALSE))</f>
        <v>1</v>
      </c>
      <c r="E566" s="5">
        <f>ABS(F566-G566)/ABS(F566)</f>
        <v>0</v>
      </c>
      <c r="F566">
        <v>472.07</v>
      </c>
      <c r="G566">
        <v>472.07</v>
      </c>
      <c r="H566">
        <v>472.07</v>
      </c>
      <c r="J566" s="5">
        <f>ABS(F566-G566)/ABS(F566)</f>
        <v>0</v>
      </c>
      <c r="K566" s="5">
        <f>ABS(G566-H566)/ABS(G566)</f>
        <v>0</v>
      </c>
    </row>
    <row r="567" spans="3:11" x14ac:dyDescent="0.2">
      <c r="C567" t="s">
        <v>2094</v>
      </c>
      <c r="D567" t="b">
        <f ca="1">IF(CELL("format",F567)="G",IF(ABS(F567-G567) &lt;= ABS(F567*B$3),TRUE,FALSE),IF(F567=G567,TRUE,FALSE))</f>
        <v>1</v>
      </c>
      <c r="E567" s="5">
        <f>ABS(F567-G567)/ABS(F567)</f>
        <v>0</v>
      </c>
      <c r="F567">
        <v>125.3</v>
      </c>
      <c r="G567">
        <v>125.3</v>
      </c>
      <c r="H567">
        <v>125.3</v>
      </c>
      <c r="J567" s="5">
        <f>ABS(F567-G567)/ABS(F567)</f>
        <v>0</v>
      </c>
      <c r="K567" s="5">
        <f>ABS(G567-H567)/ABS(G567)</f>
        <v>0</v>
      </c>
    </row>
    <row r="568" spans="3:11" x14ac:dyDescent="0.2">
      <c r="C568" t="s">
        <v>2095</v>
      </c>
      <c r="D568" t="b">
        <f ca="1">IF(CELL("format",F568)="G",IF(ABS(F568-G568) &lt;= ABS(F568*B$3),TRUE,FALSE),IF(F568=G568,TRUE,FALSE))</f>
        <v>1</v>
      </c>
      <c r="E568" s="5">
        <f>ABS(F568-G568)/ABS(F568)</f>
        <v>0</v>
      </c>
      <c r="F568">
        <v>485.09</v>
      </c>
      <c r="G568">
        <v>485.09</v>
      </c>
      <c r="H568">
        <v>485.09</v>
      </c>
      <c r="J568" s="5">
        <f>ABS(F568-G568)/ABS(F568)</f>
        <v>0</v>
      </c>
      <c r="K568" s="5">
        <f>ABS(G568-H568)/ABS(G568)</f>
        <v>0</v>
      </c>
    </row>
    <row r="569" spans="3:11" x14ac:dyDescent="0.2">
      <c r="C569" t="s">
        <v>2096</v>
      </c>
      <c r="D569" t="b">
        <f ca="1">IF(CELL("format",F569)="G",IF(ABS(F569-G569) &lt;= ABS(F569*B$3),TRUE,FALSE),IF(F569=G569,TRUE,FALSE))</f>
        <v>1</v>
      </c>
      <c r="E569" s="5">
        <f>ABS(F569-G569)/ABS(F569)</f>
        <v>0</v>
      </c>
      <c r="F569">
        <v>65.760000000000005</v>
      </c>
      <c r="G569">
        <v>65.760000000000005</v>
      </c>
      <c r="H569">
        <v>65.760000000000005</v>
      </c>
      <c r="J569" s="5">
        <f>ABS(F569-G569)/ABS(F569)</f>
        <v>0</v>
      </c>
      <c r="K569" s="5">
        <f>ABS(G569-H569)/ABS(G569)</f>
        <v>0</v>
      </c>
    </row>
    <row r="570" spans="3:11" x14ac:dyDescent="0.2">
      <c r="C570" t="s">
        <v>2097</v>
      </c>
      <c r="D570" t="b">
        <f ca="1">IF(CELL("format",F570)="G",IF(ABS(F570-G570) &lt;= ABS(F570*B$3),TRUE,FALSE),IF(F570=G570,TRUE,FALSE))</f>
        <v>1</v>
      </c>
      <c r="E570" s="5">
        <f>ABS(F570-G570)/ABS(F570)</f>
        <v>0</v>
      </c>
      <c r="F570">
        <v>2.15</v>
      </c>
      <c r="G570">
        <v>2.15</v>
      </c>
      <c r="H570">
        <v>2.15</v>
      </c>
      <c r="J570" s="5">
        <f>ABS(F570-G570)/ABS(F570)</f>
        <v>0</v>
      </c>
      <c r="K570" s="5">
        <f>ABS(G570-H570)/ABS(G570)</f>
        <v>0</v>
      </c>
    </row>
    <row r="571" spans="3:11" x14ac:dyDescent="0.2">
      <c r="C571" t="s">
        <v>2098</v>
      </c>
      <c r="D571" t="b">
        <f ca="1">IF(CELL("format",F571)="G",IF(ABS(F571-G571) &lt;= ABS(F571*B$3),TRUE,FALSE),IF(F571=G571,TRUE,FALSE))</f>
        <v>1</v>
      </c>
      <c r="E571" s="5">
        <f>ABS(F571-G571)/ABS(F571)</f>
        <v>0</v>
      </c>
      <c r="F571">
        <v>1.78</v>
      </c>
      <c r="G571">
        <v>1.78</v>
      </c>
      <c r="H571">
        <v>1.78</v>
      </c>
      <c r="J571" s="5">
        <f>ABS(F571-G571)/ABS(F571)</f>
        <v>0</v>
      </c>
      <c r="K571" s="5">
        <f>ABS(G571-H571)/ABS(G571)</f>
        <v>0</v>
      </c>
    </row>
    <row r="572" spans="3:11" x14ac:dyDescent="0.2">
      <c r="C572" t="s">
        <v>2099</v>
      </c>
      <c r="D572" t="b">
        <f ca="1">IF(CELL("format",F572)="G",IF(ABS(F572-G572) &lt;= ABS(F572*B$3),TRUE,FALSE),IF(F572=G572,TRUE,FALSE))</f>
        <v>1</v>
      </c>
      <c r="E572" s="5">
        <f>ABS(F572-G572)/ABS(F572)</f>
        <v>0</v>
      </c>
      <c r="F572">
        <v>17</v>
      </c>
      <c r="G572">
        <v>17</v>
      </c>
      <c r="H572">
        <v>17</v>
      </c>
      <c r="J572" s="5">
        <f>ABS(F572-G572)/ABS(F572)</f>
        <v>0</v>
      </c>
      <c r="K572" s="5">
        <f>ABS(G572-H572)/ABS(G572)</f>
        <v>0</v>
      </c>
    </row>
    <row r="573" spans="3:11" x14ac:dyDescent="0.2">
      <c r="C573" t="s">
        <v>2100</v>
      </c>
      <c r="D573" t="b">
        <f ca="1">IF(CELL("format",F573)="G",IF(ABS(F573-G573) &lt;= ABS(F573*B$3),TRUE,FALSE),IF(F573=G573,TRUE,FALSE))</f>
        <v>0</v>
      </c>
      <c r="E573" s="5">
        <f>ABS(F573-G573)/ABS(F573)</f>
        <v>0.16666666666666666</v>
      </c>
      <c r="F573">
        <v>6</v>
      </c>
      <c r="G573">
        <v>5</v>
      </c>
      <c r="H573">
        <v>5</v>
      </c>
      <c r="J573" s="5">
        <f>ABS(F573-G573)/ABS(F573)</f>
        <v>0.16666666666666666</v>
      </c>
      <c r="K573" s="5">
        <f>ABS(G573-H573)/ABS(G573)</f>
        <v>0</v>
      </c>
    </row>
    <row r="574" spans="3:11" x14ac:dyDescent="0.2">
      <c r="C574" t="s">
        <v>2101</v>
      </c>
      <c r="D574" t="b">
        <f ca="1">IF(CELL("format",F574)="G",IF(ABS(F574-G574) &lt;= ABS(F574*B$3),TRUE,FALSE),IF(F574=G574,TRUE,FALSE))</f>
        <v>1</v>
      </c>
      <c r="E574" s="5">
        <f>ABS(F574-G574)/ABS(F574)</f>
        <v>0</v>
      </c>
      <c r="F574">
        <v>17</v>
      </c>
      <c r="G574">
        <v>17</v>
      </c>
      <c r="H574">
        <v>17</v>
      </c>
      <c r="J574" s="5">
        <f>ABS(F574-G574)/ABS(F574)</f>
        <v>0</v>
      </c>
      <c r="K574" s="5">
        <f>ABS(G574-H574)/ABS(G574)</f>
        <v>0</v>
      </c>
    </row>
    <row r="575" spans="3:11" x14ac:dyDescent="0.2">
      <c r="C575" t="s">
        <v>2102</v>
      </c>
      <c r="D575" t="b">
        <f ca="1">IF(CELL("format",F575)="G",IF(ABS(F575-G575) &lt;= ABS(F575*B$3),TRUE,FALSE),IF(F575=G575,TRUE,FALSE))</f>
        <v>0</v>
      </c>
      <c r="E575" s="5">
        <f>ABS(F575-G575)/ABS(F575)</f>
        <v>0.16666666666666666</v>
      </c>
      <c r="F575">
        <v>6</v>
      </c>
      <c r="G575">
        <v>5</v>
      </c>
      <c r="H575">
        <v>5</v>
      </c>
      <c r="J575" s="5">
        <f>ABS(F575-G575)/ABS(F575)</f>
        <v>0.16666666666666666</v>
      </c>
      <c r="K575" s="5">
        <f>ABS(G575-H575)/ABS(G575)</f>
        <v>0</v>
      </c>
    </row>
    <row r="576" spans="3:11" x14ac:dyDescent="0.2">
      <c r="C576" t="s">
        <v>2103</v>
      </c>
      <c r="D576" t="b">
        <f ca="1">IF(CELL("format",F576)="G",IF(ABS(F576-G576) &lt;= ABS(F576*B$3),TRUE,FALSE),IF(F576=G576,TRUE,FALSE))</f>
        <v>1</v>
      </c>
      <c r="E576" s="5">
        <f>ABS(F576-G576)/ABS(F576)</f>
        <v>0</v>
      </c>
      <c r="F576">
        <v>5.09</v>
      </c>
      <c r="G576">
        <v>5.09</v>
      </c>
      <c r="H576">
        <v>5.09</v>
      </c>
      <c r="J576" s="5">
        <f>ABS(F576-G576)/ABS(F576)</f>
        <v>0</v>
      </c>
      <c r="K576" s="5">
        <f>ABS(G576-H576)/ABS(G576)</f>
        <v>0</v>
      </c>
    </row>
    <row r="577" spans="3:11" x14ac:dyDescent="0.2">
      <c r="C577" t="s">
        <v>2104</v>
      </c>
      <c r="D577" t="b">
        <f ca="1">IF(CELL("format",F577)="G",IF(ABS(F577-G577) &lt;= ABS(F577*B$3),TRUE,FALSE),IF(F577=G577,TRUE,FALSE))</f>
        <v>1</v>
      </c>
      <c r="E577" s="5">
        <f>ABS(F577-G577)/ABS(F577)</f>
        <v>0</v>
      </c>
      <c r="F577">
        <v>1.58</v>
      </c>
      <c r="G577">
        <v>1.58</v>
      </c>
      <c r="H577">
        <v>1.58</v>
      </c>
      <c r="J577" s="5">
        <f>ABS(F577-G577)/ABS(F577)</f>
        <v>0</v>
      </c>
      <c r="K577" s="5">
        <f>ABS(G577-H577)/ABS(G577)</f>
        <v>0</v>
      </c>
    </row>
    <row r="578" spans="3:11" x14ac:dyDescent="0.2">
      <c r="C578" t="s">
        <v>2105</v>
      </c>
      <c r="D578" t="b">
        <f ca="1">IF(CELL("format",F578)="G",IF(ABS(F578-G578) &lt;= ABS(F578*B$3),TRUE,FALSE),IF(F578=G578,TRUE,FALSE))</f>
        <v>1</v>
      </c>
      <c r="E578" s="5">
        <f>ABS(F578-G578)/ABS(F578)</f>
        <v>0</v>
      </c>
      <c r="F578">
        <v>24</v>
      </c>
      <c r="G578">
        <v>24</v>
      </c>
      <c r="H578">
        <v>24</v>
      </c>
      <c r="J578" s="5">
        <f>ABS(F578-G578)/ABS(F578)</f>
        <v>0</v>
      </c>
      <c r="K578" s="5">
        <f>ABS(G578-H578)/ABS(G578)</f>
        <v>0</v>
      </c>
    </row>
    <row r="579" spans="3:11" x14ac:dyDescent="0.2">
      <c r="C579" t="s">
        <v>2106</v>
      </c>
      <c r="D579" t="b">
        <f ca="1">IF(CELL("format",F579)="G",IF(ABS(F579-G579) &lt;= ABS(F579*B$3),TRUE,FALSE),IF(F579=G579,TRUE,FALSE))</f>
        <v>0</v>
      </c>
      <c r="E579" s="5">
        <f>ABS(F579-G579)/ABS(F579)</f>
        <v>7.6923076923076927E-2</v>
      </c>
      <c r="F579">
        <v>13</v>
      </c>
      <c r="G579">
        <v>12</v>
      </c>
      <c r="H579">
        <v>12</v>
      </c>
      <c r="J579" s="5">
        <f>ABS(F579-G579)/ABS(F579)</f>
        <v>7.6923076923076927E-2</v>
      </c>
      <c r="K579" s="5">
        <f>ABS(G579-H579)/ABS(G579)</f>
        <v>0</v>
      </c>
    </row>
    <row r="580" spans="3:11" x14ac:dyDescent="0.2">
      <c r="C580" t="s">
        <v>2107</v>
      </c>
      <c r="D580" t="b">
        <f ca="1">IF(CELL("format",F580)="G",IF(ABS(F580-G580) &lt;= ABS(F580*B$3),TRUE,FALSE),IF(F580=G580,TRUE,FALSE))</f>
        <v>1</v>
      </c>
      <c r="E580" s="5">
        <f>ABS(F580-G580)/ABS(F580)</f>
        <v>0</v>
      </c>
      <c r="F580">
        <v>11</v>
      </c>
      <c r="G580">
        <v>11</v>
      </c>
      <c r="H580">
        <v>11</v>
      </c>
      <c r="J580" s="5">
        <f>ABS(F580-G580)/ABS(F580)</f>
        <v>0</v>
      </c>
      <c r="K580" s="5">
        <f>ABS(G580-H580)/ABS(G580)</f>
        <v>0</v>
      </c>
    </row>
    <row r="581" spans="3:11" x14ac:dyDescent="0.2">
      <c r="C581" t="s">
        <v>2108</v>
      </c>
      <c r="D581" t="b">
        <f ca="1">IF(CELL("format",F581)="G",IF(ABS(F581-G581) &lt;= ABS(F581*B$3),TRUE,FALSE),IF(F581=G581,TRUE,FALSE))</f>
        <v>1</v>
      </c>
      <c r="E581" s="5">
        <f>ABS(F581-G581)/ABS(F581)</f>
        <v>0</v>
      </c>
      <c r="F581">
        <v>14</v>
      </c>
      <c r="G581">
        <v>14</v>
      </c>
      <c r="H581">
        <v>14</v>
      </c>
      <c r="J581" s="5">
        <f>ABS(F581-G581)/ABS(F581)</f>
        <v>0</v>
      </c>
      <c r="K581" s="5">
        <f>ABS(G581-H581)/ABS(G581)</f>
        <v>0</v>
      </c>
    </row>
    <row r="582" spans="3:11" x14ac:dyDescent="0.2">
      <c r="C582" t="s">
        <v>2093</v>
      </c>
      <c r="D582" t="b">
        <f ca="1">IF(CELL("format",F582)="G",IF(ABS(F582-G582) &lt;= ABS(F582*B$3),TRUE,FALSE),IF(F582=G582,TRUE,FALSE))</f>
        <v>1</v>
      </c>
      <c r="E582" s="5">
        <f>ABS(F582-G582)/ABS(F582)</f>
        <v>0</v>
      </c>
      <c r="F582">
        <v>509.84</v>
      </c>
      <c r="G582">
        <v>509.84</v>
      </c>
      <c r="H582">
        <v>509.84</v>
      </c>
      <c r="J582" s="5">
        <f>ABS(F582-G582)/ABS(F582)</f>
        <v>0</v>
      </c>
      <c r="K582" s="5">
        <f>ABS(G582-H582)/ABS(G582)</f>
        <v>0</v>
      </c>
    </row>
    <row r="583" spans="3:11" x14ac:dyDescent="0.2">
      <c r="C583" t="s">
        <v>2094</v>
      </c>
      <c r="D583" t="b">
        <f ca="1">IF(CELL("format",F583)="G",IF(ABS(F583-G583) &lt;= ABS(F583*B$3),TRUE,FALSE),IF(F583=G583,TRUE,FALSE))</f>
        <v>1</v>
      </c>
      <c r="E583" s="5">
        <f>ABS(F583-G583)/ABS(F583)</f>
        <v>0</v>
      </c>
      <c r="F583">
        <v>268.3</v>
      </c>
      <c r="G583">
        <v>268.3</v>
      </c>
      <c r="H583">
        <v>268.3</v>
      </c>
      <c r="J583" s="5">
        <f>ABS(F583-G583)/ABS(F583)</f>
        <v>0</v>
      </c>
      <c r="K583" s="5">
        <f>ABS(G583-H583)/ABS(G583)</f>
        <v>0</v>
      </c>
    </row>
    <row r="584" spans="3:11" x14ac:dyDescent="0.2">
      <c r="C584" t="s">
        <v>2095</v>
      </c>
      <c r="D584" t="b">
        <f ca="1">IF(CELL("format",F584)="G",IF(ABS(F584-G584) &lt;= ABS(F584*B$3),TRUE,FALSE),IF(F584=G584,TRUE,FALSE))</f>
        <v>1</v>
      </c>
      <c r="E584" s="5">
        <f>ABS(F584-G584)/ABS(F584)</f>
        <v>0</v>
      </c>
      <c r="F584">
        <v>240.82</v>
      </c>
      <c r="G584">
        <v>240.82</v>
      </c>
      <c r="H584">
        <v>240.82</v>
      </c>
      <c r="J584" s="5">
        <f>ABS(F584-G584)/ABS(F584)</f>
        <v>0</v>
      </c>
      <c r="K584" s="5">
        <f>ABS(G584-H584)/ABS(G584)</f>
        <v>0</v>
      </c>
    </row>
    <row r="585" spans="3:11" x14ac:dyDescent="0.2">
      <c r="C585" t="s">
        <v>2096</v>
      </c>
      <c r="D585" t="b">
        <f ca="1">IF(CELL("format",F585)="G",IF(ABS(F585-G585) &lt;= ABS(F585*B$3),TRUE,FALSE),IF(F585=G585,TRUE,FALSE))</f>
        <v>1</v>
      </c>
      <c r="E585" s="5">
        <f>ABS(F585-G585)/ABS(F585)</f>
        <v>0</v>
      </c>
      <c r="F585">
        <v>18.62</v>
      </c>
      <c r="G585">
        <v>18.62</v>
      </c>
      <c r="H585">
        <v>18.62</v>
      </c>
      <c r="J585" s="5">
        <f>ABS(F585-G585)/ABS(F585)</f>
        <v>0</v>
      </c>
      <c r="K585" s="5">
        <f>ABS(G585-H585)/ABS(G585)</f>
        <v>0</v>
      </c>
    </row>
    <row r="586" spans="3:11" x14ac:dyDescent="0.2">
      <c r="C586" t="s">
        <v>2097</v>
      </c>
      <c r="D586" t="b">
        <f ca="1">IF(CELL("format",F586)="G",IF(ABS(F586-G586) &lt;= ABS(F586*B$3),TRUE,FALSE),IF(F586=G586,TRUE,FALSE))</f>
        <v>1</v>
      </c>
      <c r="E586" s="5">
        <f>ABS(F586-G586)/ABS(F586)</f>
        <v>0</v>
      </c>
      <c r="F586">
        <v>2.35</v>
      </c>
      <c r="G586">
        <v>2.35</v>
      </c>
      <c r="H586">
        <v>2.35</v>
      </c>
      <c r="J586" s="5">
        <f>ABS(F586-G586)/ABS(F586)</f>
        <v>0</v>
      </c>
      <c r="K586" s="5">
        <f>ABS(G586-H586)/ABS(G586)</f>
        <v>0</v>
      </c>
    </row>
    <row r="587" spans="3:11" x14ac:dyDescent="0.2">
      <c r="C587" t="s">
        <v>2098</v>
      </c>
      <c r="D587" t="b">
        <f ca="1">IF(CELL("format",F587)="G",IF(ABS(F587-G587) &lt;= ABS(F587*B$3),TRUE,FALSE),IF(F587=G587,TRUE,FALSE))</f>
        <v>1</v>
      </c>
      <c r="E587" s="5">
        <f>ABS(F587-G587)/ABS(F587)</f>
        <v>0</v>
      </c>
      <c r="F587">
        <v>2.0099999999999998</v>
      </c>
      <c r="G587">
        <v>2.0099999999999998</v>
      </c>
      <c r="H587">
        <v>2.0099999999999998</v>
      </c>
      <c r="J587" s="5">
        <f>ABS(F587-G587)/ABS(F587)</f>
        <v>0</v>
      </c>
      <c r="K587" s="5">
        <f>ABS(G587-H587)/ABS(G587)</f>
        <v>0</v>
      </c>
    </row>
    <row r="588" spans="3:11" x14ac:dyDescent="0.2">
      <c r="C588" t="s">
        <v>2099</v>
      </c>
      <c r="D588" t="b">
        <f ca="1">IF(CELL("format",F588)="G",IF(ABS(F588-G588) &lt;= ABS(F588*B$3),TRUE,FALSE),IF(F588=G588,TRUE,FALSE))</f>
        <v>1</v>
      </c>
      <c r="E588" s="5">
        <f>ABS(F588-G588)/ABS(F588)</f>
        <v>0</v>
      </c>
      <c r="F588">
        <v>11</v>
      </c>
      <c r="G588">
        <v>11</v>
      </c>
      <c r="H588">
        <v>11</v>
      </c>
      <c r="J588" s="5">
        <f>ABS(F588-G588)/ABS(F588)</f>
        <v>0</v>
      </c>
      <c r="K588" s="5">
        <f>ABS(G588-H588)/ABS(G588)</f>
        <v>0</v>
      </c>
    </row>
    <row r="589" spans="3:11" x14ac:dyDescent="0.2">
      <c r="C589" t="s">
        <v>2100</v>
      </c>
      <c r="D589" t="b">
        <f ca="1">IF(CELL("format",F589)="G",IF(ABS(F589-G589) &lt;= ABS(F589*B$3),TRUE,FALSE),IF(F589=G589,TRUE,FALSE))</f>
        <v>0</v>
      </c>
      <c r="E589" s="5">
        <f>ABS(F589-G589)/ABS(F589)</f>
        <v>0.2</v>
      </c>
      <c r="F589">
        <v>5</v>
      </c>
      <c r="G589">
        <v>4</v>
      </c>
      <c r="H589">
        <v>4</v>
      </c>
      <c r="J589" s="5">
        <f>ABS(F589-G589)/ABS(F589)</f>
        <v>0.2</v>
      </c>
      <c r="K589" s="5">
        <f>ABS(G589-H589)/ABS(G589)</f>
        <v>0</v>
      </c>
    </row>
    <row r="590" spans="3:11" x14ac:dyDescent="0.2">
      <c r="C590" t="s">
        <v>2101</v>
      </c>
      <c r="D590" t="b">
        <f ca="1">IF(CELL("format",F590)="G",IF(ABS(F590-G590) &lt;= ABS(F590*B$3),TRUE,FALSE),IF(F590=G590,TRUE,FALSE))</f>
        <v>1</v>
      </c>
      <c r="E590" s="5">
        <f>ABS(F590-G590)/ABS(F590)</f>
        <v>0</v>
      </c>
      <c r="F590">
        <v>3</v>
      </c>
      <c r="G590">
        <v>3</v>
      </c>
      <c r="H590">
        <v>3</v>
      </c>
      <c r="J590" s="5">
        <f>ABS(F590-G590)/ABS(F590)</f>
        <v>0</v>
      </c>
      <c r="K590" s="5">
        <f>ABS(G590-H590)/ABS(G590)</f>
        <v>0</v>
      </c>
    </row>
    <row r="591" spans="3:11" x14ac:dyDescent="0.2">
      <c r="C591" t="s">
        <v>2102</v>
      </c>
      <c r="D591" t="b">
        <f ca="1">IF(CELL("format",F591)="G",IF(ABS(F591-G591) &lt;= ABS(F591*B$3),TRUE,FALSE),IF(F591=G591,TRUE,FALSE))</f>
        <v>0</v>
      </c>
      <c r="E591" s="5">
        <f>ABS(F591-G591)/ABS(F591)</f>
        <v>0.33333333333333331</v>
      </c>
      <c r="F591">
        <v>3</v>
      </c>
      <c r="G591">
        <v>2</v>
      </c>
      <c r="H591">
        <v>2</v>
      </c>
      <c r="J591" s="5">
        <f>ABS(F591-G591)/ABS(F591)</f>
        <v>0.33333333333333331</v>
      </c>
      <c r="K591" s="5">
        <f>ABS(G591-H591)/ABS(G591)</f>
        <v>0</v>
      </c>
    </row>
    <row r="592" spans="3:11" x14ac:dyDescent="0.2">
      <c r="C592" t="s">
        <v>2103</v>
      </c>
      <c r="D592" t="b">
        <f ca="1">IF(CELL("format",F592)="G",IF(ABS(F592-G592) &lt;= ABS(F592*B$3),TRUE,FALSE),IF(F592=G592,TRUE,FALSE))</f>
        <v>1</v>
      </c>
      <c r="E592" s="5">
        <f>ABS(F592-G592)/ABS(F592)</f>
        <v>0</v>
      </c>
      <c r="F592">
        <v>4</v>
      </c>
      <c r="G592">
        <v>4</v>
      </c>
      <c r="H592">
        <v>4</v>
      </c>
      <c r="J592" s="5">
        <f>ABS(F592-G592)/ABS(F592)</f>
        <v>0</v>
      </c>
      <c r="K592" s="5">
        <f>ABS(G592-H592)/ABS(G592)</f>
        <v>0</v>
      </c>
    </row>
    <row r="593" spans="3:11" x14ac:dyDescent="0.2">
      <c r="C593" t="s">
        <v>2104</v>
      </c>
      <c r="D593" t="b">
        <f ca="1">IF(CELL("format",F593)="G",IF(ABS(F593-G593) &lt;= ABS(F593*B$3),TRUE,FALSE),IF(F593=G593,TRUE,FALSE))</f>
        <v>1</v>
      </c>
      <c r="E593" s="5">
        <f>ABS(F593-G593)/ABS(F593)</f>
        <v>0</v>
      </c>
      <c r="F593">
        <v>0.97</v>
      </c>
      <c r="G593">
        <v>0.97</v>
      </c>
      <c r="H593">
        <v>0.97</v>
      </c>
      <c r="J593" s="5">
        <f>ABS(F593-G593)/ABS(F593)</f>
        <v>0</v>
      </c>
      <c r="K593" s="5">
        <f>ABS(G593-H593)/ABS(G593)</f>
        <v>0</v>
      </c>
    </row>
    <row r="594" spans="3:11" x14ac:dyDescent="0.2">
      <c r="C594" t="s">
        <v>2105</v>
      </c>
      <c r="D594" t="b">
        <f ca="1">IF(CELL("format",F594)="G",IF(ABS(F594-G594) &lt;= ABS(F594*B$3),TRUE,FALSE),IF(F594=G594,TRUE,FALSE))</f>
        <v>1</v>
      </c>
      <c r="E594" s="5">
        <f>ABS(F594-G594)/ABS(F594)</f>
        <v>0</v>
      </c>
      <c r="F594">
        <v>12</v>
      </c>
      <c r="G594">
        <v>12</v>
      </c>
      <c r="H594">
        <v>12</v>
      </c>
      <c r="J594" s="5">
        <f>ABS(F594-G594)/ABS(F594)</f>
        <v>0</v>
      </c>
      <c r="K594" s="5">
        <f>ABS(G594-H594)/ABS(G594)</f>
        <v>0</v>
      </c>
    </row>
    <row r="595" spans="3:11" x14ac:dyDescent="0.2">
      <c r="C595" t="s">
        <v>2106</v>
      </c>
      <c r="D595" t="b">
        <f ca="1">IF(CELL("format",F595)="G",IF(ABS(F595-G595) &lt;= ABS(F595*B$3),TRUE,FALSE),IF(F595=G595,TRUE,FALSE))</f>
        <v>1</v>
      </c>
      <c r="E595" s="5">
        <f>ABS(F595-G595)/ABS(F595)</f>
        <v>0</v>
      </c>
      <c r="F595">
        <v>14</v>
      </c>
      <c r="G595">
        <v>14</v>
      </c>
      <c r="H595">
        <v>14</v>
      </c>
      <c r="J595" s="5">
        <f>ABS(F595-G595)/ABS(F595)</f>
        <v>0</v>
      </c>
      <c r="K595" s="5">
        <f>ABS(G595-H595)/ABS(G595)</f>
        <v>0</v>
      </c>
    </row>
    <row r="596" spans="3:11" x14ac:dyDescent="0.2">
      <c r="C596" t="s">
        <v>2107</v>
      </c>
      <c r="D596" t="b">
        <f ca="1">IF(CELL("format",F596)="G",IF(ABS(F596-G596) &lt;= ABS(F596*B$3),TRUE,FALSE),IF(F596=G596,TRUE,FALSE))</f>
        <v>1</v>
      </c>
      <c r="E596" s="5">
        <f>ABS(F596-G596)/ABS(F596)</f>
        <v>0</v>
      </c>
      <c r="F596">
        <v>7</v>
      </c>
      <c r="G596">
        <v>7</v>
      </c>
      <c r="H596">
        <v>7</v>
      </c>
      <c r="J596" s="5">
        <f>ABS(F596-G596)/ABS(F596)</f>
        <v>0</v>
      </c>
      <c r="K596" s="5">
        <f>ABS(G596-H596)/ABS(G596)</f>
        <v>0</v>
      </c>
    </row>
    <row r="597" spans="3:11" x14ac:dyDescent="0.2">
      <c r="C597" t="s">
        <v>2108</v>
      </c>
      <c r="D597" t="b">
        <f ca="1">IF(CELL("format",F597)="G",IF(ABS(F597-G597) &lt;= ABS(F597*B$3),TRUE,FALSE),IF(F597=G597,TRUE,FALSE))</f>
        <v>1</v>
      </c>
      <c r="E597" s="5">
        <f>ABS(F597-G597)/ABS(F597)</f>
        <v>0</v>
      </c>
      <c r="F597">
        <v>15</v>
      </c>
      <c r="G597">
        <v>15</v>
      </c>
      <c r="H597">
        <v>15</v>
      </c>
      <c r="J597" s="5">
        <f>ABS(F597-G597)/ABS(F597)</f>
        <v>0</v>
      </c>
      <c r="K597" s="5">
        <f>ABS(G597-H597)/ABS(G597)</f>
        <v>0</v>
      </c>
    </row>
    <row r="598" spans="3:11" x14ac:dyDescent="0.2">
      <c r="C598" t="s">
        <v>2093</v>
      </c>
      <c r="D598" t="b">
        <f ca="1">IF(CELL("format",F598)="G",IF(ABS(F598-G598) &lt;= ABS(F598*B$3),TRUE,FALSE),IF(F598=G598,TRUE,FALSE))</f>
        <v>1</v>
      </c>
      <c r="E598" s="5">
        <f>ABS(F598-G598)/ABS(F598)</f>
        <v>0</v>
      </c>
      <c r="F598">
        <v>136.74</v>
      </c>
      <c r="G598">
        <v>136.74</v>
      </c>
      <c r="H598">
        <v>136.74</v>
      </c>
      <c r="J598" s="5">
        <f>ABS(F598-G598)/ABS(F598)</f>
        <v>0</v>
      </c>
      <c r="K598" s="5">
        <f>ABS(G598-H598)/ABS(G598)</f>
        <v>0</v>
      </c>
    </row>
    <row r="599" spans="3:11" x14ac:dyDescent="0.2">
      <c r="C599" t="s">
        <v>2094</v>
      </c>
      <c r="D599" t="b">
        <f ca="1">IF(CELL("format",F599)="G",IF(ABS(F599-G599) &lt;= ABS(F599*B$3),TRUE,FALSE),IF(F599=G599,TRUE,FALSE))</f>
        <v>1</v>
      </c>
      <c r="E599" s="5">
        <f>ABS(F599-G599)/ABS(F599)</f>
        <v>0</v>
      </c>
      <c r="F599">
        <v>33.28</v>
      </c>
      <c r="G599">
        <v>33.28</v>
      </c>
      <c r="H599">
        <v>33.28</v>
      </c>
      <c r="J599" s="5">
        <f>ABS(F599-G599)/ABS(F599)</f>
        <v>0</v>
      </c>
      <c r="K599" s="5">
        <f>ABS(G599-H599)/ABS(G599)</f>
        <v>0</v>
      </c>
    </row>
    <row r="600" spans="3:11" x14ac:dyDescent="0.2">
      <c r="C600" t="s">
        <v>2095</v>
      </c>
      <c r="D600" t="b">
        <f ca="1">IF(CELL("format",F600)="G",IF(ABS(F600-G600) &lt;= ABS(F600*B$3),TRUE,FALSE),IF(F600=G600,TRUE,FALSE))</f>
        <v>1</v>
      </c>
      <c r="E600" s="5">
        <f>ABS(F600-G600)/ABS(F600)</f>
        <v>0</v>
      </c>
      <c r="F600">
        <v>340.53</v>
      </c>
      <c r="G600">
        <v>340.53</v>
      </c>
      <c r="H600">
        <v>340.53</v>
      </c>
      <c r="J600" s="5">
        <f>ABS(F600-G600)/ABS(F600)</f>
        <v>0</v>
      </c>
      <c r="K600" s="5">
        <f>ABS(G600-H600)/ABS(G600)</f>
        <v>0</v>
      </c>
    </row>
    <row r="601" spans="3:11" x14ac:dyDescent="0.2">
      <c r="C601" t="s">
        <v>2096</v>
      </c>
      <c r="D601" t="b">
        <f ca="1">IF(CELL("format",F601)="G",IF(ABS(F601-G601) &lt;= ABS(F601*B$3),TRUE,FALSE),IF(F601=G601,TRUE,FALSE))</f>
        <v>1</v>
      </c>
      <c r="E601" s="5">
        <f>ABS(F601-G601)/ABS(F601)</f>
        <v>0</v>
      </c>
      <c r="F601">
        <v>114.91</v>
      </c>
      <c r="G601">
        <v>114.91</v>
      </c>
      <c r="H601">
        <v>114.91</v>
      </c>
      <c r="J601" s="5">
        <f>ABS(F601-G601)/ABS(F601)</f>
        <v>0</v>
      </c>
      <c r="K601" s="5">
        <f>ABS(G601-H601)/ABS(G601)</f>
        <v>0</v>
      </c>
    </row>
    <row r="602" spans="3:11" x14ac:dyDescent="0.2">
      <c r="C602" t="s">
        <v>2097</v>
      </c>
      <c r="D602" t="b">
        <f ca="1">IF(CELL("format",F602)="G",IF(ABS(F602-G602) &lt;= ABS(F602*B$3),TRUE,FALSE),IF(F602=G602,TRUE,FALSE))</f>
        <v>1</v>
      </c>
      <c r="E602" s="5">
        <f>ABS(F602-G602)/ABS(F602)</f>
        <v>0</v>
      </c>
      <c r="F602">
        <v>1.63</v>
      </c>
      <c r="G602">
        <v>1.63</v>
      </c>
      <c r="H602">
        <v>1.63</v>
      </c>
      <c r="J602" s="5">
        <f>ABS(F602-G602)/ABS(F602)</f>
        <v>0</v>
      </c>
      <c r="K602" s="5">
        <f>ABS(G602-H602)/ABS(G602)</f>
        <v>0</v>
      </c>
    </row>
    <row r="603" spans="3:11" x14ac:dyDescent="0.2">
      <c r="C603" t="s">
        <v>2098</v>
      </c>
      <c r="D603" t="b">
        <f ca="1">IF(CELL("format",F603)="G",IF(ABS(F603-G603) &lt;= ABS(F603*B$3),TRUE,FALSE),IF(F603=G603,TRUE,FALSE))</f>
        <v>1</v>
      </c>
      <c r="E603" s="5">
        <f>ABS(F603-G603)/ABS(F603)</f>
        <v>0</v>
      </c>
      <c r="F603">
        <v>1.27</v>
      </c>
      <c r="G603">
        <v>1.27</v>
      </c>
      <c r="H603">
        <v>1.27</v>
      </c>
      <c r="J603" s="5">
        <f>ABS(F603-G603)/ABS(F603)</f>
        <v>0</v>
      </c>
      <c r="K603" s="5">
        <f>ABS(G603-H603)/ABS(G603)</f>
        <v>0</v>
      </c>
    </row>
    <row r="604" spans="3:11" x14ac:dyDescent="0.2">
      <c r="C604" t="s">
        <v>2099</v>
      </c>
      <c r="D604" t="b">
        <f ca="1">IF(CELL("format",F604)="G",IF(ABS(F604-G604) &lt;= ABS(F604*B$3),TRUE,FALSE),IF(F604=G604,TRUE,FALSE))</f>
        <v>1</v>
      </c>
      <c r="E604" s="5">
        <f>ABS(F604-G604)/ABS(F604)</f>
        <v>0</v>
      </c>
      <c r="F604">
        <v>1</v>
      </c>
      <c r="G604">
        <v>1</v>
      </c>
      <c r="H604">
        <v>1</v>
      </c>
      <c r="J604" s="5">
        <f>ABS(F604-G604)/ABS(F604)</f>
        <v>0</v>
      </c>
      <c r="K604" s="5">
        <f>ABS(G604-H604)/ABS(G604)</f>
        <v>0</v>
      </c>
    </row>
    <row r="605" spans="3:11" x14ac:dyDescent="0.2">
      <c r="C605" t="s">
        <v>2100</v>
      </c>
      <c r="D605" t="b">
        <f ca="1">IF(CELL("format",F605)="G",IF(ABS(F605-G605) &lt;= ABS(F605*B$3),TRUE,FALSE),IF(F605=G605,TRUE,FALSE))</f>
        <v>1</v>
      </c>
      <c r="E605" s="5">
        <f>ABS(F605-G605)/ABS(F605)</f>
        <v>0</v>
      </c>
      <c r="F605">
        <v>5</v>
      </c>
      <c r="G605">
        <v>5</v>
      </c>
      <c r="H605">
        <v>5</v>
      </c>
      <c r="J605" s="5">
        <f>ABS(F605-G605)/ABS(F605)</f>
        <v>0</v>
      </c>
      <c r="K605" s="5">
        <f>ABS(G605-H605)/ABS(G605)</f>
        <v>0</v>
      </c>
    </row>
    <row r="606" spans="3:11" x14ac:dyDescent="0.2">
      <c r="C606" t="s">
        <v>2101</v>
      </c>
      <c r="D606" t="b">
        <f ca="1">IF(CELL("format",F606)="G",IF(ABS(F606-G606) &lt;= ABS(F606*B$3),TRUE,FALSE),IF(F606=G606,TRUE,FALSE))</f>
        <v>1</v>
      </c>
      <c r="E606" s="5">
        <f>ABS(F606-G606)/ABS(F606)</f>
        <v>0</v>
      </c>
      <c r="F606">
        <v>1</v>
      </c>
      <c r="G606">
        <v>1</v>
      </c>
      <c r="H606">
        <v>1</v>
      </c>
      <c r="J606" s="5">
        <f>ABS(F606-G606)/ABS(F606)</f>
        <v>0</v>
      </c>
      <c r="K606" s="5">
        <f>ABS(G606-H606)/ABS(G606)</f>
        <v>0</v>
      </c>
    </row>
    <row r="607" spans="3:11" x14ac:dyDescent="0.2">
      <c r="C607" t="s">
        <v>2102</v>
      </c>
      <c r="D607" t="b">
        <f ca="1">IF(CELL("format",F607)="G",IF(ABS(F607-G607) &lt;= ABS(F607*B$3),TRUE,FALSE),IF(F607=G607,TRUE,FALSE))</f>
        <v>1</v>
      </c>
      <c r="E607" s="5">
        <f>ABS(F607-G607)/ABS(F607)</f>
        <v>0</v>
      </c>
      <c r="F607">
        <v>5</v>
      </c>
      <c r="G607">
        <v>5</v>
      </c>
      <c r="H607">
        <v>5</v>
      </c>
      <c r="J607" s="5">
        <f>ABS(F607-G607)/ABS(F607)</f>
        <v>0</v>
      </c>
      <c r="K607" s="5">
        <f>ABS(G607-H607)/ABS(G607)</f>
        <v>0</v>
      </c>
    </row>
    <row r="608" spans="3:11" x14ac:dyDescent="0.2">
      <c r="C608" t="s">
        <v>2103</v>
      </c>
      <c r="D608" t="b">
        <f ca="1">IF(CELL("format",F608)="G",IF(ABS(F608-G608) &lt;= ABS(F608*B$3),TRUE,FALSE),IF(F608=G608,TRUE,FALSE))</f>
        <v>1</v>
      </c>
      <c r="E608" s="5">
        <f>ABS(F608-G608)/ABS(F608)</f>
        <v>0</v>
      </c>
      <c r="F608">
        <v>3.14</v>
      </c>
      <c r="G608">
        <v>3.14</v>
      </c>
      <c r="H608">
        <v>3.14</v>
      </c>
      <c r="J608" s="5">
        <f>ABS(F608-G608)/ABS(F608)</f>
        <v>0</v>
      </c>
      <c r="K608" s="5">
        <f>ABS(G608-H608)/ABS(G608)</f>
        <v>0</v>
      </c>
    </row>
    <row r="609" spans="3:11" x14ac:dyDescent="0.2">
      <c r="C609" t="s">
        <v>2104</v>
      </c>
      <c r="D609" t="b">
        <f ca="1">IF(CELL("format",F609)="G",IF(ABS(F609-G609) &lt;= ABS(F609*B$3),TRUE,FALSE),IF(F609=G609,TRUE,FALSE))</f>
        <v>1</v>
      </c>
      <c r="E609" s="5">
        <f>ABS(F609-G609)/ABS(F609)</f>
        <v>0</v>
      </c>
      <c r="F609">
        <v>1.55</v>
      </c>
      <c r="G609">
        <v>1.55</v>
      </c>
      <c r="H609">
        <v>1.55</v>
      </c>
      <c r="J609" s="5">
        <f>ABS(F609-G609)/ABS(F609)</f>
        <v>0</v>
      </c>
      <c r="K609" s="5">
        <f>ABS(G609-H609)/ABS(G609)</f>
        <v>0</v>
      </c>
    </row>
    <row r="610" spans="3:11" x14ac:dyDescent="0.2">
      <c r="C610" t="s">
        <v>2105</v>
      </c>
      <c r="D610" t="b">
        <f ca="1">IF(CELL("format",F610)="G",IF(ABS(F610-G610) &lt;= ABS(F610*B$3),TRUE,FALSE),IF(F610=G610,TRUE,FALSE))</f>
        <v>1</v>
      </c>
      <c r="E610" s="5">
        <f>ABS(F610-G610)/ABS(F610)</f>
        <v>0</v>
      </c>
      <c r="F610">
        <v>10</v>
      </c>
      <c r="G610">
        <v>10</v>
      </c>
      <c r="H610">
        <v>10</v>
      </c>
      <c r="J610" s="5">
        <f>ABS(F610-G610)/ABS(F610)</f>
        <v>0</v>
      </c>
      <c r="K610" s="5">
        <f>ABS(G610-H610)/ABS(G610)</f>
        <v>0</v>
      </c>
    </row>
    <row r="611" spans="3:11" x14ac:dyDescent="0.2">
      <c r="C611" t="s">
        <v>2106</v>
      </c>
      <c r="D611" t="b">
        <f ca="1">IF(CELL("format",F611)="G",IF(ABS(F611-G611) &lt;= ABS(F611*B$3),TRUE,FALSE),IF(F611=G611,TRUE,FALSE))</f>
        <v>0</v>
      </c>
      <c r="E611" s="5">
        <f>ABS(F611-G611)/ABS(F611)</f>
        <v>7.6923076923076927E-2</v>
      </c>
      <c r="F611">
        <v>13</v>
      </c>
      <c r="G611">
        <v>12</v>
      </c>
      <c r="H611">
        <v>12</v>
      </c>
      <c r="J611" s="5">
        <f>ABS(F611-G611)/ABS(F611)</f>
        <v>7.6923076923076927E-2</v>
      </c>
      <c r="K611" s="5">
        <f>ABS(G611-H611)/ABS(G611)</f>
        <v>0</v>
      </c>
    </row>
    <row r="612" spans="3:11" x14ac:dyDescent="0.2">
      <c r="C612" t="s">
        <v>2107</v>
      </c>
      <c r="D612" t="b">
        <f ca="1">IF(CELL("format",F612)="G",IF(ABS(F612-G612) &lt;= ABS(F612*B$3),TRUE,FALSE),IF(F612=G612,TRUE,FALSE))</f>
        <v>1</v>
      </c>
      <c r="E612" s="5">
        <f>ABS(F612-G612)/ABS(F612)</f>
        <v>0</v>
      </c>
      <c r="F612">
        <v>11</v>
      </c>
      <c r="G612">
        <v>11</v>
      </c>
      <c r="H612">
        <v>11</v>
      </c>
      <c r="J612" s="5">
        <f>ABS(F612-G612)/ABS(F612)</f>
        <v>0</v>
      </c>
      <c r="K612" s="5">
        <f>ABS(G612-H612)/ABS(G612)</f>
        <v>0</v>
      </c>
    </row>
    <row r="613" spans="3:11" x14ac:dyDescent="0.2">
      <c r="C613" t="s">
        <v>2108</v>
      </c>
      <c r="D613" t="b">
        <f ca="1">IF(CELL("format",F613)="G",IF(ABS(F613-G613) &lt;= ABS(F613*B$3),TRUE,FALSE),IF(F613=G613,TRUE,FALSE))</f>
        <v>1</v>
      </c>
      <c r="E613" s="5">
        <f>ABS(F613-G613)/ABS(F613)</f>
        <v>0</v>
      </c>
      <c r="F613">
        <v>14</v>
      </c>
      <c r="G613">
        <v>14</v>
      </c>
      <c r="H613">
        <v>14</v>
      </c>
      <c r="J613" s="5">
        <f>ABS(F613-G613)/ABS(F613)</f>
        <v>0</v>
      </c>
      <c r="K613" s="5">
        <f>ABS(G613-H613)/ABS(G613)</f>
        <v>0</v>
      </c>
    </row>
    <row r="614" spans="3:11" x14ac:dyDescent="0.2">
      <c r="C614" t="s">
        <v>2093</v>
      </c>
      <c r="D614" t="b">
        <f ca="1">IF(CELL("format",F614)="G",IF(ABS(F614-G614) &lt;= ABS(F614*B$3),TRUE,FALSE),IF(F614=G614,TRUE,FALSE))</f>
        <v>1</v>
      </c>
      <c r="E614" s="5">
        <f>ABS(F614-G614)/ABS(F614)</f>
        <v>0</v>
      </c>
      <c r="F614">
        <v>10.08</v>
      </c>
      <c r="G614">
        <v>10.08</v>
      </c>
      <c r="H614">
        <v>10.08</v>
      </c>
      <c r="J614" s="5">
        <f>ABS(F614-G614)/ABS(F614)</f>
        <v>0</v>
      </c>
      <c r="K614" s="5">
        <f>ABS(G614-H614)/ABS(G614)</f>
        <v>0</v>
      </c>
    </row>
    <row r="615" spans="3:11" x14ac:dyDescent="0.2">
      <c r="C615" t="s">
        <v>2094</v>
      </c>
      <c r="D615" t="b">
        <f ca="1">IF(CELL("format",F615)="G",IF(ABS(F615-G615) &lt;= ABS(F615*B$3),TRUE,FALSE),IF(F615=G615,TRUE,FALSE))</f>
        <v>1</v>
      </c>
      <c r="E615" s="5" t="e">
        <f>ABS(F615-G615)/ABS(F615)</f>
        <v>#DIV/0!</v>
      </c>
      <c r="F615">
        <v>0</v>
      </c>
      <c r="G615">
        <v>0</v>
      </c>
      <c r="H615">
        <v>0</v>
      </c>
      <c r="J615" s="5" t="e">
        <f>ABS(F615-G615)/ABS(F615)</f>
        <v>#DIV/0!</v>
      </c>
      <c r="K615" s="5" t="e">
        <f>ABS(G615-H615)/ABS(G615)</f>
        <v>#DIV/0!</v>
      </c>
    </row>
    <row r="616" spans="3:11" x14ac:dyDescent="0.2">
      <c r="C616" t="s">
        <v>2095</v>
      </c>
      <c r="D616" t="b">
        <f ca="1">IF(CELL("format",F616)="G",IF(ABS(F616-G616) &lt;= ABS(F616*B$3),TRUE,FALSE),IF(F616=G616,TRUE,FALSE))</f>
        <v>1</v>
      </c>
      <c r="E616" s="5">
        <f>ABS(F616-G616)/ABS(F616)</f>
        <v>0</v>
      </c>
      <c r="F616">
        <v>541.98</v>
      </c>
      <c r="G616">
        <v>541.98</v>
      </c>
      <c r="H616">
        <v>541.98</v>
      </c>
      <c r="J616" s="5">
        <f>ABS(F616-G616)/ABS(F616)</f>
        <v>0</v>
      </c>
      <c r="K616" s="5">
        <f>ABS(G616-H616)/ABS(G616)</f>
        <v>0</v>
      </c>
    </row>
    <row r="617" spans="3:11" x14ac:dyDescent="0.2">
      <c r="C617" t="s">
        <v>2096</v>
      </c>
      <c r="D617" t="b">
        <f ca="1">IF(CELL("format",F617)="G",IF(ABS(F617-G617) &lt;= ABS(F617*B$3),TRUE,FALSE),IF(F617=G617,TRUE,FALSE))</f>
        <v>1</v>
      </c>
      <c r="E617" s="5">
        <f>ABS(F617-G617)/ABS(F617)</f>
        <v>0</v>
      </c>
      <c r="F617">
        <v>404.25</v>
      </c>
      <c r="G617">
        <v>404.25</v>
      </c>
      <c r="H617">
        <v>404.25</v>
      </c>
      <c r="J617" s="5">
        <f>ABS(F617-G617)/ABS(F617)</f>
        <v>0</v>
      </c>
      <c r="K617" s="5">
        <f>ABS(G617-H617)/ABS(G617)</f>
        <v>0</v>
      </c>
    </row>
    <row r="618" spans="3:11" x14ac:dyDescent="0.2">
      <c r="C618" t="s">
        <v>2097</v>
      </c>
      <c r="D618" t="b">
        <f ca="1">IF(CELL("format",F618)="G",IF(ABS(F618-G618) &lt;= ABS(F618*B$3),TRUE,FALSE),IF(F618=G618,TRUE,FALSE))</f>
        <v>1</v>
      </c>
      <c r="E618" s="5">
        <f>ABS(F618-G618)/ABS(F618)</f>
        <v>0</v>
      </c>
      <c r="F618">
        <v>0.77</v>
      </c>
      <c r="G618">
        <v>0.77</v>
      </c>
      <c r="H618">
        <v>0.77</v>
      </c>
      <c r="J618" s="5">
        <f>ABS(F618-G618)/ABS(F618)</f>
        <v>0</v>
      </c>
      <c r="K618" s="5">
        <f>ABS(G618-H618)/ABS(G618)</f>
        <v>0</v>
      </c>
    </row>
    <row r="619" spans="3:11" x14ac:dyDescent="0.2">
      <c r="C619" t="s">
        <v>2098</v>
      </c>
      <c r="D619" t="b">
        <f ca="1">IF(CELL("format",F619)="G",IF(ABS(F619-G619) &lt;= ABS(F619*B$3),TRUE,FALSE),IF(F619=G619,TRUE,FALSE))</f>
        <v>1</v>
      </c>
      <c r="E619" s="5" t="e">
        <f>ABS(F619-G619)/ABS(F619)</f>
        <v>#DIV/0!</v>
      </c>
      <c r="F619">
        <v>0</v>
      </c>
      <c r="G619">
        <v>0</v>
      </c>
      <c r="H619">
        <v>0</v>
      </c>
      <c r="J619" s="5" t="e">
        <f>ABS(F619-G619)/ABS(F619)</f>
        <v>#DIV/0!</v>
      </c>
      <c r="K619" s="5" t="e">
        <f>ABS(G619-H619)/ABS(G619)</f>
        <v>#DIV/0!</v>
      </c>
    </row>
    <row r="620" spans="3:11" x14ac:dyDescent="0.2">
      <c r="C620" t="s">
        <v>2099</v>
      </c>
      <c r="D620" t="b">
        <f ca="1">IF(CELL("format",F620)="G",IF(ABS(F620-G620) &lt;= ABS(F620*B$3),TRUE,FALSE),IF(F620=G620,TRUE,FALSE))</f>
        <v>1</v>
      </c>
      <c r="E620" s="5">
        <f>ABS(F620-G620)/ABS(F620)</f>
        <v>0</v>
      </c>
      <c r="F620">
        <v>9</v>
      </c>
      <c r="G620">
        <v>9</v>
      </c>
      <c r="H620">
        <v>9</v>
      </c>
      <c r="J620" s="5">
        <f>ABS(F620-G620)/ABS(F620)</f>
        <v>0</v>
      </c>
      <c r="K620" s="5">
        <f>ABS(G620-H620)/ABS(G620)</f>
        <v>0</v>
      </c>
    </row>
    <row r="621" spans="3:11" x14ac:dyDescent="0.2">
      <c r="C621" t="s">
        <v>2100</v>
      </c>
      <c r="D621" t="b">
        <f ca="1">IF(CELL("format",F621)="G",IF(ABS(F621-G621) &lt;= ABS(F621*B$3),TRUE,FALSE),IF(F621=G621,TRUE,FALSE))</f>
        <v>0</v>
      </c>
      <c r="E621" s="5">
        <f>ABS(F621-G621)/ABS(F621)</f>
        <v>0.2</v>
      </c>
      <c r="F621">
        <v>5</v>
      </c>
      <c r="G621">
        <v>4</v>
      </c>
      <c r="H621">
        <v>4</v>
      </c>
      <c r="J621" s="5">
        <f>ABS(F621-G621)/ABS(F621)</f>
        <v>0.2</v>
      </c>
      <c r="K621" s="5">
        <f>ABS(G621-H621)/ABS(G621)</f>
        <v>0</v>
      </c>
    </row>
    <row r="622" spans="3:11" x14ac:dyDescent="0.2">
      <c r="C622" t="s">
        <v>2101</v>
      </c>
      <c r="D622" t="b">
        <f ca="1">IF(CELL("format",F622)="G",IF(ABS(F622-G622) &lt;= ABS(F622*B$3),TRUE,FALSE),IF(F622=G622,TRUE,FALSE))</f>
        <v>1</v>
      </c>
      <c r="E622" s="5">
        <f>ABS(F622-G622)/ABS(F622)</f>
        <v>0</v>
      </c>
      <c r="F622">
        <v>1</v>
      </c>
      <c r="G622">
        <v>1</v>
      </c>
      <c r="H622">
        <v>1</v>
      </c>
      <c r="J622" s="5">
        <f>ABS(F622-G622)/ABS(F622)</f>
        <v>0</v>
      </c>
      <c r="K622" s="5">
        <f>ABS(G622-H622)/ABS(G622)</f>
        <v>0</v>
      </c>
    </row>
    <row r="623" spans="3:11" x14ac:dyDescent="0.2">
      <c r="C623" t="s">
        <v>2102</v>
      </c>
      <c r="D623" t="b">
        <f ca="1">IF(CELL("format",F623)="G",IF(ABS(F623-G623) &lt;= ABS(F623*B$3),TRUE,FALSE),IF(F623=G623,TRUE,FALSE))</f>
        <v>1</v>
      </c>
      <c r="E623" s="5">
        <f>ABS(F623-G623)/ABS(F623)</f>
        <v>0</v>
      </c>
      <c r="F623">
        <v>1</v>
      </c>
      <c r="G623">
        <v>1</v>
      </c>
      <c r="H623">
        <v>1</v>
      </c>
      <c r="J623" s="5">
        <f>ABS(F623-G623)/ABS(F623)</f>
        <v>0</v>
      </c>
      <c r="K623" s="5">
        <f>ABS(G623-H623)/ABS(G623)</f>
        <v>0</v>
      </c>
    </row>
    <row r="624" spans="3:11" x14ac:dyDescent="0.2">
      <c r="C624" t="s">
        <v>2103</v>
      </c>
      <c r="D624" t="b">
        <f ca="1">IF(CELL("format",F624)="G",IF(ABS(F624-G624) &lt;= ABS(F624*B$3),TRUE,FALSE),IF(F624=G624,TRUE,FALSE))</f>
        <v>1</v>
      </c>
      <c r="E624" s="5">
        <f>ABS(F624-G624)/ABS(F624)</f>
        <v>0</v>
      </c>
      <c r="F624">
        <v>3.53</v>
      </c>
      <c r="G624">
        <v>3.53</v>
      </c>
      <c r="H624">
        <v>3.53</v>
      </c>
      <c r="J624" s="5">
        <f>ABS(F624-G624)/ABS(F624)</f>
        <v>0</v>
      </c>
      <c r="K624" s="5">
        <f>ABS(G624-H624)/ABS(G624)</f>
        <v>0</v>
      </c>
    </row>
    <row r="625" spans="3:11" x14ac:dyDescent="0.2">
      <c r="C625" t="s">
        <v>2104</v>
      </c>
      <c r="D625" t="b">
        <f ca="1">IF(CELL("format",F625)="G",IF(ABS(F625-G625) &lt;= ABS(F625*B$3),TRUE,FALSE),IF(F625=G625,TRUE,FALSE))</f>
        <v>1</v>
      </c>
      <c r="E625" s="5">
        <f>ABS(F625-G625)/ABS(F625)</f>
        <v>0</v>
      </c>
      <c r="F625">
        <v>1.98</v>
      </c>
      <c r="G625">
        <v>1.98</v>
      </c>
      <c r="H625">
        <v>1.98</v>
      </c>
      <c r="J625" s="5">
        <f>ABS(F625-G625)/ABS(F625)</f>
        <v>0</v>
      </c>
      <c r="K625" s="5">
        <f>ABS(G625-H625)/ABS(G625)</f>
        <v>0</v>
      </c>
    </row>
    <row r="626" spans="3:11" x14ac:dyDescent="0.2">
      <c r="C626" t="s">
        <v>2105</v>
      </c>
      <c r="D626" t="b">
        <f ca="1">IF(CELL("format",F626)="G",IF(ABS(F626-G626) &lt;= ABS(F626*B$3),TRUE,FALSE),IF(F626=G626,TRUE,FALSE))</f>
        <v>1</v>
      </c>
      <c r="E626" s="5">
        <f>ABS(F626-G626)/ABS(F626)</f>
        <v>0</v>
      </c>
      <c r="F626">
        <v>13</v>
      </c>
      <c r="G626">
        <v>13</v>
      </c>
      <c r="H626">
        <v>13</v>
      </c>
      <c r="J626" s="5">
        <f>ABS(F626-G626)/ABS(F626)</f>
        <v>0</v>
      </c>
      <c r="K626" s="5">
        <f>ABS(G626-H626)/ABS(G626)</f>
        <v>0</v>
      </c>
    </row>
    <row r="627" spans="3:11" x14ac:dyDescent="0.2">
      <c r="C627" t="s">
        <v>2106</v>
      </c>
      <c r="D627" t="b">
        <f ca="1">IF(CELL("format",F627)="G",IF(ABS(F627-G627) &lt;= ABS(F627*B$3),TRUE,FALSE),IF(F627=G627,TRUE,FALSE))</f>
        <v>0</v>
      </c>
      <c r="E627" s="5">
        <f>ABS(F627-G627)/ABS(F627)</f>
        <v>7.6923076923076927E-2</v>
      </c>
      <c r="F627">
        <v>13</v>
      </c>
      <c r="G627">
        <v>12</v>
      </c>
      <c r="H627">
        <v>12</v>
      </c>
      <c r="J627" s="5">
        <f>ABS(F627-G627)/ABS(F627)</f>
        <v>7.6923076923076927E-2</v>
      </c>
      <c r="K627" s="5">
        <f>ABS(G627-H627)/ABS(G627)</f>
        <v>0</v>
      </c>
    </row>
    <row r="628" spans="3:11" x14ac:dyDescent="0.2">
      <c r="C628" t="s">
        <v>2107</v>
      </c>
      <c r="D628" t="b">
        <f ca="1">IF(CELL("format",F628)="G",IF(ABS(F628-G628) &lt;= ABS(F628*B$3),TRUE,FALSE),IF(F628=G628,TRUE,FALSE))</f>
        <v>1</v>
      </c>
      <c r="E628" s="5">
        <f>ABS(F628-G628)/ABS(F628)</f>
        <v>0</v>
      </c>
      <c r="F628">
        <v>14</v>
      </c>
      <c r="G628">
        <v>14</v>
      </c>
      <c r="H628">
        <v>14</v>
      </c>
      <c r="J628" s="5">
        <f>ABS(F628-G628)/ABS(F628)</f>
        <v>0</v>
      </c>
      <c r="K628" s="5">
        <f>ABS(G628-H628)/ABS(G628)</f>
        <v>0</v>
      </c>
    </row>
    <row r="629" spans="3:11" x14ac:dyDescent="0.2">
      <c r="C629" t="s">
        <v>2108</v>
      </c>
      <c r="D629" t="b">
        <f ca="1">IF(CELL("format",F629)="G",IF(ABS(F629-G629) &lt;= ABS(F629*B$3),TRUE,FALSE),IF(F629=G629,TRUE,FALSE))</f>
        <v>1</v>
      </c>
      <c r="E629" s="5">
        <f>ABS(F629-G629)/ABS(F629)</f>
        <v>0</v>
      </c>
      <c r="F629">
        <v>14</v>
      </c>
      <c r="G629">
        <v>14</v>
      </c>
      <c r="H629">
        <v>14</v>
      </c>
      <c r="J629" s="5">
        <f>ABS(F629-G629)/ABS(F629)</f>
        <v>0</v>
      </c>
      <c r="K629" s="5">
        <f>ABS(G629-H629)/ABS(G629)</f>
        <v>0</v>
      </c>
    </row>
    <row r="630" spans="3:11" x14ac:dyDescent="0.2">
      <c r="C630" t="s">
        <v>2093</v>
      </c>
      <c r="D630" t="b">
        <f ca="1">IF(CELL("format",F630)="G",IF(ABS(F630-G630) &lt;= ABS(F630*B$3),TRUE,FALSE),IF(F630=G630,TRUE,FALSE))</f>
        <v>1</v>
      </c>
      <c r="E630" s="5">
        <f>ABS(F630-G630)/ABS(F630)</f>
        <v>0</v>
      </c>
      <c r="F630">
        <v>12.01</v>
      </c>
      <c r="G630">
        <v>12.01</v>
      </c>
      <c r="H630">
        <v>12.01</v>
      </c>
      <c r="J630" s="5">
        <f>ABS(F630-G630)/ABS(F630)</f>
        <v>0</v>
      </c>
      <c r="K630" s="5">
        <f>ABS(G630-H630)/ABS(G630)</f>
        <v>0</v>
      </c>
    </row>
    <row r="631" spans="3:11" x14ac:dyDescent="0.2">
      <c r="C631" t="s">
        <v>2094</v>
      </c>
      <c r="D631" t="b">
        <f ca="1">IF(CELL("format",F631)="G",IF(ABS(F631-G631) &lt;= ABS(F631*B$3),TRUE,FALSE),IF(F631=G631,TRUE,FALSE))</f>
        <v>1</v>
      </c>
      <c r="E631" s="5" t="e">
        <f>ABS(F631-G631)/ABS(F631)</f>
        <v>#DIV/0!</v>
      </c>
      <c r="F631">
        <v>0</v>
      </c>
      <c r="G631">
        <v>0</v>
      </c>
      <c r="H631">
        <v>0</v>
      </c>
      <c r="J631" s="5" t="e">
        <f>ABS(F631-G631)/ABS(F631)</f>
        <v>#DIV/0!</v>
      </c>
      <c r="K631" s="5" t="e">
        <f>ABS(G631-H631)/ABS(G631)</f>
        <v>#DIV/0!</v>
      </c>
    </row>
    <row r="632" spans="3:11" x14ac:dyDescent="0.2">
      <c r="C632" t="s">
        <v>2095</v>
      </c>
      <c r="D632" t="b">
        <f ca="1">IF(CELL("format",F632)="G",IF(ABS(F632-G632) &lt;= ABS(F632*B$3),TRUE,FALSE),IF(F632=G632,TRUE,FALSE))</f>
        <v>1</v>
      </c>
      <c r="E632" s="5">
        <f>ABS(F632-G632)/ABS(F632)</f>
        <v>0</v>
      </c>
      <c r="F632">
        <v>536.94000000000005</v>
      </c>
      <c r="G632">
        <v>536.94000000000005</v>
      </c>
      <c r="H632">
        <v>536.94000000000005</v>
      </c>
      <c r="J632" s="5">
        <f>ABS(F632-G632)/ABS(F632)</f>
        <v>0</v>
      </c>
      <c r="K632" s="5">
        <f>ABS(G632-H632)/ABS(G632)</f>
        <v>0</v>
      </c>
    </row>
    <row r="633" spans="3:11" x14ac:dyDescent="0.2">
      <c r="C633" t="s">
        <v>2096</v>
      </c>
      <c r="D633" t="b">
        <f ca="1">IF(CELL("format",F633)="G",IF(ABS(F633-G633) &lt;= ABS(F633*B$3),TRUE,FALSE),IF(F633=G633,TRUE,FALSE))</f>
        <v>1</v>
      </c>
      <c r="E633" s="5">
        <f>ABS(F633-G633)/ABS(F633)</f>
        <v>0</v>
      </c>
      <c r="F633">
        <v>399.74</v>
      </c>
      <c r="G633">
        <v>399.74</v>
      </c>
      <c r="H633">
        <v>399.74</v>
      </c>
      <c r="J633" s="5">
        <f>ABS(F633-G633)/ABS(F633)</f>
        <v>0</v>
      </c>
      <c r="K633" s="5">
        <f>ABS(G633-H633)/ABS(G633)</f>
        <v>0</v>
      </c>
    </row>
    <row r="634" spans="3:11" x14ac:dyDescent="0.2">
      <c r="C634" t="s">
        <v>2097</v>
      </c>
      <c r="D634" t="b">
        <f ca="1">IF(CELL("format",F634)="G",IF(ABS(F634-G634) &lt;= ABS(F634*B$3),TRUE,FALSE),IF(F634=G634,TRUE,FALSE))</f>
        <v>1</v>
      </c>
      <c r="E634" s="5">
        <f>ABS(F634-G634)/ABS(F634)</f>
        <v>0</v>
      </c>
      <c r="F634">
        <v>0.54</v>
      </c>
      <c r="G634">
        <v>0.54</v>
      </c>
      <c r="H634">
        <v>0.54</v>
      </c>
      <c r="J634" s="5">
        <f>ABS(F634-G634)/ABS(F634)</f>
        <v>0</v>
      </c>
      <c r="K634" s="5">
        <f>ABS(G634-H634)/ABS(G634)</f>
        <v>0</v>
      </c>
    </row>
    <row r="635" spans="3:11" x14ac:dyDescent="0.2">
      <c r="C635" t="s">
        <v>2098</v>
      </c>
      <c r="D635" t="b">
        <f ca="1">IF(CELL("format",F635)="G",IF(ABS(F635-G635) &lt;= ABS(F635*B$3),TRUE,FALSE),IF(F635=G635,TRUE,FALSE))</f>
        <v>1</v>
      </c>
      <c r="E635" s="5" t="e">
        <f>ABS(F635-G635)/ABS(F635)</f>
        <v>#DIV/0!</v>
      </c>
      <c r="F635">
        <v>0</v>
      </c>
      <c r="G635">
        <v>0</v>
      </c>
      <c r="H635">
        <v>0</v>
      </c>
      <c r="J635" s="5" t="e">
        <f>ABS(F635-G635)/ABS(F635)</f>
        <v>#DIV/0!</v>
      </c>
      <c r="K635" s="5" t="e">
        <f>ABS(G635-H635)/ABS(G635)</f>
        <v>#DIV/0!</v>
      </c>
    </row>
    <row r="636" spans="3:11" x14ac:dyDescent="0.2">
      <c r="C636" t="s">
        <v>2099</v>
      </c>
      <c r="D636" t="b">
        <f ca="1">IF(CELL("format",F636)="G",IF(ABS(F636-G636) &lt;= ABS(F636*B$3),TRUE,FALSE),IF(F636=G636,TRUE,FALSE))</f>
        <v>1</v>
      </c>
      <c r="E636" s="5">
        <f>ABS(F636-G636)/ABS(F636)</f>
        <v>0</v>
      </c>
      <c r="F636">
        <v>26</v>
      </c>
      <c r="G636">
        <v>26</v>
      </c>
      <c r="H636">
        <v>26</v>
      </c>
      <c r="J636" s="5">
        <f>ABS(F636-G636)/ABS(F636)</f>
        <v>0</v>
      </c>
      <c r="K636" s="5">
        <f>ABS(G636-H636)/ABS(G636)</f>
        <v>0</v>
      </c>
    </row>
    <row r="637" spans="3:11" x14ac:dyDescent="0.2">
      <c r="C637" t="s">
        <v>2100</v>
      </c>
      <c r="D637" t="b">
        <f ca="1">IF(CELL("format",F637)="G",IF(ABS(F637-G637) &lt;= ABS(F637*B$3),TRUE,FALSE),IF(F637=G637,TRUE,FALSE))</f>
        <v>0</v>
      </c>
      <c r="E637" s="5">
        <f>ABS(F637-G637)/ABS(F637)</f>
        <v>0.2</v>
      </c>
      <c r="F637">
        <v>5</v>
      </c>
      <c r="G637">
        <v>4</v>
      </c>
      <c r="H637">
        <v>4</v>
      </c>
      <c r="J637" s="5">
        <f>ABS(F637-G637)/ABS(F637)</f>
        <v>0.2</v>
      </c>
      <c r="K637" s="5">
        <f>ABS(G637-H637)/ABS(G637)</f>
        <v>0</v>
      </c>
    </row>
    <row r="638" spans="3:11" x14ac:dyDescent="0.2">
      <c r="C638" t="s">
        <v>2101</v>
      </c>
      <c r="D638" t="b">
        <f ca="1">IF(CELL("format",F638)="G",IF(ABS(F638-G638) &lt;= ABS(F638*B$3),TRUE,FALSE),IF(F638=G638,TRUE,FALSE))</f>
        <v>1</v>
      </c>
      <c r="E638" s="5">
        <f>ABS(F638-G638)/ABS(F638)</f>
        <v>0</v>
      </c>
      <c r="F638">
        <v>1</v>
      </c>
      <c r="G638">
        <v>1</v>
      </c>
      <c r="H638">
        <v>1</v>
      </c>
      <c r="J638" s="5">
        <f>ABS(F638-G638)/ABS(F638)</f>
        <v>0</v>
      </c>
      <c r="K638" s="5">
        <f>ABS(G638-H638)/ABS(G638)</f>
        <v>0</v>
      </c>
    </row>
    <row r="639" spans="3:11" x14ac:dyDescent="0.2">
      <c r="C639" t="s">
        <v>2102</v>
      </c>
      <c r="D639" t="b">
        <f ca="1">IF(CELL("format",F639)="G",IF(ABS(F639-G639) &lt;= ABS(F639*B$3),TRUE,FALSE),IF(F639=G639,TRUE,FALSE))</f>
        <v>1</v>
      </c>
      <c r="E639" s="5">
        <f>ABS(F639-G639)/ABS(F639)</f>
        <v>0</v>
      </c>
      <c r="F639">
        <v>1</v>
      </c>
      <c r="G639">
        <v>1</v>
      </c>
      <c r="H639">
        <v>1</v>
      </c>
      <c r="J639" s="5">
        <f>ABS(F639-G639)/ABS(F639)</f>
        <v>0</v>
      </c>
      <c r="K639" s="5">
        <f>ABS(G639-H639)/ABS(G639)</f>
        <v>0</v>
      </c>
    </row>
    <row r="640" spans="3:11" x14ac:dyDescent="0.2">
      <c r="C640" t="s">
        <v>2103</v>
      </c>
      <c r="D640" t="b">
        <f ca="1">IF(CELL("format",F640)="G",IF(ABS(F640-G640) &lt;= ABS(F640*B$3),TRUE,FALSE),IF(F640=G640,TRUE,FALSE))</f>
        <v>1</v>
      </c>
      <c r="E640" s="5">
        <f>ABS(F640-G640)/ABS(F640)</f>
        <v>0</v>
      </c>
      <c r="F640">
        <v>3.65</v>
      </c>
      <c r="G640">
        <v>3.65</v>
      </c>
      <c r="H640">
        <v>3.65</v>
      </c>
      <c r="J640" s="5">
        <f>ABS(F640-G640)/ABS(F640)</f>
        <v>0</v>
      </c>
      <c r="K640" s="5">
        <f>ABS(G640-H640)/ABS(G640)</f>
        <v>0</v>
      </c>
    </row>
    <row r="641" spans="3:11" x14ac:dyDescent="0.2">
      <c r="C641" t="s">
        <v>2104</v>
      </c>
      <c r="D641" t="b">
        <f ca="1">IF(CELL("format",F641)="G",IF(ABS(F641-G641) &lt;= ABS(F641*B$3),TRUE,FALSE),IF(F641=G641,TRUE,FALSE))</f>
        <v>1</v>
      </c>
      <c r="E641" s="5">
        <f>ABS(F641-G641)/ABS(F641)</f>
        <v>0</v>
      </c>
      <c r="F641">
        <v>2.1</v>
      </c>
      <c r="G641">
        <v>2.1</v>
      </c>
      <c r="H641">
        <v>2.1</v>
      </c>
      <c r="J641" s="5">
        <f>ABS(F641-G641)/ABS(F641)</f>
        <v>0</v>
      </c>
      <c r="K641" s="5">
        <f>ABS(G641-H641)/ABS(G641)</f>
        <v>0</v>
      </c>
    </row>
    <row r="642" spans="3:11" x14ac:dyDescent="0.2">
      <c r="C642" t="s">
        <v>2105</v>
      </c>
      <c r="D642" t="b">
        <f ca="1">IF(CELL("format",F642)="G",IF(ABS(F642-G642) &lt;= ABS(F642*B$3),TRUE,FALSE),IF(F642=G642,TRUE,FALSE))</f>
        <v>1</v>
      </c>
      <c r="E642" s="5">
        <f>ABS(F642-G642)/ABS(F642)</f>
        <v>0</v>
      </c>
      <c r="F642">
        <v>17</v>
      </c>
      <c r="G642">
        <v>17</v>
      </c>
      <c r="H642">
        <v>17</v>
      </c>
      <c r="J642" s="5">
        <f>ABS(F642-G642)/ABS(F642)</f>
        <v>0</v>
      </c>
      <c r="K642" s="5">
        <f>ABS(G642-H642)/ABS(G642)</f>
        <v>0</v>
      </c>
    </row>
    <row r="643" spans="3:11" x14ac:dyDescent="0.2">
      <c r="C643" t="s">
        <v>2106</v>
      </c>
      <c r="D643" t="b">
        <f ca="1">IF(CELL("format",F643)="G",IF(ABS(F643-G643) &lt;= ABS(F643*B$3),TRUE,FALSE),IF(F643=G643,TRUE,FALSE))</f>
        <v>1</v>
      </c>
      <c r="E643" s="5">
        <f>ABS(F643-G643)/ABS(F643)</f>
        <v>0</v>
      </c>
      <c r="F643">
        <v>14</v>
      </c>
      <c r="G643">
        <v>14</v>
      </c>
      <c r="H643">
        <v>14</v>
      </c>
      <c r="J643" s="5">
        <f>ABS(F643-G643)/ABS(F643)</f>
        <v>0</v>
      </c>
      <c r="K643" s="5">
        <f>ABS(G643-H643)/ABS(G643)</f>
        <v>0</v>
      </c>
    </row>
    <row r="644" spans="3:11" x14ac:dyDescent="0.2">
      <c r="C644" t="s">
        <v>2107</v>
      </c>
      <c r="D644" t="b">
        <f ca="1">IF(CELL("format",F644)="G",IF(ABS(F644-G644) &lt;= ABS(F644*B$3),TRUE,FALSE),IF(F644=G644,TRUE,FALSE))</f>
        <v>1</v>
      </c>
      <c r="E644" s="5">
        <f>ABS(F644-G644)/ABS(F644)</f>
        <v>0</v>
      </c>
      <c r="F644">
        <v>17</v>
      </c>
      <c r="G644">
        <v>17</v>
      </c>
      <c r="H644">
        <v>17</v>
      </c>
      <c r="J644" s="5">
        <f>ABS(F644-G644)/ABS(F644)</f>
        <v>0</v>
      </c>
      <c r="K644" s="5">
        <f>ABS(G644-H644)/ABS(G644)</f>
        <v>0</v>
      </c>
    </row>
    <row r="645" spans="3:11" x14ac:dyDescent="0.2">
      <c r="C645" t="s">
        <v>2108</v>
      </c>
      <c r="D645" t="b">
        <f ca="1">IF(CELL("format",F645)="G",IF(ABS(F645-G645) &lt;= ABS(F645*B$3),TRUE,FALSE),IF(F645=G645,TRUE,FALSE))</f>
        <v>0</v>
      </c>
      <c r="E645" s="5">
        <f>ABS(F645-G645)/ABS(F645)</f>
        <v>7.1428571428571425E-2</v>
      </c>
      <c r="F645">
        <v>14</v>
      </c>
      <c r="G645">
        <v>13</v>
      </c>
      <c r="H645">
        <v>13</v>
      </c>
      <c r="J645" s="5">
        <f>ABS(F645-G645)/ABS(F645)</f>
        <v>7.1428571428571425E-2</v>
      </c>
      <c r="K645" s="5">
        <f>ABS(G645-H645)/ABS(G645)</f>
        <v>0</v>
      </c>
    </row>
    <row r="646" spans="3:11" x14ac:dyDescent="0.2">
      <c r="C646" t="s">
        <v>2093</v>
      </c>
      <c r="D646" t="b">
        <f ca="1">IF(CELL("format",F646)="G",IF(ABS(F646-G646) &lt;= ABS(F646*B$3),TRUE,FALSE),IF(F646=G646,TRUE,FALSE))</f>
        <v>1</v>
      </c>
      <c r="E646" s="5">
        <f>ABS(F646-G646)/ABS(F646)</f>
        <v>0</v>
      </c>
      <c r="F646">
        <v>6.58</v>
      </c>
      <c r="G646">
        <v>6.58</v>
      </c>
      <c r="H646">
        <v>6.58</v>
      </c>
      <c r="J646" s="5">
        <f>ABS(F646-G646)/ABS(F646)</f>
        <v>0</v>
      </c>
      <c r="K646" s="5">
        <f>ABS(G646-H646)/ABS(G646)</f>
        <v>0</v>
      </c>
    </row>
    <row r="647" spans="3:11" x14ac:dyDescent="0.2">
      <c r="C647" t="s">
        <v>2094</v>
      </c>
      <c r="D647" t="b">
        <f ca="1">IF(CELL("format",F647)="G",IF(ABS(F647-G647) &lt;= ABS(F647*B$3),TRUE,FALSE),IF(F647=G647,TRUE,FALSE))</f>
        <v>1</v>
      </c>
      <c r="E647" s="5" t="e">
        <f>ABS(F647-G647)/ABS(F647)</f>
        <v>#DIV/0!</v>
      </c>
      <c r="F647">
        <v>0</v>
      </c>
      <c r="G647">
        <v>0</v>
      </c>
      <c r="H647">
        <v>0</v>
      </c>
      <c r="J647" s="5" t="e">
        <f>ABS(F647-G647)/ABS(F647)</f>
        <v>#DIV/0!</v>
      </c>
      <c r="K647" s="5" t="e">
        <f>ABS(G647-H647)/ABS(G647)</f>
        <v>#DIV/0!</v>
      </c>
    </row>
    <row r="648" spans="3:11" x14ac:dyDescent="0.2">
      <c r="C648" t="s">
        <v>2095</v>
      </c>
      <c r="D648" t="b">
        <f ca="1">IF(CELL("format",F648)="G",IF(ABS(F648-G648) &lt;= ABS(F648*B$3),TRUE,FALSE),IF(F648=G648,TRUE,FALSE))</f>
        <v>1</v>
      </c>
      <c r="E648" s="5">
        <f>ABS(F648-G648)/ABS(F648)</f>
        <v>0</v>
      </c>
      <c r="F648">
        <v>650.39</v>
      </c>
      <c r="G648">
        <v>650.39</v>
      </c>
      <c r="H648">
        <v>650.39</v>
      </c>
      <c r="J648" s="5">
        <f>ABS(F648-G648)/ABS(F648)</f>
        <v>0</v>
      </c>
      <c r="K648" s="5">
        <f>ABS(G648-H648)/ABS(G648)</f>
        <v>0</v>
      </c>
    </row>
    <row r="649" spans="3:11" x14ac:dyDescent="0.2">
      <c r="C649" t="s">
        <v>2096</v>
      </c>
      <c r="D649" t="b">
        <f ca="1">IF(CELL("format",F649)="G",IF(ABS(F649-G649) &lt;= ABS(F649*B$3),TRUE,FALSE),IF(F649=G649,TRUE,FALSE))</f>
        <v>1</v>
      </c>
      <c r="E649" s="5">
        <f>ABS(F649-G649)/ABS(F649)</f>
        <v>0</v>
      </c>
      <c r="F649">
        <v>512.92999999999995</v>
      </c>
      <c r="G649">
        <v>512.92999999999995</v>
      </c>
      <c r="H649">
        <v>512.92999999999995</v>
      </c>
      <c r="J649" s="5">
        <f>ABS(F649-G649)/ABS(F649)</f>
        <v>0</v>
      </c>
      <c r="K649" s="5">
        <f>ABS(G649-H649)/ABS(G649)</f>
        <v>0</v>
      </c>
    </row>
    <row r="650" spans="3:11" x14ac:dyDescent="0.2">
      <c r="C650" t="s">
        <v>2097</v>
      </c>
      <c r="D650" t="b">
        <f ca="1">IF(CELL("format",F650)="G",IF(ABS(F650-G650) &lt;= ABS(F650*B$3),TRUE,FALSE),IF(F650=G650,TRUE,FALSE))</f>
        <v>1</v>
      </c>
      <c r="E650" s="5">
        <f>ABS(F650-G650)/ABS(F650)</f>
        <v>0</v>
      </c>
      <c r="F650">
        <v>0.5</v>
      </c>
      <c r="G650">
        <v>0.5</v>
      </c>
      <c r="H650">
        <v>0.5</v>
      </c>
      <c r="J650" s="5">
        <f>ABS(F650-G650)/ABS(F650)</f>
        <v>0</v>
      </c>
      <c r="K650" s="5">
        <f>ABS(G650-H650)/ABS(G650)</f>
        <v>0</v>
      </c>
    </row>
    <row r="651" spans="3:11" x14ac:dyDescent="0.2">
      <c r="C651" t="s">
        <v>2098</v>
      </c>
      <c r="D651" t="b">
        <f ca="1">IF(CELL("format",F651)="G",IF(ABS(F651-G651) &lt;= ABS(F651*B$3),TRUE,FALSE),IF(F651=G651,TRUE,FALSE))</f>
        <v>1</v>
      </c>
      <c r="E651" s="5" t="e">
        <f>ABS(F651-G651)/ABS(F651)</f>
        <v>#DIV/0!</v>
      </c>
      <c r="F651">
        <v>0</v>
      </c>
      <c r="G651">
        <v>0</v>
      </c>
      <c r="H651">
        <v>0</v>
      </c>
      <c r="J651" s="5" t="e">
        <f>ABS(F651-G651)/ABS(F651)</f>
        <v>#DIV/0!</v>
      </c>
      <c r="K651" s="5" t="e">
        <f>ABS(G651-H651)/ABS(G651)</f>
        <v>#DIV/0!</v>
      </c>
    </row>
    <row r="652" spans="3:11" x14ac:dyDescent="0.2">
      <c r="C652" t="s">
        <v>2099</v>
      </c>
      <c r="D652" t="b">
        <f ca="1">IF(CELL("format",F652)="G",IF(ABS(F652-G652) &lt;= ABS(F652*B$3),TRUE,FALSE),IF(F652=G652,TRUE,FALSE))</f>
        <v>1</v>
      </c>
      <c r="E652" s="5">
        <f>ABS(F652-G652)/ABS(F652)</f>
        <v>0</v>
      </c>
      <c r="F652">
        <v>17</v>
      </c>
      <c r="G652">
        <v>17</v>
      </c>
      <c r="H652">
        <v>17</v>
      </c>
      <c r="J652" s="5">
        <f>ABS(F652-G652)/ABS(F652)</f>
        <v>0</v>
      </c>
      <c r="K652" s="5">
        <f>ABS(G652-H652)/ABS(G652)</f>
        <v>0</v>
      </c>
    </row>
    <row r="653" spans="3:11" x14ac:dyDescent="0.2">
      <c r="C653" t="s">
        <v>2100</v>
      </c>
      <c r="D653" t="b">
        <f ca="1">IF(CELL("format",F653)="G",IF(ABS(F653-G653) &lt;= ABS(F653*B$3),TRUE,FALSE),IF(F653=G653,TRUE,FALSE))</f>
        <v>1</v>
      </c>
      <c r="E653" s="5">
        <f>ABS(F653-G653)/ABS(F653)</f>
        <v>0</v>
      </c>
      <c r="F653">
        <v>6</v>
      </c>
      <c r="G653">
        <v>6</v>
      </c>
      <c r="H653">
        <v>6</v>
      </c>
      <c r="J653" s="5">
        <f>ABS(F653-G653)/ABS(F653)</f>
        <v>0</v>
      </c>
      <c r="K653" s="5">
        <f>ABS(G653-H653)/ABS(G653)</f>
        <v>0</v>
      </c>
    </row>
    <row r="654" spans="3:11" x14ac:dyDescent="0.2">
      <c r="C654" t="s">
        <v>2101</v>
      </c>
      <c r="D654" t="b">
        <f ca="1">IF(CELL("format",F654)="G",IF(ABS(F654-G654) &lt;= ABS(F654*B$3),TRUE,FALSE),IF(F654=G654,TRUE,FALSE))</f>
        <v>1</v>
      </c>
      <c r="E654" s="5">
        <f>ABS(F654-G654)/ABS(F654)</f>
        <v>0</v>
      </c>
      <c r="F654">
        <v>1</v>
      </c>
      <c r="G654">
        <v>1</v>
      </c>
      <c r="H654">
        <v>1</v>
      </c>
      <c r="J654" s="5">
        <f>ABS(F654-G654)/ABS(F654)</f>
        <v>0</v>
      </c>
      <c r="K654" s="5">
        <f>ABS(G654-H654)/ABS(G654)</f>
        <v>0</v>
      </c>
    </row>
    <row r="655" spans="3:11" x14ac:dyDescent="0.2">
      <c r="C655" t="s">
        <v>2102</v>
      </c>
      <c r="D655" t="b">
        <f ca="1">IF(CELL("format",F655)="G",IF(ABS(F655-G655) &lt;= ABS(F655*B$3),TRUE,FALSE),IF(F655=G655,TRUE,FALSE))</f>
        <v>1</v>
      </c>
      <c r="E655" s="5">
        <f>ABS(F655-G655)/ABS(F655)</f>
        <v>0</v>
      </c>
      <c r="F655">
        <v>1</v>
      </c>
      <c r="G655">
        <v>1</v>
      </c>
      <c r="H655">
        <v>1</v>
      </c>
      <c r="J655" s="5">
        <f>ABS(F655-G655)/ABS(F655)</f>
        <v>0</v>
      </c>
      <c r="K655" s="5">
        <f>ABS(G655-H655)/ABS(G655)</f>
        <v>0</v>
      </c>
    </row>
    <row r="656" spans="3:11" x14ac:dyDescent="0.2">
      <c r="C656" t="s">
        <v>2103</v>
      </c>
      <c r="D656" t="b">
        <f ca="1">IF(CELL("format",F656)="G",IF(ABS(F656-G656) &lt;= ABS(F656*B$3),TRUE,FALSE),IF(F656=G656,TRUE,FALSE))</f>
        <v>1</v>
      </c>
      <c r="E656" s="5">
        <f>ABS(F656-G656)/ABS(F656)</f>
        <v>0</v>
      </c>
      <c r="F656">
        <v>4.7699999999999996</v>
      </c>
      <c r="G656">
        <v>4.7699999999999996</v>
      </c>
      <c r="H656">
        <v>4.7699999999999996</v>
      </c>
      <c r="J656" s="5">
        <f>ABS(F656-G656)/ABS(F656)</f>
        <v>0</v>
      </c>
      <c r="K656" s="5">
        <f>ABS(G656-H656)/ABS(G656)</f>
        <v>0</v>
      </c>
    </row>
    <row r="657" spans="3:11" x14ac:dyDescent="0.2">
      <c r="C657" t="s">
        <v>2104</v>
      </c>
      <c r="D657" t="b">
        <f ca="1">IF(CELL("format",F657)="G",IF(ABS(F657-G657) &lt;= ABS(F657*B$3),TRUE,FALSE),IF(F657=G657,TRUE,FALSE))</f>
        <v>1</v>
      </c>
      <c r="E657" s="5">
        <f>ABS(F657-G657)/ABS(F657)</f>
        <v>0</v>
      </c>
      <c r="F657">
        <v>2.57</v>
      </c>
      <c r="G657">
        <v>2.57</v>
      </c>
      <c r="H657">
        <v>2.57</v>
      </c>
      <c r="J657" s="5">
        <f>ABS(F657-G657)/ABS(F657)</f>
        <v>0</v>
      </c>
      <c r="K657" s="5">
        <f>ABS(G657-H657)/ABS(G657)</f>
        <v>0</v>
      </c>
    </row>
    <row r="658" spans="3:11" x14ac:dyDescent="0.2">
      <c r="C658" t="s">
        <v>2105</v>
      </c>
      <c r="D658" t="b">
        <f ca="1">IF(CELL("format",F658)="G",IF(ABS(F658-G658) &lt;= ABS(F658*B$3),TRUE,FALSE),IF(F658=G658,TRUE,FALSE))</f>
        <v>1</v>
      </c>
      <c r="E658" s="5">
        <f>ABS(F658-G658)/ABS(F658)</f>
        <v>0</v>
      </c>
      <c r="F658">
        <v>27</v>
      </c>
      <c r="G658">
        <v>27</v>
      </c>
      <c r="H658">
        <v>27</v>
      </c>
      <c r="J658" s="5">
        <f>ABS(F658-G658)/ABS(F658)</f>
        <v>0</v>
      </c>
      <c r="K658" s="5">
        <f>ABS(G658-H658)/ABS(G658)</f>
        <v>0</v>
      </c>
    </row>
    <row r="659" spans="3:11" x14ac:dyDescent="0.2">
      <c r="C659" t="s">
        <v>2106</v>
      </c>
      <c r="D659" t="b">
        <f ca="1">IF(CELL("format",F659)="G",IF(ABS(F659-G659) &lt;= ABS(F659*B$3),TRUE,FALSE),IF(F659=G659,TRUE,FALSE))</f>
        <v>1</v>
      </c>
      <c r="E659" s="5">
        <f>ABS(F659-G659)/ABS(F659)</f>
        <v>0</v>
      </c>
      <c r="F659">
        <v>13</v>
      </c>
      <c r="G659">
        <v>13</v>
      </c>
      <c r="H659">
        <v>13</v>
      </c>
      <c r="J659" s="5">
        <f>ABS(F659-G659)/ABS(F659)</f>
        <v>0</v>
      </c>
      <c r="K659" s="5">
        <f>ABS(G659-H659)/ABS(G659)</f>
        <v>0</v>
      </c>
    </row>
    <row r="660" spans="3:11" x14ac:dyDescent="0.2">
      <c r="C660" t="s">
        <v>2107</v>
      </c>
      <c r="D660" t="b">
        <f ca="1">IF(CELL("format",F660)="G",IF(ABS(F660-G660) &lt;= ABS(F660*B$3),TRUE,FALSE),IF(F660=G660,TRUE,FALSE))</f>
        <v>1</v>
      </c>
      <c r="E660" s="5">
        <f>ABS(F660-G660)/ABS(F660)</f>
        <v>0</v>
      </c>
      <c r="F660">
        <v>29</v>
      </c>
      <c r="G660">
        <v>29</v>
      </c>
      <c r="H660">
        <v>29</v>
      </c>
      <c r="J660" s="5">
        <f>ABS(F660-G660)/ABS(F660)</f>
        <v>0</v>
      </c>
      <c r="K660" s="5">
        <f>ABS(G660-H660)/ABS(G660)</f>
        <v>0</v>
      </c>
    </row>
    <row r="661" spans="3:11" x14ac:dyDescent="0.2">
      <c r="C661" t="s">
        <v>2108</v>
      </c>
      <c r="D661" t="b">
        <f ca="1">IF(CELL("format",F661)="G",IF(ABS(F661-G661) &lt;= ABS(F661*B$3),TRUE,FALSE),IF(F661=G661,TRUE,FALSE))</f>
        <v>1</v>
      </c>
      <c r="E661" s="5">
        <f>ABS(F661-G661)/ABS(F661)</f>
        <v>0</v>
      </c>
      <c r="F661">
        <v>15</v>
      </c>
      <c r="G661">
        <v>15</v>
      </c>
      <c r="H661">
        <v>15</v>
      </c>
      <c r="J661" s="5">
        <f>ABS(F661-G661)/ABS(F661)</f>
        <v>0</v>
      </c>
      <c r="K661" s="5">
        <f>ABS(G661-H661)/ABS(G661)</f>
        <v>0</v>
      </c>
    </row>
    <row r="662" spans="3:11" x14ac:dyDescent="0.2">
      <c r="C662" t="s">
        <v>2093</v>
      </c>
      <c r="D662" t="b">
        <f ca="1">IF(CELL("format",F662)="G",IF(ABS(F662-G662) &lt;= ABS(F662*B$3),TRUE,FALSE),IF(F662=G662,TRUE,FALSE))</f>
        <v>1</v>
      </c>
      <c r="E662" s="5">
        <f>ABS(F662-G662)/ABS(F662)</f>
        <v>0</v>
      </c>
      <c r="F662">
        <v>73.319999999999993</v>
      </c>
      <c r="G662">
        <v>73.319999999999993</v>
      </c>
      <c r="H662">
        <v>73.319999999999993</v>
      </c>
      <c r="J662" s="5">
        <f>ABS(F662-G662)/ABS(F662)</f>
        <v>0</v>
      </c>
      <c r="K662" s="5">
        <f>ABS(G662-H662)/ABS(G662)</f>
        <v>0</v>
      </c>
    </row>
    <row r="663" spans="3:11" x14ac:dyDescent="0.2">
      <c r="C663" t="s">
        <v>2094</v>
      </c>
      <c r="D663" t="b">
        <f ca="1">IF(CELL("format",F663)="G",IF(ABS(F663-G663) &lt;= ABS(F663*B$3),TRUE,FALSE),IF(F663=G663,TRUE,FALSE))</f>
        <v>1</v>
      </c>
      <c r="E663" s="5">
        <f>ABS(F663-G663)/ABS(F663)</f>
        <v>0</v>
      </c>
      <c r="F663">
        <v>0.11</v>
      </c>
      <c r="G663">
        <v>0.11</v>
      </c>
      <c r="H663">
        <v>0.11</v>
      </c>
      <c r="J663" s="5">
        <f>ABS(F663-G663)/ABS(F663)</f>
        <v>0</v>
      </c>
      <c r="K663" s="5">
        <f>ABS(G663-H663)/ABS(G663)</f>
        <v>0</v>
      </c>
    </row>
    <row r="664" spans="3:11" x14ac:dyDescent="0.2">
      <c r="C664" t="s">
        <v>2095</v>
      </c>
      <c r="D664" t="b">
        <f ca="1">IF(CELL("format",F664)="G",IF(ABS(F664-G664) &lt;= ABS(F664*B$3),TRUE,FALSE),IF(F664=G664,TRUE,FALSE))</f>
        <v>1</v>
      </c>
      <c r="E664" s="5">
        <f>ABS(F664-G664)/ABS(F664)</f>
        <v>0</v>
      </c>
      <c r="F664">
        <v>734.3</v>
      </c>
      <c r="G664">
        <v>734.3</v>
      </c>
      <c r="H664">
        <v>734.3</v>
      </c>
      <c r="J664" s="5">
        <f>ABS(F664-G664)/ABS(F664)</f>
        <v>0</v>
      </c>
      <c r="K664" s="5">
        <f>ABS(G664-H664)/ABS(G664)</f>
        <v>0</v>
      </c>
    </row>
    <row r="665" spans="3:11" x14ac:dyDescent="0.2">
      <c r="C665" t="s">
        <v>2096</v>
      </c>
      <c r="D665" t="b">
        <f ca="1">IF(CELL("format",F665)="G",IF(ABS(F665-G665) &lt;= ABS(F665*B$3),TRUE,FALSE),IF(F665=G665,TRUE,FALSE))</f>
        <v>1</v>
      </c>
      <c r="E665" s="5">
        <f>ABS(F665-G665)/ABS(F665)</f>
        <v>0</v>
      </c>
      <c r="F665">
        <v>493.39</v>
      </c>
      <c r="G665">
        <v>493.39</v>
      </c>
      <c r="H665">
        <v>493.39</v>
      </c>
      <c r="J665" s="5">
        <f>ABS(F665-G665)/ABS(F665)</f>
        <v>0</v>
      </c>
      <c r="K665" s="5">
        <f>ABS(G665-H665)/ABS(G665)</f>
        <v>0</v>
      </c>
    </row>
    <row r="666" spans="3:11" x14ac:dyDescent="0.2">
      <c r="C666" t="s">
        <v>2097</v>
      </c>
      <c r="D666" t="b">
        <f ca="1">IF(CELL("format",F666)="G",IF(ABS(F666-G666) &lt;= ABS(F666*B$3),TRUE,FALSE),IF(F666=G666,TRUE,FALSE))</f>
        <v>1</v>
      </c>
      <c r="E666" s="5">
        <f>ABS(F666-G666)/ABS(F666)</f>
        <v>0</v>
      </c>
      <c r="F666">
        <v>1.1599999999999999</v>
      </c>
      <c r="G666">
        <v>1.1599999999999999</v>
      </c>
      <c r="H666">
        <v>1.1599999999999999</v>
      </c>
      <c r="J666" s="5">
        <f>ABS(F666-G666)/ABS(F666)</f>
        <v>0</v>
      </c>
      <c r="K666" s="5">
        <f>ABS(G666-H666)/ABS(G666)</f>
        <v>0</v>
      </c>
    </row>
    <row r="667" spans="3:11" x14ac:dyDescent="0.2">
      <c r="C667" t="s">
        <v>2098</v>
      </c>
      <c r="D667" t="b">
        <f ca="1">IF(CELL("format",F667)="G",IF(ABS(F667-G667) &lt;= ABS(F667*B$3),TRUE,FALSE),IF(F667=G667,TRUE,FALSE))</f>
        <v>1</v>
      </c>
      <c r="E667" s="5">
        <f>ABS(F667-G667)/ABS(F667)</f>
        <v>0</v>
      </c>
      <c r="F667">
        <v>7.0000000000000007E-2</v>
      </c>
      <c r="G667">
        <v>7.0000000000000007E-2</v>
      </c>
      <c r="H667">
        <v>7.0000000000000007E-2</v>
      </c>
      <c r="J667" s="5">
        <f>ABS(F667-G667)/ABS(F667)</f>
        <v>0</v>
      </c>
      <c r="K667" s="5">
        <f>ABS(G667-H667)/ABS(G667)</f>
        <v>0</v>
      </c>
    </row>
    <row r="668" spans="3:11" x14ac:dyDescent="0.2">
      <c r="C668" t="s">
        <v>2099</v>
      </c>
      <c r="D668" t="b">
        <f ca="1">IF(CELL("format",F668)="G",IF(ABS(F668-G668) &lt;= ABS(F668*B$3),TRUE,FALSE),IF(F668=G668,TRUE,FALSE))</f>
        <v>1</v>
      </c>
      <c r="E668" s="5">
        <f>ABS(F668-G668)/ABS(F668)</f>
        <v>0</v>
      </c>
      <c r="F668">
        <v>28</v>
      </c>
      <c r="G668">
        <v>28</v>
      </c>
      <c r="H668">
        <v>28</v>
      </c>
      <c r="J668" s="5">
        <f>ABS(F668-G668)/ABS(F668)</f>
        <v>0</v>
      </c>
      <c r="K668" s="5">
        <f>ABS(G668-H668)/ABS(G668)</f>
        <v>0</v>
      </c>
    </row>
    <row r="669" spans="3:11" x14ac:dyDescent="0.2">
      <c r="C669" t="s">
        <v>2100</v>
      </c>
      <c r="D669" t="b">
        <f ca="1">IF(CELL("format",F669)="G",IF(ABS(F669-G669) &lt;= ABS(F669*B$3),TRUE,FALSE),IF(F669=G669,TRUE,FALSE))</f>
        <v>0</v>
      </c>
      <c r="E669" s="5">
        <f>ABS(F669-G669)/ABS(F669)</f>
        <v>4.1666666666666664E-2</v>
      </c>
      <c r="F669">
        <v>24</v>
      </c>
      <c r="G669">
        <v>23</v>
      </c>
      <c r="H669">
        <v>23</v>
      </c>
      <c r="J669" s="5">
        <f>ABS(F669-G669)/ABS(F669)</f>
        <v>4.1666666666666664E-2</v>
      </c>
      <c r="K669" s="5">
        <f>ABS(G669-H669)/ABS(G669)</f>
        <v>0</v>
      </c>
    </row>
    <row r="670" spans="3:11" x14ac:dyDescent="0.2">
      <c r="C670" t="s">
        <v>2101</v>
      </c>
      <c r="D670" t="b">
        <f ca="1">IF(CELL("format",F670)="G",IF(ABS(F670-G670) &lt;= ABS(F670*B$3),TRUE,FALSE),IF(F670=G670,TRUE,FALSE))</f>
        <v>1</v>
      </c>
      <c r="E670" s="5">
        <f>ABS(F670-G670)/ABS(F670)</f>
        <v>0</v>
      </c>
      <c r="F670">
        <v>29</v>
      </c>
      <c r="G670">
        <v>29</v>
      </c>
      <c r="H670">
        <v>29</v>
      </c>
      <c r="J670" s="5">
        <f>ABS(F670-G670)/ABS(F670)</f>
        <v>0</v>
      </c>
      <c r="K670" s="5">
        <f>ABS(G670-H670)/ABS(G670)</f>
        <v>0</v>
      </c>
    </row>
    <row r="671" spans="3:11" x14ac:dyDescent="0.2">
      <c r="C671" t="s">
        <v>2102</v>
      </c>
      <c r="D671" t="b">
        <f ca="1">IF(CELL("format",F671)="G",IF(ABS(F671-G671) &lt;= ABS(F671*B$3),TRUE,FALSE),IF(F671=G671,TRUE,FALSE))</f>
        <v>1</v>
      </c>
      <c r="E671" s="5">
        <f>ABS(F671-G671)/ABS(F671)</f>
        <v>0</v>
      </c>
      <c r="F671">
        <v>7</v>
      </c>
      <c r="G671">
        <v>7</v>
      </c>
      <c r="H671">
        <v>7</v>
      </c>
      <c r="J671" s="5">
        <f>ABS(F671-G671)/ABS(F671)</f>
        <v>0</v>
      </c>
      <c r="K671" s="5">
        <f>ABS(G671-H671)/ABS(G671)</f>
        <v>0</v>
      </c>
    </row>
    <row r="672" spans="3:11" x14ac:dyDescent="0.2">
      <c r="C672" t="s">
        <v>2103</v>
      </c>
      <c r="D672" t="b">
        <f ca="1">IF(CELL("format",F672)="G",IF(ABS(F672-G672) &lt;= ABS(F672*B$3),TRUE,FALSE),IF(F672=G672,TRUE,FALSE))</f>
        <v>1</v>
      </c>
      <c r="E672" s="5">
        <f>ABS(F672-G672)/ABS(F672)</f>
        <v>0</v>
      </c>
      <c r="F672">
        <v>5.78</v>
      </c>
      <c r="G672">
        <v>5.78</v>
      </c>
      <c r="H672">
        <v>5.78</v>
      </c>
      <c r="J672" s="5">
        <f>ABS(F672-G672)/ABS(F672)</f>
        <v>0</v>
      </c>
      <c r="K672" s="5">
        <f>ABS(G672-H672)/ABS(G672)</f>
        <v>0</v>
      </c>
    </row>
    <row r="673" spans="3:11" x14ac:dyDescent="0.2">
      <c r="C673" t="s">
        <v>2104</v>
      </c>
      <c r="D673" t="b">
        <f ca="1">IF(CELL("format",F673)="G",IF(ABS(F673-G673) &lt;= ABS(F673*B$3),TRUE,FALSE),IF(F673=G673,TRUE,FALSE))</f>
        <v>1</v>
      </c>
      <c r="E673" s="5">
        <f>ABS(F673-G673)/ABS(F673)</f>
        <v>0</v>
      </c>
      <c r="F673">
        <v>3.01</v>
      </c>
      <c r="G673">
        <v>3.01</v>
      </c>
      <c r="H673">
        <v>3.01</v>
      </c>
      <c r="J673" s="5">
        <f>ABS(F673-G673)/ABS(F673)</f>
        <v>0</v>
      </c>
      <c r="K673" s="5">
        <f>ABS(G673-H673)/ABS(G673)</f>
        <v>0</v>
      </c>
    </row>
    <row r="674" spans="3:11" x14ac:dyDescent="0.2">
      <c r="C674" t="s">
        <v>2105</v>
      </c>
      <c r="D674" t="b">
        <f ca="1">IF(CELL("format",F674)="G",IF(ABS(F674-G674) &lt;= ABS(F674*B$3),TRUE,FALSE),IF(F674=G674,TRUE,FALSE))</f>
        <v>1</v>
      </c>
      <c r="E674" s="5">
        <f>ABS(F674-G674)/ABS(F674)</f>
        <v>0</v>
      </c>
      <c r="F674">
        <v>30</v>
      </c>
      <c r="G674">
        <v>30</v>
      </c>
      <c r="H674">
        <v>30</v>
      </c>
      <c r="J674" s="5">
        <f>ABS(F674-G674)/ABS(F674)</f>
        <v>0</v>
      </c>
      <c r="K674" s="5">
        <f>ABS(G674-H674)/ABS(G674)</f>
        <v>0</v>
      </c>
    </row>
    <row r="675" spans="3:11" x14ac:dyDescent="0.2">
      <c r="C675" t="s">
        <v>2106</v>
      </c>
      <c r="D675" t="b">
        <f ca="1">IF(CELL("format",F675)="G",IF(ABS(F675-G675) &lt;= ABS(F675*B$3),TRUE,FALSE),IF(F675=G675,TRUE,FALSE))</f>
        <v>1</v>
      </c>
      <c r="E675" s="5">
        <f>ABS(F675-G675)/ABS(F675)</f>
        <v>0</v>
      </c>
      <c r="F675">
        <v>13</v>
      </c>
      <c r="G675">
        <v>13</v>
      </c>
      <c r="H675">
        <v>13</v>
      </c>
      <c r="J675" s="5">
        <f>ABS(F675-G675)/ABS(F675)</f>
        <v>0</v>
      </c>
      <c r="K675" s="5">
        <f>ABS(G675-H675)/ABS(G675)</f>
        <v>0</v>
      </c>
    </row>
    <row r="676" spans="3:11" x14ac:dyDescent="0.2">
      <c r="C676" t="s">
        <v>2107</v>
      </c>
      <c r="D676" t="b">
        <f ca="1">IF(CELL("format",F676)="G",IF(ABS(F676-G676) &lt;= ABS(F676*B$3),TRUE,FALSE),IF(F676=G676,TRUE,FALSE))</f>
        <v>1</v>
      </c>
      <c r="E676" s="5">
        <f>ABS(F676-G676)/ABS(F676)</f>
        <v>0</v>
      </c>
      <c r="F676">
        <v>11</v>
      </c>
      <c r="G676">
        <v>11</v>
      </c>
      <c r="H676">
        <v>11</v>
      </c>
      <c r="J676" s="5">
        <f>ABS(F676-G676)/ABS(F676)</f>
        <v>0</v>
      </c>
      <c r="K676" s="5">
        <f>ABS(G676-H676)/ABS(G676)</f>
        <v>0</v>
      </c>
    </row>
    <row r="677" spans="3:11" x14ac:dyDescent="0.2">
      <c r="C677" t="s">
        <v>2108</v>
      </c>
      <c r="D677" t="b">
        <f ca="1">IF(CELL("format",F677)="G",IF(ABS(F677-G677) &lt;= ABS(F677*B$3),TRUE,FALSE),IF(F677=G677,TRUE,FALSE))</f>
        <v>1</v>
      </c>
      <c r="E677" s="5">
        <f>ABS(F677-G677)/ABS(F677)</f>
        <v>0</v>
      </c>
      <c r="F677">
        <v>15</v>
      </c>
      <c r="G677">
        <v>15</v>
      </c>
      <c r="H677">
        <v>15</v>
      </c>
      <c r="J677" s="5">
        <f>ABS(F677-G677)/ABS(F677)</f>
        <v>0</v>
      </c>
      <c r="K677" s="5">
        <f>ABS(G677-H677)/ABS(G677)</f>
        <v>0</v>
      </c>
    </row>
    <row r="678" spans="3:11" x14ac:dyDescent="0.2">
      <c r="C678" t="s">
        <v>2093</v>
      </c>
      <c r="D678" t="b">
        <f ca="1">IF(CELL("format",F678)="G",IF(ABS(F678-G678) &lt;= ABS(F678*B$3),TRUE,FALSE),IF(F678=G678,TRUE,FALSE))</f>
        <v>1</v>
      </c>
      <c r="E678" s="5">
        <f>ABS(F678-G678)/ABS(F678)</f>
        <v>0</v>
      </c>
      <c r="F678">
        <v>347.6</v>
      </c>
      <c r="G678">
        <v>347.6</v>
      </c>
      <c r="H678">
        <v>347.6</v>
      </c>
      <c r="J678" s="5">
        <f>ABS(F678-G678)/ABS(F678)</f>
        <v>0</v>
      </c>
      <c r="K678" s="5">
        <f>ABS(G678-H678)/ABS(G678)</f>
        <v>0</v>
      </c>
    </row>
    <row r="679" spans="3:11" x14ac:dyDescent="0.2">
      <c r="C679" t="s">
        <v>2094</v>
      </c>
      <c r="D679" t="b">
        <f ca="1">IF(CELL("format",F679)="G",IF(ABS(F679-G679) &lt;= ABS(F679*B$3),TRUE,FALSE),IF(F679=G679,TRUE,FALSE))</f>
        <v>1</v>
      </c>
      <c r="E679" s="5">
        <f>ABS(F679-G679)/ABS(F679)</f>
        <v>0</v>
      </c>
      <c r="F679">
        <v>80.97</v>
      </c>
      <c r="G679">
        <v>80.97</v>
      </c>
      <c r="H679">
        <v>80.97</v>
      </c>
      <c r="J679" s="5">
        <f>ABS(F679-G679)/ABS(F679)</f>
        <v>0</v>
      </c>
      <c r="K679" s="5">
        <f>ABS(G679-H679)/ABS(G679)</f>
        <v>0</v>
      </c>
    </row>
    <row r="680" spans="3:11" x14ac:dyDescent="0.2">
      <c r="C680" t="s">
        <v>2095</v>
      </c>
      <c r="D680" t="b">
        <f ca="1">IF(CELL("format",F680)="G",IF(ABS(F680-G680) &lt;= ABS(F680*B$3),TRUE,FALSE),IF(F680=G680,TRUE,FALSE))</f>
        <v>1</v>
      </c>
      <c r="E680" s="5">
        <f>ABS(F680-G680)/ABS(F680)</f>
        <v>0</v>
      </c>
      <c r="F680">
        <v>675.86</v>
      </c>
      <c r="G680">
        <v>675.86</v>
      </c>
      <c r="H680">
        <v>675.86</v>
      </c>
      <c r="J680" s="5">
        <f>ABS(F680-G680)/ABS(F680)</f>
        <v>0</v>
      </c>
      <c r="K680" s="5">
        <f>ABS(G680-H680)/ABS(G680)</f>
        <v>0</v>
      </c>
    </row>
    <row r="681" spans="3:11" x14ac:dyDescent="0.2">
      <c r="C681" t="s">
        <v>2096</v>
      </c>
      <c r="D681" t="b">
        <f ca="1">IF(CELL("format",F681)="G",IF(ABS(F681-G681) &lt;= ABS(F681*B$3),TRUE,FALSE),IF(F681=G681,TRUE,FALSE))</f>
        <v>1</v>
      </c>
      <c r="E681" s="5">
        <f>ABS(F681-G681)/ABS(F681)</f>
        <v>0</v>
      </c>
      <c r="F681">
        <v>293.12</v>
      </c>
      <c r="G681">
        <v>293.12</v>
      </c>
      <c r="H681">
        <v>293.12</v>
      </c>
      <c r="J681" s="5">
        <f>ABS(F681-G681)/ABS(F681)</f>
        <v>0</v>
      </c>
      <c r="K681" s="5">
        <f>ABS(G681-H681)/ABS(G681)</f>
        <v>0</v>
      </c>
    </row>
    <row r="682" spans="3:11" x14ac:dyDescent="0.2">
      <c r="C682" t="s">
        <v>2097</v>
      </c>
      <c r="D682" t="b">
        <f ca="1">IF(CELL("format",F682)="G",IF(ABS(F682-G682) &lt;= ABS(F682*B$3),TRUE,FALSE),IF(F682=G682,TRUE,FALSE))</f>
        <v>1</v>
      </c>
      <c r="E682" s="5">
        <f>ABS(F682-G682)/ABS(F682)</f>
        <v>0</v>
      </c>
      <c r="F682">
        <v>1.71</v>
      </c>
      <c r="G682">
        <v>1.71</v>
      </c>
      <c r="H682">
        <v>1.71</v>
      </c>
      <c r="J682" s="5">
        <f>ABS(F682-G682)/ABS(F682)</f>
        <v>0</v>
      </c>
      <c r="K682" s="5">
        <f>ABS(G682-H682)/ABS(G682)</f>
        <v>0</v>
      </c>
    </row>
    <row r="683" spans="3:11" x14ac:dyDescent="0.2">
      <c r="C683" t="s">
        <v>2098</v>
      </c>
      <c r="D683" t="b">
        <f ca="1">IF(CELL("format",F683)="G",IF(ABS(F683-G683) &lt;= ABS(F683*B$3),TRUE,FALSE),IF(F683=G683,TRUE,FALSE))</f>
        <v>1</v>
      </c>
      <c r="E683" s="5">
        <f>ABS(F683-G683)/ABS(F683)</f>
        <v>0</v>
      </c>
      <c r="F683">
        <v>1.33</v>
      </c>
      <c r="G683">
        <v>1.33</v>
      </c>
      <c r="H683">
        <v>1.33</v>
      </c>
      <c r="J683" s="5">
        <f>ABS(F683-G683)/ABS(F683)</f>
        <v>0</v>
      </c>
      <c r="K683" s="5">
        <f>ABS(G683-H683)/ABS(G683)</f>
        <v>0</v>
      </c>
    </row>
    <row r="684" spans="3:11" x14ac:dyDescent="0.2">
      <c r="C684" t="s">
        <v>2099</v>
      </c>
      <c r="D684" t="b">
        <f ca="1">IF(CELL("format",F684)="G",IF(ABS(F684-G684) &lt;= ABS(F684*B$3),TRUE,FALSE),IF(F684=G684,TRUE,FALSE))</f>
        <v>1</v>
      </c>
      <c r="E684" s="5">
        <f>ABS(F684-G684)/ABS(F684)</f>
        <v>0</v>
      </c>
      <c r="F684">
        <v>15</v>
      </c>
      <c r="G684">
        <v>15</v>
      </c>
      <c r="H684">
        <v>15</v>
      </c>
      <c r="J684" s="5">
        <f>ABS(F684-G684)/ABS(F684)</f>
        <v>0</v>
      </c>
      <c r="K684" s="5">
        <f>ABS(G684-H684)/ABS(G684)</f>
        <v>0</v>
      </c>
    </row>
    <row r="685" spans="3:11" x14ac:dyDescent="0.2">
      <c r="C685" t="s">
        <v>2100</v>
      </c>
      <c r="D685" t="b">
        <f ca="1">IF(CELL("format",F685)="G",IF(ABS(F685-G685) &lt;= ABS(F685*B$3),TRUE,FALSE),IF(F685=G685,TRUE,FALSE))</f>
        <v>0</v>
      </c>
      <c r="E685" s="5">
        <f>ABS(F685-G685)/ABS(F685)</f>
        <v>0.2</v>
      </c>
      <c r="F685">
        <v>5</v>
      </c>
      <c r="G685">
        <v>4</v>
      </c>
      <c r="H685">
        <v>4</v>
      </c>
      <c r="J685" s="5">
        <f>ABS(F685-G685)/ABS(F685)</f>
        <v>0.2</v>
      </c>
      <c r="K685" s="5">
        <f>ABS(G685-H685)/ABS(G685)</f>
        <v>0</v>
      </c>
    </row>
    <row r="686" spans="3:11" x14ac:dyDescent="0.2">
      <c r="C686" t="s">
        <v>2101</v>
      </c>
      <c r="D686" t="b">
        <f ca="1">IF(CELL("format",F686)="G",IF(ABS(F686-G686) &lt;= ABS(F686*B$3),TRUE,FALSE),IF(F686=G686,TRUE,FALSE))</f>
        <v>1</v>
      </c>
      <c r="E686" s="5">
        <f>ABS(F686-G686)/ABS(F686)</f>
        <v>0</v>
      </c>
      <c r="F686">
        <v>7</v>
      </c>
      <c r="G686">
        <v>7</v>
      </c>
      <c r="H686">
        <v>7</v>
      </c>
      <c r="J686" s="5">
        <f>ABS(F686-G686)/ABS(F686)</f>
        <v>0</v>
      </c>
      <c r="K686" s="5">
        <f>ABS(G686-H686)/ABS(G686)</f>
        <v>0</v>
      </c>
    </row>
    <row r="687" spans="3:11" x14ac:dyDescent="0.2">
      <c r="C687" t="s">
        <v>2102</v>
      </c>
      <c r="D687" t="b">
        <f ca="1">IF(CELL("format",F687)="G",IF(ABS(F687-G687) &lt;= ABS(F687*B$3),TRUE,FALSE),IF(F687=G687,TRUE,FALSE))</f>
        <v>1</v>
      </c>
      <c r="E687" s="5">
        <f>ABS(F687-G687)/ABS(F687)</f>
        <v>0</v>
      </c>
      <c r="F687">
        <v>7</v>
      </c>
      <c r="G687">
        <v>7</v>
      </c>
      <c r="H687">
        <v>7</v>
      </c>
      <c r="J687" s="5">
        <f>ABS(F687-G687)/ABS(F687)</f>
        <v>0</v>
      </c>
      <c r="K687" s="5">
        <f>ABS(G687-H687)/ABS(G687)</f>
        <v>0</v>
      </c>
    </row>
    <row r="688" spans="3:11" x14ac:dyDescent="0.2">
      <c r="C688" t="s">
        <v>2103</v>
      </c>
      <c r="D688" t="b">
        <f ca="1">IF(CELL("format",F688)="G",IF(ABS(F688-G688) &lt;= ABS(F688*B$3),TRUE,FALSE),IF(F688=G688,TRUE,FALSE))</f>
        <v>1</v>
      </c>
      <c r="E688" s="5">
        <f>ABS(F688-G688)/ABS(F688)</f>
        <v>0</v>
      </c>
      <c r="F688">
        <v>6.29</v>
      </c>
      <c r="G688">
        <v>6.29</v>
      </c>
      <c r="H688">
        <v>6.29</v>
      </c>
      <c r="J688" s="5">
        <f>ABS(F688-G688)/ABS(F688)</f>
        <v>0</v>
      </c>
      <c r="K688" s="5">
        <f>ABS(G688-H688)/ABS(G688)</f>
        <v>0</v>
      </c>
    </row>
    <row r="689" spans="3:11" x14ac:dyDescent="0.2">
      <c r="C689" t="s">
        <v>2104</v>
      </c>
      <c r="D689" t="b">
        <f ca="1">IF(CELL("format",F689)="G",IF(ABS(F689-G689) &lt;= ABS(F689*B$3),TRUE,FALSE),IF(F689=G689,TRUE,FALSE))</f>
        <v>1</v>
      </c>
      <c r="E689" s="5">
        <f>ABS(F689-G689)/ABS(F689)</f>
        <v>0</v>
      </c>
      <c r="F689">
        <v>3.06</v>
      </c>
      <c r="G689">
        <v>3.06</v>
      </c>
      <c r="H689">
        <v>3.06</v>
      </c>
      <c r="J689" s="5">
        <f>ABS(F689-G689)/ABS(F689)</f>
        <v>0</v>
      </c>
      <c r="K689" s="5">
        <f>ABS(G689-H689)/ABS(G689)</f>
        <v>0</v>
      </c>
    </row>
    <row r="690" spans="3:11" x14ac:dyDescent="0.2">
      <c r="C690" t="s">
        <v>2105</v>
      </c>
      <c r="D690" t="b">
        <f ca="1">IF(CELL("format",F690)="G",IF(ABS(F690-G690) &lt;= ABS(F690*B$3),TRUE,FALSE),IF(F690=G690,TRUE,FALSE))</f>
        <v>1</v>
      </c>
      <c r="E690" s="5">
        <f>ABS(F690-G690)/ABS(F690)</f>
        <v>0</v>
      </c>
      <c r="F690">
        <v>18</v>
      </c>
      <c r="G690">
        <v>18</v>
      </c>
      <c r="H690">
        <v>18</v>
      </c>
      <c r="J690" s="5">
        <f>ABS(F690-G690)/ABS(F690)</f>
        <v>0</v>
      </c>
      <c r="K690" s="5">
        <f>ABS(G690-H690)/ABS(G690)</f>
        <v>0</v>
      </c>
    </row>
    <row r="691" spans="3:11" x14ac:dyDescent="0.2">
      <c r="C691" t="s">
        <v>2106</v>
      </c>
      <c r="D691" t="b">
        <f ca="1">IF(CELL("format",F691)="G",IF(ABS(F691-G691) &lt;= ABS(F691*B$3),TRUE,FALSE),IF(F691=G691,TRUE,FALSE))</f>
        <v>1</v>
      </c>
      <c r="E691" s="5">
        <f>ABS(F691-G691)/ABS(F691)</f>
        <v>0</v>
      </c>
      <c r="F691">
        <v>14</v>
      </c>
      <c r="G691">
        <v>14</v>
      </c>
      <c r="H691">
        <v>14</v>
      </c>
      <c r="J691" s="5">
        <f>ABS(F691-G691)/ABS(F691)</f>
        <v>0</v>
      </c>
      <c r="K691" s="5">
        <f>ABS(G691-H691)/ABS(G691)</f>
        <v>0</v>
      </c>
    </row>
    <row r="692" spans="3:11" x14ac:dyDescent="0.2">
      <c r="C692" t="s">
        <v>2107</v>
      </c>
      <c r="D692" t="b">
        <f ca="1">IF(CELL("format",F692)="G",IF(ABS(F692-G692) &lt;= ABS(F692*B$3),TRUE,FALSE),IF(F692=G692,TRUE,FALSE))</f>
        <v>1</v>
      </c>
      <c r="E692" s="5">
        <f>ABS(F692-G692)/ABS(F692)</f>
        <v>0</v>
      </c>
      <c r="F692">
        <v>1</v>
      </c>
      <c r="G692">
        <v>1</v>
      </c>
      <c r="H692">
        <v>1</v>
      </c>
      <c r="J692" s="5">
        <f>ABS(F692-G692)/ABS(F692)</f>
        <v>0</v>
      </c>
      <c r="K692" s="5">
        <f>ABS(G692-H692)/ABS(G692)</f>
        <v>0</v>
      </c>
    </row>
    <row r="693" spans="3:11" x14ac:dyDescent="0.2">
      <c r="C693" t="s">
        <v>2108</v>
      </c>
      <c r="D693" t="b">
        <f ca="1">IF(CELL("format",F693)="G",IF(ABS(F693-G693) &lt;= ABS(F693*B$3),TRUE,FALSE),IF(F693=G693,TRUE,FALSE))</f>
        <v>1</v>
      </c>
      <c r="E693" s="5">
        <f>ABS(F693-G693)/ABS(F693)</f>
        <v>0</v>
      </c>
      <c r="F693">
        <v>14</v>
      </c>
      <c r="G693">
        <v>14</v>
      </c>
      <c r="H693">
        <v>14</v>
      </c>
      <c r="J693" s="5">
        <f>ABS(F693-G693)/ABS(F693)</f>
        <v>0</v>
      </c>
      <c r="K693" s="5">
        <f>ABS(G693-H693)/ABS(G693)</f>
        <v>0</v>
      </c>
    </row>
    <row r="694" spans="3:11" x14ac:dyDescent="0.2">
      <c r="C694" t="s">
        <v>2093</v>
      </c>
      <c r="D694" t="b">
        <f ca="1">IF(CELL("format",F694)="G",IF(ABS(F694-G694) &lt;= ABS(F694*B$3),TRUE,FALSE),IF(F694=G694,TRUE,FALSE))</f>
        <v>1</v>
      </c>
      <c r="E694" s="5">
        <f>ABS(F694-G694)/ABS(F694)</f>
        <v>0</v>
      </c>
      <c r="F694">
        <v>625.1</v>
      </c>
      <c r="G694">
        <v>625.1</v>
      </c>
      <c r="H694">
        <v>625.1</v>
      </c>
      <c r="J694" s="5">
        <f>ABS(F694-G694)/ABS(F694)</f>
        <v>0</v>
      </c>
      <c r="K694" s="5">
        <f>ABS(G694-H694)/ABS(G694)</f>
        <v>0</v>
      </c>
    </row>
    <row r="695" spans="3:11" x14ac:dyDescent="0.2">
      <c r="C695" t="s">
        <v>2094</v>
      </c>
      <c r="D695" t="b">
        <f ca="1">IF(CELL("format",F695)="G",IF(ABS(F695-G695) &lt;= ABS(F695*B$3),TRUE,FALSE),IF(F695=G695,TRUE,FALSE))</f>
        <v>1</v>
      </c>
      <c r="E695" s="5">
        <f>ABS(F695-G695)/ABS(F695)</f>
        <v>0</v>
      </c>
      <c r="F695">
        <v>296.64999999999998</v>
      </c>
      <c r="G695">
        <v>296.64999999999998</v>
      </c>
      <c r="H695">
        <v>296.64999999999998</v>
      </c>
      <c r="J695" s="5">
        <f>ABS(F695-G695)/ABS(F695)</f>
        <v>0</v>
      </c>
      <c r="K695" s="5">
        <f>ABS(G695-H695)/ABS(G695)</f>
        <v>0</v>
      </c>
    </row>
    <row r="696" spans="3:11" x14ac:dyDescent="0.2">
      <c r="C696" t="s">
        <v>2095</v>
      </c>
      <c r="D696" t="b">
        <f ca="1">IF(CELL("format",F696)="G",IF(ABS(F696-G696) &lt;= ABS(F696*B$3),TRUE,FALSE),IF(F696=G696,TRUE,FALSE))</f>
        <v>1</v>
      </c>
      <c r="E696" s="5">
        <f>ABS(F696-G696)/ABS(F696)</f>
        <v>0</v>
      </c>
      <c r="F696">
        <v>438.4</v>
      </c>
      <c r="G696">
        <v>438.4</v>
      </c>
      <c r="H696">
        <v>438.4</v>
      </c>
      <c r="J696" s="5">
        <f>ABS(F696-G696)/ABS(F696)</f>
        <v>0</v>
      </c>
      <c r="K696" s="5">
        <f>ABS(G696-H696)/ABS(G696)</f>
        <v>0</v>
      </c>
    </row>
    <row r="697" spans="3:11" x14ac:dyDescent="0.2">
      <c r="C697" t="s">
        <v>2096</v>
      </c>
      <c r="D697" t="b">
        <f ca="1">IF(CELL("format",F697)="G",IF(ABS(F697-G697) &lt;= ABS(F697*B$3),TRUE,FALSE),IF(F697=G697,TRUE,FALSE))</f>
        <v>1</v>
      </c>
      <c r="E697" s="5">
        <f>ABS(F697-G697)/ABS(F697)</f>
        <v>0</v>
      </c>
      <c r="F697">
        <v>68.27</v>
      </c>
      <c r="G697">
        <v>68.27</v>
      </c>
      <c r="H697">
        <v>68.27</v>
      </c>
      <c r="J697" s="5">
        <f>ABS(F697-G697)/ABS(F697)</f>
        <v>0</v>
      </c>
      <c r="K697" s="5">
        <f>ABS(G697-H697)/ABS(G697)</f>
        <v>0</v>
      </c>
    </row>
    <row r="698" spans="3:11" x14ac:dyDescent="0.2">
      <c r="C698" t="s">
        <v>2097</v>
      </c>
      <c r="D698" t="b">
        <f ca="1">IF(CELL("format",F698)="G",IF(ABS(F698-G698) &lt;= ABS(F698*B$3),TRUE,FALSE),IF(F698=G698,TRUE,FALSE))</f>
        <v>1</v>
      </c>
      <c r="E698" s="5">
        <f>ABS(F698-G698)/ABS(F698)</f>
        <v>0</v>
      </c>
      <c r="F698">
        <v>3.12</v>
      </c>
      <c r="G698">
        <v>3.12</v>
      </c>
      <c r="H698">
        <v>3.12</v>
      </c>
      <c r="J698" s="5">
        <f>ABS(F698-G698)/ABS(F698)</f>
        <v>0</v>
      </c>
      <c r="K698" s="5">
        <f>ABS(G698-H698)/ABS(G698)</f>
        <v>0</v>
      </c>
    </row>
    <row r="699" spans="3:11" x14ac:dyDescent="0.2">
      <c r="C699" t="s">
        <v>2098</v>
      </c>
      <c r="D699" t="b">
        <f ca="1">IF(CELL("format",F699)="G",IF(ABS(F699-G699) &lt;= ABS(F699*B$3),TRUE,FALSE),IF(F699=G699,TRUE,FALSE))</f>
        <v>1</v>
      </c>
      <c r="E699" s="5">
        <f>ABS(F699-G699)/ABS(F699)</f>
        <v>0</v>
      </c>
      <c r="F699">
        <v>2.37</v>
      </c>
      <c r="G699">
        <v>2.37</v>
      </c>
      <c r="H699">
        <v>2.37</v>
      </c>
      <c r="J699" s="5">
        <f>ABS(F699-G699)/ABS(F699)</f>
        <v>0</v>
      </c>
      <c r="K699" s="5">
        <f>ABS(G699-H699)/ABS(G699)</f>
        <v>0</v>
      </c>
    </row>
    <row r="700" spans="3:11" x14ac:dyDescent="0.2">
      <c r="C700" t="s">
        <v>2099</v>
      </c>
      <c r="D700" t="b">
        <f ca="1">IF(CELL("format",F700)="G",IF(ABS(F700-G700) &lt;= ABS(F700*B$3),TRUE,FALSE),IF(F700=G700,TRUE,FALSE))</f>
        <v>1</v>
      </c>
      <c r="E700" s="5">
        <f>ABS(F700-G700)/ABS(F700)</f>
        <v>0</v>
      </c>
      <c r="F700">
        <v>26</v>
      </c>
      <c r="G700">
        <v>26</v>
      </c>
      <c r="H700">
        <v>26</v>
      </c>
      <c r="J700" s="5">
        <f>ABS(F700-G700)/ABS(F700)</f>
        <v>0</v>
      </c>
      <c r="K700" s="5">
        <f>ABS(G700-H700)/ABS(G700)</f>
        <v>0</v>
      </c>
    </row>
    <row r="701" spans="3:11" x14ac:dyDescent="0.2">
      <c r="C701" t="s">
        <v>2100</v>
      </c>
      <c r="D701" t="b">
        <f ca="1">IF(CELL("format",F701)="G",IF(ABS(F701-G701) &lt;= ABS(F701*B$3),TRUE,FALSE),IF(F701=G701,TRUE,FALSE))</f>
        <v>0</v>
      </c>
      <c r="E701" s="5">
        <f>ABS(F701-G701)/ABS(F701)</f>
        <v>0.14285714285714285</v>
      </c>
      <c r="F701">
        <v>7</v>
      </c>
      <c r="G701">
        <v>6</v>
      </c>
      <c r="H701">
        <v>6</v>
      </c>
      <c r="J701" s="5">
        <f>ABS(F701-G701)/ABS(F701)</f>
        <v>0.14285714285714285</v>
      </c>
      <c r="K701" s="5">
        <f>ABS(G701-H701)/ABS(G701)</f>
        <v>0</v>
      </c>
    </row>
    <row r="702" spans="3:11" x14ac:dyDescent="0.2">
      <c r="C702" t="s">
        <v>2101</v>
      </c>
      <c r="D702" t="b">
        <f ca="1">IF(CELL("format",F702)="G",IF(ABS(F702-G702) &lt;= ABS(F702*B$3),TRUE,FALSE),IF(F702=G702,TRUE,FALSE))</f>
        <v>1</v>
      </c>
      <c r="E702" s="5">
        <f>ABS(F702-G702)/ABS(F702)</f>
        <v>0</v>
      </c>
      <c r="F702">
        <v>26</v>
      </c>
      <c r="G702">
        <v>26</v>
      </c>
      <c r="H702">
        <v>26</v>
      </c>
      <c r="J702" s="5">
        <f>ABS(F702-G702)/ABS(F702)</f>
        <v>0</v>
      </c>
      <c r="K702" s="5">
        <f>ABS(G702-H702)/ABS(G702)</f>
        <v>0</v>
      </c>
    </row>
    <row r="703" spans="3:11" x14ac:dyDescent="0.2">
      <c r="C703" t="s">
        <v>2102</v>
      </c>
      <c r="D703" t="b">
        <f ca="1">IF(CELL("format",F703)="G",IF(ABS(F703-G703) &lt;= ABS(F703*B$3),TRUE,FALSE),IF(F703=G703,TRUE,FALSE))</f>
        <v>1</v>
      </c>
      <c r="E703" s="5">
        <f>ABS(F703-G703)/ABS(F703)</f>
        <v>0</v>
      </c>
      <c r="F703">
        <v>8</v>
      </c>
      <c r="G703">
        <v>8</v>
      </c>
      <c r="H703">
        <v>8</v>
      </c>
      <c r="J703" s="5">
        <f>ABS(F703-G703)/ABS(F703)</f>
        <v>0</v>
      </c>
      <c r="K703" s="5">
        <f>ABS(G703-H703)/ABS(G703)</f>
        <v>0</v>
      </c>
    </row>
    <row r="704" spans="3:11" x14ac:dyDescent="0.2">
      <c r="C704" t="s">
        <v>2103</v>
      </c>
      <c r="D704" t="b">
        <f ca="1">IF(CELL("format",F704)="G",IF(ABS(F704-G704) &lt;= ABS(F704*B$3),TRUE,FALSE),IF(F704=G704,TRUE,FALSE))</f>
        <v>1</v>
      </c>
      <c r="E704" s="5">
        <f>ABS(F704-G704)/ABS(F704)</f>
        <v>0</v>
      </c>
      <c r="F704">
        <v>6.34</v>
      </c>
      <c r="G704">
        <v>6.34</v>
      </c>
      <c r="H704">
        <v>6.34</v>
      </c>
      <c r="J704" s="5">
        <f>ABS(F704-G704)/ABS(F704)</f>
        <v>0</v>
      </c>
      <c r="K704" s="5">
        <f>ABS(G704-H704)/ABS(G704)</f>
        <v>0</v>
      </c>
    </row>
    <row r="705" spans="3:11" x14ac:dyDescent="0.2">
      <c r="C705" t="s">
        <v>2104</v>
      </c>
      <c r="D705" t="b">
        <f ca="1">IF(CELL("format",F705)="G",IF(ABS(F705-G705) &lt;= ABS(F705*B$3),TRUE,FALSE),IF(F705=G705,TRUE,FALSE))</f>
        <v>1</v>
      </c>
      <c r="E705" s="5">
        <f>ABS(F705-G705)/ABS(F705)</f>
        <v>0</v>
      </c>
      <c r="F705">
        <v>2.0699999999999998</v>
      </c>
      <c r="G705">
        <v>2.0699999999999998</v>
      </c>
      <c r="H705">
        <v>2.0699999999999998</v>
      </c>
      <c r="J705" s="5">
        <f>ABS(F705-G705)/ABS(F705)</f>
        <v>0</v>
      </c>
      <c r="K705" s="5">
        <f>ABS(G705-H705)/ABS(G705)</f>
        <v>0</v>
      </c>
    </row>
    <row r="706" spans="3:11" x14ac:dyDescent="0.2">
      <c r="C706" t="s">
        <v>2105</v>
      </c>
      <c r="D706" t="b">
        <f ca="1">IF(CELL("format",F706)="G",IF(ABS(F706-G706) &lt;= ABS(F706*B$3),TRUE,FALSE),IF(F706=G706,TRUE,FALSE))</f>
        <v>1</v>
      </c>
      <c r="E706" s="5">
        <f>ABS(F706-G706)/ABS(F706)</f>
        <v>0</v>
      </c>
      <c r="F706">
        <v>28</v>
      </c>
      <c r="G706">
        <v>28</v>
      </c>
      <c r="H706">
        <v>28</v>
      </c>
      <c r="J706" s="5">
        <f>ABS(F706-G706)/ABS(F706)</f>
        <v>0</v>
      </c>
      <c r="K706" s="5">
        <f>ABS(G706-H706)/ABS(G706)</f>
        <v>0</v>
      </c>
    </row>
    <row r="707" spans="3:11" x14ac:dyDescent="0.2">
      <c r="C707" t="s">
        <v>2106</v>
      </c>
      <c r="D707" t="b">
        <f ca="1">IF(CELL("format",F707)="G",IF(ABS(F707-G707) &lt;= ABS(F707*B$3),TRUE,FALSE),IF(F707=G707,TRUE,FALSE))</f>
        <v>0</v>
      </c>
      <c r="E707" s="5">
        <f>ABS(F707-G707)/ABS(F707)</f>
        <v>7.6923076923076927E-2</v>
      </c>
      <c r="F707">
        <v>13</v>
      </c>
      <c r="G707">
        <v>12</v>
      </c>
      <c r="H707">
        <v>12</v>
      </c>
      <c r="J707" s="5">
        <f>ABS(F707-G707)/ABS(F707)</f>
        <v>7.6923076923076927E-2</v>
      </c>
      <c r="K707" s="5">
        <f>ABS(G707-H707)/ABS(G707)</f>
        <v>0</v>
      </c>
    </row>
    <row r="708" spans="3:11" x14ac:dyDescent="0.2">
      <c r="C708" t="s">
        <v>2107</v>
      </c>
      <c r="D708" t="b">
        <f ca="1">IF(CELL("format",F708)="G",IF(ABS(F708-G708) &lt;= ABS(F708*B$3),TRUE,FALSE),IF(F708=G708,TRUE,FALSE))</f>
        <v>1</v>
      </c>
      <c r="E708" s="5">
        <f>ABS(F708-G708)/ABS(F708)</f>
        <v>0</v>
      </c>
      <c r="F708">
        <v>22</v>
      </c>
      <c r="G708">
        <v>22</v>
      </c>
      <c r="H708">
        <v>22</v>
      </c>
      <c r="J708" s="5">
        <f>ABS(F708-G708)/ABS(F708)</f>
        <v>0</v>
      </c>
      <c r="K708" s="5">
        <f>ABS(G708-H708)/ABS(G708)</f>
        <v>0</v>
      </c>
    </row>
    <row r="709" spans="3:11" x14ac:dyDescent="0.2">
      <c r="C709" t="s">
        <v>2108</v>
      </c>
      <c r="D709" t="b">
        <f ca="1">IF(CELL("format",F709)="G",IF(ABS(F709-G709) &lt;= ABS(F709*B$3),TRUE,FALSE),IF(F709=G709,TRUE,FALSE))</f>
        <v>1</v>
      </c>
      <c r="E709" s="5">
        <f>ABS(F709-G709)/ABS(F709)</f>
        <v>0</v>
      </c>
      <c r="F709">
        <v>14</v>
      </c>
      <c r="G709">
        <v>14</v>
      </c>
      <c r="H709">
        <v>14</v>
      </c>
      <c r="J709" s="5">
        <f>ABS(F709-G709)/ABS(F709)</f>
        <v>0</v>
      </c>
      <c r="K709" s="5">
        <f>ABS(G709-H709)/ABS(G709)</f>
        <v>0</v>
      </c>
    </row>
    <row r="710" spans="3:11" x14ac:dyDescent="0.2">
      <c r="C710" t="s">
        <v>2093</v>
      </c>
      <c r="D710" t="b">
        <f ca="1">IF(CELL("format",F710)="G",IF(ABS(F710-G710) &lt;= ABS(F710*B$3),TRUE,FALSE),IF(F710=G710,TRUE,FALSE))</f>
        <v>1</v>
      </c>
      <c r="E710" s="5">
        <f>ABS(F710-G710)/ABS(F710)</f>
        <v>0</v>
      </c>
      <c r="F710">
        <v>735.62</v>
      </c>
      <c r="G710">
        <v>735.62</v>
      </c>
      <c r="H710">
        <v>735.62</v>
      </c>
      <c r="J710" s="5">
        <f>ABS(F710-G710)/ABS(F710)</f>
        <v>0</v>
      </c>
      <c r="K710" s="5">
        <f>ABS(G710-H710)/ABS(G710)</f>
        <v>0</v>
      </c>
    </row>
    <row r="711" spans="3:11" x14ac:dyDescent="0.2">
      <c r="C711" t="s">
        <v>2094</v>
      </c>
      <c r="D711" t="b">
        <f ca="1">IF(CELL("format",F711)="G",IF(ABS(F711-G711) &lt;= ABS(F711*B$3),TRUE,FALSE),IF(F711=G711,TRUE,FALSE))</f>
        <v>1</v>
      </c>
      <c r="E711" s="5">
        <f>ABS(F711-G711)/ABS(F711)</f>
        <v>0</v>
      </c>
      <c r="F711">
        <v>307.61</v>
      </c>
      <c r="G711">
        <v>307.61</v>
      </c>
      <c r="H711">
        <v>307.61</v>
      </c>
      <c r="J711" s="5">
        <f>ABS(F711-G711)/ABS(F711)</f>
        <v>0</v>
      </c>
      <c r="K711" s="5">
        <f>ABS(G711-H711)/ABS(G711)</f>
        <v>0</v>
      </c>
    </row>
    <row r="712" spans="3:11" x14ac:dyDescent="0.2">
      <c r="C712" t="s">
        <v>2095</v>
      </c>
      <c r="D712" t="b">
        <f ca="1">IF(CELL("format",F712)="G",IF(ABS(F712-G712) &lt;= ABS(F712*B$3),TRUE,FALSE),IF(F712=G712,TRUE,FALSE))</f>
        <v>1</v>
      </c>
      <c r="E712" s="5">
        <f>ABS(F712-G712)/ABS(F712)</f>
        <v>0</v>
      </c>
      <c r="F712">
        <v>482.27</v>
      </c>
      <c r="G712">
        <v>482.27</v>
      </c>
      <c r="H712">
        <v>482.27</v>
      </c>
      <c r="J712" s="5">
        <f>ABS(F712-G712)/ABS(F712)</f>
        <v>0</v>
      </c>
      <c r="K712" s="5">
        <f>ABS(G712-H712)/ABS(G712)</f>
        <v>0</v>
      </c>
    </row>
    <row r="713" spans="3:11" x14ac:dyDescent="0.2">
      <c r="C713" t="s">
        <v>2096</v>
      </c>
      <c r="D713" t="b">
        <f ca="1">IF(CELL("format",F713)="G",IF(ABS(F713-G713) &lt;= ABS(F713*B$3),TRUE,FALSE),IF(F713=G713,TRUE,FALSE))</f>
        <v>1</v>
      </c>
      <c r="E713" s="5">
        <f>ABS(F713-G713)/ABS(F713)</f>
        <v>0</v>
      </c>
      <c r="F713">
        <v>61.09</v>
      </c>
      <c r="G713">
        <v>61.09</v>
      </c>
      <c r="H713">
        <v>61.09</v>
      </c>
      <c r="J713" s="5">
        <f>ABS(F713-G713)/ABS(F713)</f>
        <v>0</v>
      </c>
      <c r="K713" s="5">
        <f>ABS(G713-H713)/ABS(G713)</f>
        <v>0</v>
      </c>
    </row>
    <row r="714" spans="3:11" x14ac:dyDescent="0.2">
      <c r="C714" t="s">
        <v>2097</v>
      </c>
      <c r="D714" t="b">
        <f ca="1">IF(CELL("format",F714)="G",IF(ABS(F714-G714) &lt;= ABS(F714*B$3),TRUE,FALSE),IF(F714=G714,TRUE,FALSE))</f>
        <v>1</v>
      </c>
      <c r="E714" s="5">
        <f>ABS(F714-G714)/ABS(F714)</f>
        <v>0</v>
      </c>
      <c r="F714">
        <v>3.25</v>
      </c>
      <c r="G714">
        <v>3.25</v>
      </c>
      <c r="H714">
        <v>3.25</v>
      </c>
      <c r="J714" s="5">
        <f>ABS(F714-G714)/ABS(F714)</f>
        <v>0</v>
      </c>
      <c r="K714" s="5">
        <f>ABS(G714-H714)/ABS(G714)</f>
        <v>0</v>
      </c>
    </row>
    <row r="715" spans="3:11" x14ac:dyDescent="0.2">
      <c r="C715" t="s">
        <v>2098</v>
      </c>
      <c r="D715" t="b">
        <f ca="1">IF(CELL("format",F715)="G",IF(ABS(F715-G715) &lt;= ABS(F715*B$3),TRUE,FALSE),IF(F715=G715,TRUE,FALSE))</f>
        <v>1</v>
      </c>
      <c r="E715" s="5">
        <f>ABS(F715-G715)/ABS(F715)</f>
        <v>0</v>
      </c>
      <c r="F715">
        <v>2.2000000000000002</v>
      </c>
      <c r="G715">
        <v>2.2000000000000002</v>
      </c>
      <c r="H715">
        <v>2.2000000000000002</v>
      </c>
      <c r="J715" s="5">
        <f>ABS(F715-G715)/ABS(F715)</f>
        <v>0</v>
      </c>
      <c r="K715" s="5">
        <f>ABS(G715-H715)/ABS(G715)</f>
        <v>0</v>
      </c>
    </row>
    <row r="716" spans="3:11" x14ac:dyDescent="0.2">
      <c r="C716" t="s">
        <v>2099</v>
      </c>
      <c r="D716" t="b">
        <f ca="1">IF(CELL("format",F716)="G",IF(ABS(F716-G716) &lt;= ABS(F716*B$3),TRUE,FALSE),IF(F716=G716,TRUE,FALSE))</f>
        <v>1</v>
      </c>
      <c r="E716" s="5">
        <f>ABS(F716-G716)/ABS(F716)</f>
        <v>0</v>
      </c>
      <c r="F716">
        <v>31</v>
      </c>
      <c r="G716">
        <v>31</v>
      </c>
      <c r="H716">
        <v>31</v>
      </c>
      <c r="J716" s="5">
        <f>ABS(F716-G716)/ABS(F716)</f>
        <v>0</v>
      </c>
      <c r="K716" s="5">
        <f>ABS(G716-H716)/ABS(G716)</f>
        <v>0</v>
      </c>
    </row>
    <row r="717" spans="3:11" x14ac:dyDescent="0.2">
      <c r="C717" t="s">
        <v>2100</v>
      </c>
      <c r="D717" t="b">
        <f ca="1">IF(CELL("format",F717)="G",IF(ABS(F717-G717) &lt;= ABS(F717*B$3),TRUE,FALSE),IF(F717=G717,TRUE,FALSE))</f>
        <v>0</v>
      </c>
      <c r="E717" s="5">
        <f>ABS(F717-G717)/ABS(F717)</f>
        <v>4.1666666666666664E-2</v>
      </c>
      <c r="F717">
        <v>24</v>
      </c>
      <c r="G717">
        <v>23</v>
      </c>
      <c r="H717">
        <v>23</v>
      </c>
      <c r="J717" s="5">
        <f>ABS(F717-G717)/ABS(F717)</f>
        <v>4.1666666666666664E-2</v>
      </c>
      <c r="K717" s="5">
        <f>ABS(G717-H717)/ABS(G717)</f>
        <v>0</v>
      </c>
    </row>
    <row r="718" spans="3:11" x14ac:dyDescent="0.2">
      <c r="C718" t="s">
        <v>2101</v>
      </c>
      <c r="D718" t="b">
        <f ca="1">IF(CELL("format",F718)="G",IF(ABS(F718-G718) &lt;= ABS(F718*B$3),TRUE,FALSE),IF(F718=G718,TRUE,FALSE))</f>
        <v>1</v>
      </c>
      <c r="E718" s="5">
        <f>ABS(F718-G718)/ABS(F718)</f>
        <v>0</v>
      </c>
      <c r="F718">
        <v>31</v>
      </c>
      <c r="G718">
        <v>31</v>
      </c>
      <c r="H718">
        <v>31</v>
      </c>
      <c r="J718" s="5">
        <f>ABS(F718-G718)/ABS(F718)</f>
        <v>0</v>
      </c>
      <c r="K718" s="5">
        <f>ABS(G718-H718)/ABS(G718)</f>
        <v>0</v>
      </c>
    </row>
    <row r="719" spans="3:11" x14ac:dyDescent="0.2">
      <c r="C719" t="s">
        <v>2102</v>
      </c>
      <c r="D719" t="b">
        <f ca="1">IF(CELL("format",F719)="G",IF(ABS(F719-G719) &lt;= ABS(F719*B$3),TRUE,FALSE),IF(F719=G719,TRUE,FALSE))</f>
        <v>1</v>
      </c>
      <c r="E719" s="5">
        <f>ABS(F719-G719)/ABS(F719)</f>
        <v>0</v>
      </c>
      <c r="F719">
        <v>8</v>
      </c>
      <c r="G719">
        <v>8</v>
      </c>
      <c r="H719">
        <v>8</v>
      </c>
      <c r="J719" s="5">
        <f>ABS(F719-G719)/ABS(F719)</f>
        <v>0</v>
      </c>
      <c r="K719" s="5">
        <f>ABS(G719-H719)/ABS(G719)</f>
        <v>0</v>
      </c>
    </row>
    <row r="720" spans="3:11" x14ac:dyDescent="0.2">
      <c r="C720" t="s">
        <v>2103</v>
      </c>
      <c r="D720" t="b">
        <f ca="1">IF(CELL("format",F720)="G",IF(ABS(F720-G720) &lt;= ABS(F720*B$3),TRUE,FALSE),IF(F720=G720,TRUE,FALSE))</f>
        <v>1</v>
      </c>
      <c r="E720" s="5">
        <f>ABS(F720-G720)/ABS(F720)</f>
        <v>0</v>
      </c>
      <c r="F720">
        <v>6.39</v>
      </c>
      <c r="G720">
        <v>6.39</v>
      </c>
      <c r="H720">
        <v>6.39</v>
      </c>
      <c r="J720" s="5">
        <f>ABS(F720-G720)/ABS(F720)</f>
        <v>0</v>
      </c>
      <c r="K720" s="5">
        <f>ABS(G720-H720)/ABS(G720)</f>
        <v>0</v>
      </c>
    </row>
    <row r="721" spans="3:11" x14ac:dyDescent="0.2">
      <c r="C721" t="s">
        <v>2104</v>
      </c>
      <c r="D721" t="b">
        <f ca="1">IF(CELL("format",F721)="G",IF(ABS(F721-G721) &lt;= ABS(F721*B$3),TRUE,FALSE),IF(F721=G721,TRUE,FALSE))</f>
        <v>1</v>
      </c>
      <c r="E721" s="5">
        <f>ABS(F721-G721)/ABS(F721)</f>
        <v>0</v>
      </c>
      <c r="F721">
        <v>1.98</v>
      </c>
      <c r="G721">
        <v>1.98</v>
      </c>
      <c r="H721">
        <v>1.98</v>
      </c>
      <c r="J721" s="5">
        <f>ABS(F721-G721)/ABS(F721)</f>
        <v>0</v>
      </c>
      <c r="K721" s="5">
        <f>ABS(G721-H721)/ABS(G721)</f>
        <v>0</v>
      </c>
    </row>
    <row r="722" spans="3:11" x14ac:dyDescent="0.2">
      <c r="C722" t="s">
        <v>2105</v>
      </c>
      <c r="D722" t="b">
        <f ca="1">IF(CELL("format",F722)="G",IF(ABS(F722-G722) &lt;= ABS(F722*B$3),TRUE,FALSE),IF(F722=G722,TRUE,FALSE))</f>
        <v>1</v>
      </c>
      <c r="E722" s="5">
        <f>ABS(F722-G722)/ABS(F722)</f>
        <v>0</v>
      </c>
      <c r="F722">
        <v>1</v>
      </c>
      <c r="G722">
        <v>1</v>
      </c>
      <c r="H722">
        <v>1</v>
      </c>
      <c r="J722" s="5">
        <f>ABS(F722-G722)/ABS(F722)</f>
        <v>0</v>
      </c>
      <c r="K722" s="5">
        <f>ABS(G722-H722)/ABS(G722)</f>
        <v>0</v>
      </c>
    </row>
    <row r="723" spans="3:11" x14ac:dyDescent="0.2">
      <c r="C723" t="s">
        <v>2106</v>
      </c>
      <c r="D723" t="b">
        <f ca="1">IF(CELL("format",F723)="G",IF(ABS(F723-G723) &lt;= ABS(F723*B$3),TRUE,FALSE),IF(F723=G723,TRUE,FALSE))</f>
        <v>0</v>
      </c>
      <c r="E723" s="5">
        <f>ABS(F723-G723)/ABS(F723)</f>
        <v>7.6923076923076927E-2</v>
      </c>
      <c r="F723">
        <v>13</v>
      </c>
      <c r="G723">
        <v>12</v>
      </c>
      <c r="H723">
        <v>12</v>
      </c>
      <c r="J723" s="5">
        <f>ABS(F723-G723)/ABS(F723)</f>
        <v>7.6923076923076927E-2</v>
      </c>
      <c r="K723" s="5">
        <f>ABS(G723-H723)/ABS(G723)</f>
        <v>0</v>
      </c>
    </row>
    <row r="724" spans="3:11" x14ac:dyDescent="0.2">
      <c r="C724" t="s">
        <v>2107</v>
      </c>
      <c r="D724" t="b">
        <f ca="1">IF(CELL("format",F724)="G",IF(ABS(F724-G724) &lt;= ABS(F724*B$3),TRUE,FALSE),IF(F724=G724,TRUE,FALSE))</f>
        <v>1</v>
      </c>
      <c r="E724" s="5">
        <f>ABS(F724-G724)/ABS(F724)</f>
        <v>0</v>
      </c>
      <c r="F724">
        <v>2</v>
      </c>
      <c r="G724">
        <v>2</v>
      </c>
      <c r="H724">
        <v>2</v>
      </c>
      <c r="J724" s="5">
        <f>ABS(F724-G724)/ABS(F724)</f>
        <v>0</v>
      </c>
      <c r="K724" s="5">
        <f>ABS(G724-H724)/ABS(G724)</f>
        <v>0</v>
      </c>
    </row>
    <row r="725" spans="3:11" x14ac:dyDescent="0.2">
      <c r="C725" t="s">
        <v>2108</v>
      </c>
      <c r="D725" t="b">
        <f ca="1">IF(CELL("format",F725)="G",IF(ABS(F725-G725) &lt;= ABS(F725*B$3),TRUE,FALSE),IF(F725=G725,TRUE,FALSE))</f>
        <v>1</v>
      </c>
      <c r="E725" s="5">
        <f>ABS(F725-G725)/ABS(F725)</f>
        <v>0</v>
      </c>
      <c r="F725">
        <v>15</v>
      </c>
      <c r="G725">
        <v>15</v>
      </c>
      <c r="H725">
        <v>15</v>
      </c>
      <c r="J725" s="5">
        <f>ABS(F725-G725)/ABS(F725)</f>
        <v>0</v>
      </c>
      <c r="K725" s="5">
        <f>ABS(G725-H725)/ABS(G725)</f>
        <v>0</v>
      </c>
    </row>
    <row r="726" spans="3:11" x14ac:dyDescent="0.2">
      <c r="C726" t="s">
        <v>2109</v>
      </c>
      <c r="D726" t="b">
        <f ca="1">IF(CELL("format",F726)="G",IF(ABS(F726-G726) &lt;= ABS(F726*B$3),TRUE,FALSE),IF(F726=G726,TRUE,FALSE))</f>
        <v>1</v>
      </c>
      <c r="E726" s="5" t="e">
        <f>ABS(F726-G726)/ABS(F726)</f>
        <v>#DIV/0!</v>
      </c>
      <c r="F726">
        <v>0</v>
      </c>
      <c r="G726">
        <v>0</v>
      </c>
      <c r="H726">
        <v>0</v>
      </c>
      <c r="J726" s="5" t="e">
        <f>ABS(F726-G726)/ABS(F726)</f>
        <v>#DIV/0!</v>
      </c>
      <c r="K726" s="5" t="e">
        <f>ABS(G726-H726)/ABS(G726)</f>
        <v>#DIV/0!</v>
      </c>
    </row>
    <row r="727" spans="3:11" x14ac:dyDescent="0.2">
      <c r="C727" t="s">
        <v>2110</v>
      </c>
      <c r="D727" t="b">
        <f ca="1">IF(CELL("format",F727)="G",IF(ABS(F727-G727) &lt;= ABS(F727*B$3),TRUE,FALSE),IF(F727=G727,TRUE,FALSE))</f>
        <v>1</v>
      </c>
      <c r="E727" s="5" t="e">
        <f>ABS(F727-G727)/ABS(F727)</f>
        <v>#DIV/0!</v>
      </c>
      <c r="F727">
        <v>0</v>
      </c>
      <c r="G727">
        <v>0</v>
      </c>
      <c r="H727">
        <v>0</v>
      </c>
      <c r="J727" s="5" t="e">
        <f>ABS(F727-G727)/ABS(F727)</f>
        <v>#DIV/0!</v>
      </c>
      <c r="K727" s="5" t="e">
        <f>ABS(G727-H727)/ABS(G727)</f>
        <v>#DIV/0!</v>
      </c>
    </row>
    <row r="728" spans="3:11" x14ac:dyDescent="0.2">
      <c r="C728" t="s">
        <v>2111</v>
      </c>
      <c r="D728" t="b">
        <f ca="1">IF(CELL("format",F728)="G",IF(ABS(F728-G728) &lt;= ABS(F728*B$3),TRUE,FALSE),IF(F728=G728,TRUE,FALSE))</f>
        <v>1</v>
      </c>
      <c r="E728" s="5" t="e">
        <f>ABS(F728-G728)/ABS(F728)</f>
        <v>#DIV/0!</v>
      </c>
      <c r="F728">
        <v>0</v>
      </c>
      <c r="G728">
        <v>0</v>
      </c>
      <c r="H728">
        <v>0</v>
      </c>
      <c r="J728" s="5" t="e">
        <f>ABS(F728-G728)/ABS(F728)</f>
        <v>#DIV/0!</v>
      </c>
      <c r="K728" s="5" t="e">
        <f>ABS(G728-H728)/ABS(G728)</f>
        <v>#DIV/0!</v>
      </c>
    </row>
    <row r="729" spans="3:11" x14ac:dyDescent="0.2">
      <c r="C729" t="s">
        <v>2112</v>
      </c>
      <c r="D729" t="b">
        <f ca="1">IF(CELL("format",F729)="G",IF(ABS(F729-G729) &lt;= ABS(F729*B$3),TRUE,FALSE),IF(F729=G729,TRUE,FALSE))</f>
        <v>1</v>
      </c>
      <c r="E729" s="5" t="e">
        <f>ABS(F729-G729)/ABS(F729)</f>
        <v>#DIV/0!</v>
      </c>
      <c r="F729">
        <v>0</v>
      </c>
      <c r="G729">
        <v>0</v>
      </c>
      <c r="H729">
        <v>0</v>
      </c>
      <c r="J729" s="5" t="e">
        <f>ABS(F729-G729)/ABS(F729)</f>
        <v>#DIV/0!</v>
      </c>
      <c r="K729" s="5" t="e">
        <f>ABS(G729-H729)/ABS(G729)</f>
        <v>#DIV/0!</v>
      </c>
    </row>
    <row r="730" spans="3:11" x14ac:dyDescent="0.2">
      <c r="C730" t="s">
        <v>2113</v>
      </c>
      <c r="D730" t="b">
        <f ca="1">IF(CELL("format",F730)="G",IF(ABS(F730-G730) &lt;= ABS(F730*B$3),TRUE,FALSE),IF(F730=G730,TRUE,FALSE))</f>
        <v>1</v>
      </c>
      <c r="E730" s="5" t="e">
        <f>ABS(F730-G730)/ABS(F730)</f>
        <v>#DIV/0!</v>
      </c>
      <c r="F730">
        <v>0</v>
      </c>
      <c r="G730">
        <v>0</v>
      </c>
      <c r="H730">
        <v>0</v>
      </c>
      <c r="J730" s="5" t="e">
        <f>ABS(F730-G730)/ABS(F730)</f>
        <v>#DIV/0!</v>
      </c>
      <c r="K730" s="5" t="e">
        <f>ABS(G730-H730)/ABS(G730)</f>
        <v>#DIV/0!</v>
      </c>
    </row>
    <row r="731" spans="3:11" x14ac:dyDescent="0.2">
      <c r="C731" t="s">
        <v>2114</v>
      </c>
      <c r="D731" t="b">
        <f ca="1">IF(CELL("format",F731)="G",IF(ABS(F731-G731) &lt;= ABS(F731*B$3),TRUE,FALSE),IF(F731=G731,TRUE,FALSE))</f>
        <v>1</v>
      </c>
      <c r="E731" s="5">
        <f>ABS(F731-G731)/ABS(F731)</f>
        <v>0</v>
      </c>
      <c r="F731">
        <v>21.25</v>
      </c>
      <c r="G731">
        <v>21.25</v>
      </c>
      <c r="H731">
        <v>21.25</v>
      </c>
      <c r="J731" s="5">
        <f>ABS(F731-G731)/ABS(F731)</f>
        <v>0</v>
      </c>
      <c r="K731" s="5">
        <f>ABS(G731-H731)/ABS(G731)</f>
        <v>0</v>
      </c>
    </row>
    <row r="732" spans="3:11" x14ac:dyDescent="0.2">
      <c r="C732" t="s">
        <v>2115</v>
      </c>
      <c r="D732" t="b">
        <f ca="1">IF(CELL("format",F732)="G",IF(ABS(F732-G732) &lt;= ABS(F732*B$3),TRUE,FALSE),IF(F732=G732,TRUE,FALSE))</f>
        <v>1</v>
      </c>
      <c r="E732" s="5">
        <f>ABS(F732-G732)/ABS(F732)</f>
        <v>0</v>
      </c>
      <c r="F732">
        <v>64.75</v>
      </c>
      <c r="G732">
        <v>64.75</v>
      </c>
      <c r="H732">
        <v>64.75</v>
      </c>
      <c r="J732" s="5">
        <f>ABS(F732-G732)/ABS(F732)</f>
        <v>0</v>
      </c>
      <c r="K732" s="5">
        <f>ABS(G732-H732)/ABS(G732)</f>
        <v>0</v>
      </c>
    </row>
    <row r="733" spans="3:11" x14ac:dyDescent="0.2">
      <c r="C733" t="s">
        <v>2116</v>
      </c>
      <c r="D733" t="b">
        <f ca="1">IF(CELL("format",F733)="G",IF(ABS(F733-G733) &lt;= ABS(F733*B$3),TRUE,FALSE),IF(F733=G733,TRUE,FALSE))</f>
        <v>1</v>
      </c>
      <c r="E733" s="5">
        <f>ABS(F733-G733)/ABS(F733)</f>
        <v>0</v>
      </c>
      <c r="F733">
        <v>114.58</v>
      </c>
      <c r="G733">
        <v>114.58</v>
      </c>
      <c r="H733">
        <v>114.58</v>
      </c>
      <c r="J733" s="5">
        <f>ABS(F733-G733)/ABS(F733)</f>
        <v>0</v>
      </c>
      <c r="K733" s="5">
        <f>ABS(G733-H733)/ABS(G733)</f>
        <v>0</v>
      </c>
    </row>
    <row r="734" spans="3:11" x14ac:dyDescent="0.2">
      <c r="C734" t="s">
        <v>2117</v>
      </c>
      <c r="D734" t="b">
        <f ca="1">IF(CELL("format",F734)="G",IF(ABS(F734-G734) &lt;= ABS(F734*B$3),TRUE,FALSE),IF(F734=G734,TRUE,FALSE))</f>
        <v>1</v>
      </c>
      <c r="E734" s="5">
        <f>ABS(F734-G734)/ABS(F734)</f>
        <v>0</v>
      </c>
      <c r="F734">
        <v>160.25</v>
      </c>
      <c r="G734">
        <v>160.25</v>
      </c>
      <c r="H734">
        <v>160.25</v>
      </c>
      <c r="J734" s="5">
        <f>ABS(F734-G734)/ABS(F734)</f>
        <v>0</v>
      </c>
      <c r="K734" s="5">
        <f>ABS(G734-H734)/ABS(G734)</f>
        <v>0</v>
      </c>
    </row>
    <row r="735" spans="3:11" x14ac:dyDescent="0.2">
      <c r="C735" t="s">
        <v>2118</v>
      </c>
      <c r="D735" t="b">
        <f ca="1">IF(CELL("format",F735)="G",IF(ABS(F735-G735) &lt;= ABS(F735*B$3),TRUE,FALSE),IF(F735=G735,TRUE,FALSE))</f>
        <v>1</v>
      </c>
      <c r="E735" s="5">
        <f>ABS(F735-G735)/ABS(F735)</f>
        <v>0</v>
      </c>
      <c r="F735">
        <v>203.25</v>
      </c>
      <c r="G735">
        <v>203.25</v>
      </c>
      <c r="H735">
        <v>203.25</v>
      </c>
      <c r="J735" s="5">
        <f>ABS(F735-G735)/ABS(F735)</f>
        <v>0</v>
      </c>
      <c r="K735" s="5">
        <f>ABS(G735-H735)/ABS(G735)</f>
        <v>0</v>
      </c>
    </row>
    <row r="736" spans="3:11" x14ac:dyDescent="0.2">
      <c r="C736" t="s">
        <v>2119</v>
      </c>
      <c r="D736" t="b">
        <f ca="1">IF(CELL("format",F736)="G",IF(ABS(F736-G736) &lt;= ABS(F736*B$3),TRUE,FALSE),IF(F736=G736,TRUE,FALSE))</f>
        <v>1</v>
      </c>
      <c r="E736" s="5">
        <f>ABS(F736-G736)/ABS(F736)</f>
        <v>0</v>
      </c>
      <c r="F736">
        <v>259.83</v>
      </c>
      <c r="G736">
        <v>259.83</v>
      </c>
      <c r="H736">
        <v>259.83</v>
      </c>
      <c r="J736" s="5">
        <f>ABS(F736-G736)/ABS(F736)</f>
        <v>0</v>
      </c>
      <c r="K736" s="5">
        <f>ABS(G736-H736)/ABS(G736)</f>
        <v>0</v>
      </c>
    </row>
    <row r="737" spans="3:11" x14ac:dyDescent="0.2">
      <c r="C737" t="s">
        <v>2120</v>
      </c>
      <c r="D737" t="b">
        <f ca="1">IF(CELL("format",F737)="G",IF(ABS(F737-G737) &lt;= ABS(F737*B$3),TRUE,FALSE),IF(F737=G737,TRUE,FALSE))</f>
        <v>1</v>
      </c>
      <c r="E737" s="5">
        <f>ABS(F737-G737)/ABS(F737)</f>
        <v>0</v>
      </c>
      <c r="F737">
        <v>276.58</v>
      </c>
      <c r="G737">
        <v>276.58</v>
      </c>
      <c r="H737">
        <v>276.58</v>
      </c>
      <c r="J737" s="5">
        <f>ABS(F737-G737)/ABS(F737)</f>
        <v>0</v>
      </c>
      <c r="K737" s="5">
        <f>ABS(G737-H737)/ABS(G737)</f>
        <v>0</v>
      </c>
    </row>
    <row r="738" spans="3:11" x14ac:dyDescent="0.2">
      <c r="C738" t="s">
        <v>2121</v>
      </c>
      <c r="D738" t="b">
        <f ca="1">IF(CELL("format",F738)="G",IF(ABS(F738-G738) &lt;= ABS(F738*B$3),TRUE,FALSE),IF(F738=G738,TRUE,FALSE))</f>
        <v>1</v>
      </c>
      <c r="E738" s="5">
        <f>ABS(F738-G738)/ABS(F738)</f>
        <v>0</v>
      </c>
      <c r="F738">
        <v>274.08</v>
      </c>
      <c r="G738">
        <v>274.08</v>
      </c>
      <c r="H738">
        <v>274.08</v>
      </c>
      <c r="J738" s="5">
        <f>ABS(F738-G738)/ABS(F738)</f>
        <v>0</v>
      </c>
      <c r="K738" s="5">
        <f>ABS(G738-H738)/ABS(G738)</f>
        <v>0</v>
      </c>
    </row>
    <row r="739" spans="3:11" x14ac:dyDescent="0.2">
      <c r="C739" t="s">
        <v>2122</v>
      </c>
      <c r="D739" t="b">
        <f ca="1">IF(CELL("format",F739)="G",IF(ABS(F739-G739) &lt;= ABS(F739*B$3),TRUE,FALSE),IF(F739=G739,TRUE,FALSE))</f>
        <v>1</v>
      </c>
      <c r="E739" s="5">
        <f>ABS(F739-G739)/ABS(F739)</f>
        <v>0</v>
      </c>
      <c r="F739">
        <v>255.17</v>
      </c>
      <c r="G739">
        <v>255.17</v>
      </c>
      <c r="H739">
        <v>255.17</v>
      </c>
      <c r="J739" s="5">
        <f>ABS(F739-G739)/ABS(F739)</f>
        <v>0</v>
      </c>
      <c r="K739" s="5">
        <f>ABS(G739-H739)/ABS(G739)</f>
        <v>0</v>
      </c>
    </row>
    <row r="740" spans="3:11" x14ac:dyDescent="0.2">
      <c r="C740" t="s">
        <v>2123</v>
      </c>
      <c r="D740" t="b">
        <f ca="1">IF(CELL("format",F740)="G",IF(ABS(F740-G740) &lt;= ABS(F740*B$3),TRUE,FALSE),IF(F740=G740,TRUE,FALSE))</f>
        <v>1</v>
      </c>
      <c r="E740" s="5">
        <f>ABS(F740-G740)/ABS(F740)</f>
        <v>0</v>
      </c>
      <c r="F740">
        <v>222</v>
      </c>
      <c r="G740">
        <v>222</v>
      </c>
      <c r="H740">
        <v>222</v>
      </c>
      <c r="J740" s="5">
        <f>ABS(F740-G740)/ABS(F740)</f>
        <v>0</v>
      </c>
      <c r="K740" s="5">
        <f>ABS(G740-H740)/ABS(G740)</f>
        <v>0</v>
      </c>
    </row>
    <row r="741" spans="3:11" x14ac:dyDescent="0.2">
      <c r="C741" t="s">
        <v>2124</v>
      </c>
      <c r="D741" t="b">
        <f ca="1">IF(CELL("format",F741)="G",IF(ABS(F741-G741) &lt;= ABS(F741*B$3),TRUE,FALSE),IF(F741=G741,TRUE,FALSE))</f>
        <v>1</v>
      </c>
      <c r="E741" s="5">
        <f>ABS(F741-G741)/ABS(F741)</f>
        <v>0</v>
      </c>
      <c r="F741">
        <v>172</v>
      </c>
      <c r="G741">
        <v>172</v>
      </c>
      <c r="H741">
        <v>172</v>
      </c>
      <c r="J741" s="5">
        <f>ABS(F741-G741)/ABS(F741)</f>
        <v>0</v>
      </c>
      <c r="K741" s="5">
        <f>ABS(G741-H741)/ABS(G741)</f>
        <v>0</v>
      </c>
    </row>
    <row r="742" spans="3:11" x14ac:dyDescent="0.2">
      <c r="C742" t="s">
        <v>2125</v>
      </c>
      <c r="D742" t="b">
        <f ca="1">IF(CELL("format",F742)="G",IF(ABS(F742-G742) &lt;= ABS(F742*B$3),TRUE,FALSE),IF(F742=G742,TRUE,FALSE))</f>
        <v>1</v>
      </c>
      <c r="E742" s="5">
        <f>ABS(F742-G742)/ABS(F742)</f>
        <v>0</v>
      </c>
      <c r="F742">
        <v>101.92</v>
      </c>
      <c r="G742">
        <v>101.92</v>
      </c>
      <c r="H742">
        <v>101.92</v>
      </c>
      <c r="J742" s="5">
        <f>ABS(F742-G742)/ABS(F742)</f>
        <v>0</v>
      </c>
      <c r="K742" s="5">
        <f>ABS(G742-H742)/ABS(G742)</f>
        <v>0</v>
      </c>
    </row>
    <row r="743" spans="3:11" x14ac:dyDescent="0.2">
      <c r="C743" t="s">
        <v>2126</v>
      </c>
      <c r="D743" t="b">
        <f ca="1">IF(CELL("format",F743)="G",IF(ABS(F743-G743) &lt;= ABS(F743*B$3),TRUE,FALSE),IF(F743=G743,TRUE,FALSE))</f>
        <v>1</v>
      </c>
      <c r="E743" s="5">
        <f>ABS(F743-G743)/ABS(F743)</f>
        <v>0</v>
      </c>
      <c r="F743">
        <v>50.25</v>
      </c>
      <c r="G743">
        <v>50.25</v>
      </c>
      <c r="H743">
        <v>50.25</v>
      </c>
      <c r="J743" s="5">
        <f>ABS(F743-G743)/ABS(F743)</f>
        <v>0</v>
      </c>
      <c r="K743" s="5">
        <f>ABS(G743-H743)/ABS(G743)</f>
        <v>0</v>
      </c>
    </row>
    <row r="744" spans="3:11" x14ac:dyDescent="0.2">
      <c r="C744" t="s">
        <v>2127</v>
      </c>
      <c r="D744" t="b">
        <f ca="1">IF(CELL("format",F744)="G",IF(ABS(F744-G744) &lt;= ABS(F744*B$3),TRUE,FALSE),IF(F744=G744,TRUE,FALSE))</f>
        <v>1</v>
      </c>
      <c r="E744" s="5">
        <f>ABS(F744-G744)/ABS(F744)</f>
        <v>0</v>
      </c>
      <c r="F744">
        <v>10.53</v>
      </c>
      <c r="G744">
        <v>10.53</v>
      </c>
      <c r="H744">
        <v>10.53</v>
      </c>
      <c r="J744" s="5">
        <f>ABS(F744-G744)/ABS(F744)</f>
        <v>0</v>
      </c>
      <c r="K744" s="5">
        <f>ABS(G744-H744)/ABS(G744)</f>
        <v>0</v>
      </c>
    </row>
    <row r="745" spans="3:11" x14ac:dyDescent="0.2">
      <c r="C745" t="s">
        <v>2128</v>
      </c>
      <c r="D745" t="b">
        <f ca="1">IF(CELL("format",F745)="G",IF(ABS(F745-G745) &lt;= ABS(F745*B$3),TRUE,FALSE),IF(F745=G745,TRUE,FALSE))</f>
        <v>1</v>
      </c>
      <c r="E745" s="5" t="e">
        <f>ABS(F745-G745)/ABS(F745)</f>
        <v>#DIV/0!</v>
      </c>
      <c r="F745">
        <v>0</v>
      </c>
      <c r="G745">
        <v>0</v>
      </c>
      <c r="H745">
        <v>0</v>
      </c>
      <c r="J745" s="5" t="e">
        <f>ABS(F745-G745)/ABS(F745)</f>
        <v>#DIV/0!</v>
      </c>
      <c r="K745" s="5" t="e">
        <f>ABS(G745-H745)/ABS(G745)</f>
        <v>#DIV/0!</v>
      </c>
    </row>
    <row r="746" spans="3:11" x14ac:dyDescent="0.2">
      <c r="C746" t="s">
        <v>2129</v>
      </c>
      <c r="D746" t="b">
        <f ca="1">IF(CELL("format",F746)="G",IF(ABS(F746-G746) &lt;= ABS(F746*B$3),TRUE,FALSE),IF(F746=G746,TRUE,FALSE))</f>
        <v>1</v>
      </c>
      <c r="E746" s="5" t="e">
        <f>ABS(F746-G746)/ABS(F746)</f>
        <v>#DIV/0!</v>
      </c>
      <c r="F746">
        <v>0</v>
      </c>
      <c r="G746">
        <v>0</v>
      </c>
      <c r="H746">
        <v>0</v>
      </c>
      <c r="J746" s="5" t="e">
        <f>ABS(F746-G746)/ABS(F746)</f>
        <v>#DIV/0!</v>
      </c>
      <c r="K746" s="5" t="e">
        <f>ABS(G746-H746)/ABS(G746)</f>
        <v>#DIV/0!</v>
      </c>
    </row>
    <row r="747" spans="3:11" x14ac:dyDescent="0.2">
      <c r="C747" t="s">
        <v>2130</v>
      </c>
      <c r="D747" t="b">
        <f ca="1">IF(CELL("format",F747)="G",IF(ABS(F747-G747) &lt;= ABS(F747*B$3),TRUE,FALSE),IF(F747=G747,TRUE,FALSE))</f>
        <v>1</v>
      </c>
      <c r="E747" s="5" t="e">
        <f>ABS(F747-G747)/ABS(F747)</f>
        <v>#DIV/0!</v>
      </c>
      <c r="F747">
        <v>0</v>
      </c>
      <c r="G747">
        <v>0</v>
      </c>
      <c r="H747">
        <v>0</v>
      </c>
      <c r="J747" s="5" t="e">
        <f>ABS(F747-G747)/ABS(F747)</f>
        <v>#DIV/0!</v>
      </c>
      <c r="K747" s="5" t="e">
        <f>ABS(G747-H747)/ABS(G747)</f>
        <v>#DIV/0!</v>
      </c>
    </row>
    <row r="748" spans="3:11" x14ac:dyDescent="0.2">
      <c r="C748" t="s">
        <v>2131</v>
      </c>
      <c r="D748" t="b">
        <f ca="1">IF(CELL("format",F748)="G",IF(ABS(F748-G748) &lt;= ABS(F748*B$3),TRUE,FALSE),IF(F748=G748,TRUE,FALSE))</f>
        <v>1</v>
      </c>
      <c r="E748" s="5" t="e">
        <f>ABS(F748-G748)/ABS(F748)</f>
        <v>#DIV/0!</v>
      </c>
      <c r="F748">
        <v>0</v>
      </c>
      <c r="G748">
        <v>0</v>
      </c>
      <c r="H748">
        <v>0</v>
      </c>
      <c r="J748" s="5" t="e">
        <f>ABS(F748-G748)/ABS(F748)</f>
        <v>#DIV/0!</v>
      </c>
      <c r="K748" s="5" t="e">
        <f>ABS(G748-H748)/ABS(G748)</f>
        <v>#DIV/0!</v>
      </c>
    </row>
    <row r="749" spans="3:11" x14ac:dyDescent="0.2">
      <c r="C749" t="s">
        <v>2132</v>
      </c>
      <c r="D749" t="b">
        <f ca="1">IF(CELL("format",F749)="G",IF(ABS(F749-G749) &lt;= ABS(F749*B$3),TRUE,FALSE),IF(F749=G749,TRUE,FALSE))</f>
        <v>1</v>
      </c>
      <c r="E749" s="5" t="e">
        <f>ABS(F749-G749)/ABS(F749)</f>
        <v>#DIV/0!</v>
      </c>
      <c r="F749">
        <v>0</v>
      </c>
      <c r="G749">
        <v>0</v>
      </c>
      <c r="H749">
        <v>0</v>
      </c>
      <c r="J749" s="5" t="e">
        <f>ABS(F749-G749)/ABS(F749)</f>
        <v>#DIV/0!</v>
      </c>
      <c r="K749" s="5" t="e">
        <f>ABS(G749-H749)/ABS(G749)</f>
        <v>#DIV/0!</v>
      </c>
    </row>
    <row r="750" spans="3:11" x14ac:dyDescent="0.2">
      <c r="C750" t="s">
        <v>2133</v>
      </c>
      <c r="D750" t="b">
        <f ca="1">IF(CELL("format",F750)="G",IF(ABS(F750-G750) &lt;= ABS(F750*B$3),TRUE,FALSE),IF(F750=G750,TRUE,FALSE))</f>
        <v>1</v>
      </c>
      <c r="E750" s="5" t="e">
        <f>ABS(F750-G750)/ABS(F750)</f>
        <v>#DIV/0!</v>
      </c>
      <c r="F750">
        <v>0</v>
      </c>
      <c r="G750">
        <v>0</v>
      </c>
      <c r="H750">
        <v>0</v>
      </c>
      <c r="J750" s="5" t="e">
        <f>ABS(F750-G750)/ABS(F750)</f>
        <v>#DIV/0!</v>
      </c>
      <c r="K750" s="5" t="e">
        <f>ABS(G750-H750)/ABS(G750)</f>
        <v>#DIV/0!</v>
      </c>
    </row>
    <row r="751" spans="3:11" x14ac:dyDescent="0.2">
      <c r="C751" t="s">
        <v>2134</v>
      </c>
      <c r="D751" t="b">
        <f ca="1">IF(CELL("format",F751)="G",IF(ABS(F751-G751) &lt;= ABS(F751*B$3),TRUE,FALSE),IF(F751=G751,TRUE,FALSE))</f>
        <v>1</v>
      </c>
      <c r="E751" s="5" t="e">
        <f>ABS(F751-G751)/ABS(F751)</f>
        <v>#DIV/0!</v>
      </c>
      <c r="F751">
        <v>0</v>
      </c>
      <c r="G751">
        <v>0</v>
      </c>
      <c r="H751">
        <v>0</v>
      </c>
      <c r="J751" s="5" t="e">
        <f>ABS(F751-G751)/ABS(F751)</f>
        <v>#DIV/0!</v>
      </c>
      <c r="K751" s="5" t="e">
        <f>ABS(G751-H751)/ABS(G751)</f>
        <v>#DIV/0!</v>
      </c>
    </row>
    <row r="752" spans="3:11" x14ac:dyDescent="0.2">
      <c r="C752" t="s">
        <v>2135</v>
      </c>
      <c r="D752" t="b">
        <f ca="1">IF(CELL("format",F752)="G",IF(ABS(F752-G752) &lt;= ABS(F752*B$3),TRUE,FALSE),IF(F752=G752,TRUE,FALSE))</f>
        <v>1</v>
      </c>
      <c r="E752" s="5" t="e">
        <f>ABS(F752-G752)/ABS(F752)</f>
        <v>#DIV/0!</v>
      </c>
      <c r="F752">
        <v>0</v>
      </c>
      <c r="G752">
        <v>0</v>
      </c>
      <c r="H752">
        <v>0</v>
      </c>
      <c r="J752" s="5" t="e">
        <f>ABS(F752-G752)/ABS(F752)</f>
        <v>#DIV/0!</v>
      </c>
      <c r="K752" s="5" t="e">
        <f>ABS(G752-H752)/ABS(G752)</f>
        <v>#DIV/0!</v>
      </c>
    </row>
    <row r="753" spans="3:11" x14ac:dyDescent="0.2">
      <c r="C753" t="s">
        <v>2136</v>
      </c>
      <c r="D753" t="b">
        <f ca="1">IF(CELL("format",F753)="G",IF(ABS(F753-G753) &lt;= ABS(F753*B$3),TRUE,FALSE),IF(F753=G753,TRUE,FALSE))</f>
        <v>1</v>
      </c>
      <c r="E753" s="5" t="e">
        <f>ABS(F753-G753)/ABS(F753)</f>
        <v>#DIV/0!</v>
      </c>
      <c r="F753">
        <v>0</v>
      </c>
      <c r="G753">
        <v>0</v>
      </c>
      <c r="H753">
        <v>0</v>
      </c>
      <c r="J753" s="5" t="e">
        <f>ABS(F753-G753)/ABS(F753)</f>
        <v>#DIV/0!</v>
      </c>
      <c r="K753" s="5" t="e">
        <f>ABS(G753-H753)/ABS(G753)</f>
        <v>#DIV/0!</v>
      </c>
    </row>
    <row r="754" spans="3:11" x14ac:dyDescent="0.2">
      <c r="C754" t="s">
        <v>2137</v>
      </c>
      <c r="D754" t="b">
        <f ca="1">IF(CELL("format",F754)="G",IF(ABS(F754-G754) &lt;= ABS(F754*B$3),TRUE,FALSE),IF(F754=G754,TRUE,FALSE))</f>
        <v>1</v>
      </c>
      <c r="E754" s="5" t="e">
        <f>ABS(F754-G754)/ABS(F754)</f>
        <v>#DIV/0!</v>
      </c>
      <c r="F754">
        <v>0</v>
      </c>
      <c r="G754">
        <v>0</v>
      </c>
      <c r="H754">
        <v>0</v>
      </c>
      <c r="J754" s="5" t="e">
        <f>ABS(F754-G754)/ABS(F754)</f>
        <v>#DIV/0!</v>
      </c>
      <c r="K754" s="5" t="e">
        <f>ABS(G754-H754)/ABS(G754)</f>
        <v>#DIV/0!</v>
      </c>
    </row>
    <row r="755" spans="3:11" x14ac:dyDescent="0.2">
      <c r="C755" t="s">
        <v>2138</v>
      </c>
      <c r="D755" t="b">
        <f ca="1">IF(CELL("format",F755)="G",IF(ABS(F755-G755) &lt;= ABS(F755*B$3),TRUE,FALSE),IF(F755=G755,TRUE,FALSE))</f>
        <v>1</v>
      </c>
      <c r="E755" s="5">
        <f>ABS(F755-G755)/ABS(F755)</f>
        <v>0</v>
      </c>
      <c r="F755">
        <v>10.98</v>
      </c>
      <c r="G755">
        <v>10.98</v>
      </c>
      <c r="H755">
        <v>10.98</v>
      </c>
      <c r="J755" s="5">
        <f>ABS(F755-G755)/ABS(F755)</f>
        <v>0</v>
      </c>
      <c r="K755" s="5">
        <f>ABS(G755-H755)/ABS(G755)</f>
        <v>0</v>
      </c>
    </row>
    <row r="756" spans="3:11" x14ac:dyDescent="0.2">
      <c r="C756" t="s">
        <v>2139</v>
      </c>
      <c r="D756" t="b">
        <f ca="1">IF(CELL("format",F756)="G",IF(ABS(F756-G756) &lt;= ABS(F756*B$3),TRUE,FALSE),IF(F756=G756,TRUE,FALSE))</f>
        <v>1</v>
      </c>
      <c r="E756" s="5">
        <f>ABS(F756-G756)/ABS(F756)</f>
        <v>0</v>
      </c>
      <c r="F756">
        <v>33.82</v>
      </c>
      <c r="G756">
        <v>33.82</v>
      </c>
      <c r="H756">
        <v>33.82</v>
      </c>
      <c r="J756" s="5">
        <f>ABS(F756-G756)/ABS(F756)</f>
        <v>0</v>
      </c>
      <c r="K756" s="5">
        <f>ABS(G756-H756)/ABS(G756)</f>
        <v>0</v>
      </c>
    </row>
    <row r="757" spans="3:11" x14ac:dyDescent="0.2">
      <c r="C757" t="s">
        <v>2140</v>
      </c>
      <c r="D757" t="b">
        <f ca="1">IF(CELL("format",F757)="G",IF(ABS(F757-G757) &lt;= ABS(F757*B$3),TRUE,FALSE),IF(F757=G757,TRUE,FALSE))</f>
        <v>1</v>
      </c>
      <c r="E757" s="5">
        <f>ABS(F757-G757)/ABS(F757)</f>
        <v>0</v>
      </c>
      <c r="F757">
        <v>59.97</v>
      </c>
      <c r="G757">
        <v>59.97</v>
      </c>
      <c r="H757">
        <v>59.97</v>
      </c>
      <c r="J757" s="5">
        <f>ABS(F757-G757)/ABS(F757)</f>
        <v>0</v>
      </c>
      <c r="K757" s="5">
        <f>ABS(G757-H757)/ABS(G757)</f>
        <v>0</v>
      </c>
    </row>
    <row r="758" spans="3:11" x14ac:dyDescent="0.2">
      <c r="C758" t="s">
        <v>2141</v>
      </c>
      <c r="D758" t="b">
        <f ca="1">IF(CELL("format",F758)="G",IF(ABS(F758-G758) &lt;= ABS(F758*B$3),TRUE,FALSE),IF(F758=G758,TRUE,FALSE))</f>
        <v>1</v>
      </c>
      <c r="E758" s="5">
        <f>ABS(F758-G758)/ABS(F758)</f>
        <v>0</v>
      </c>
      <c r="F758">
        <v>84.39</v>
      </c>
      <c r="G758">
        <v>84.39</v>
      </c>
      <c r="H758">
        <v>84.39</v>
      </c>
      <c r="J758" s="5">
        <f>ABS(F758-G758)/ABS(F758)</f>
        <v>0</v>
      </c>
      <c r="K758" s="5">
        <f>ABS(G758-H758)/ABS(G758)</f>
        <v>0</v>
      </c>
    </row>
    <row r="759" spans="3:11" x14ac:dyDescent="0.2">
      <c r="C759" t="s">
        <v>2142</v>
      </c>
      <c r="D759" t="b">
        <f ca="1">IF(CELL("format",F759)="G",IF(ABS(F759-G759) &lt;= ABS(F759*B$3),TRUE,FALSE),IF(F759=G759,TRUE,FALSE))</f>
        <v>1</v>
      </c>
      <c r="E759" s="5">
        <f>ABS(F759-G759)/ABS(F759)</f>
        <v>0</v>
      </c>
      <c r="F759">
        <v>108.11</v>
      </c>
      <c r="G759">
        <v>108.11</v>
      </c>
      <c r="H759">
        <v>108.11</v>
      </c>
      <c r="J759" s="5">
        <f>ABS(F759-G759)/ABS(F759)</f>
        <v>0</v>
      </c>
      <c r="K759" s="5">
        <f>ABS(G759-H759)/ABS(G759)</f>
        <v>0</v>
      </c>
    </row>
    <row r="760" spans="3:11" x14ac:dyDescent="0.2">
      <c r="C760" t="s">
        <v>2143</v>
      </c>
      <c r="D760" t="b">
        <f ca="1">IF(CELL("format",F760)="G",IF(ABS(F760-G760) &lt;= ABS(F760*B$3),TRUE,FALSE),IF(F760=G760,TRUE,FALSE))</f>
        <v>1</v>
      </c>
      <c r="E760" s="5">
        <f>ABS(F760-G760)/ABS(F760)</f>
        <v>0</v>
      </c>
      <c r="F760">
        <v>139.61000000000001</v>
      </c>
      <c r="G760">
        <v>139.61000000000001</v>
      </c>
      <c r="H760">
        <v>139.61000000000001</v>
      </c>
      <c r="J760" s="5">
        <f>ABS(F760-G760)/ABS(F760)</f>
        <v>0</v>
      </c>
      <c r="K760" s="5">
        <f>ABS(G760-H760)/ABS(G760)</f>
        <v>0</v>
      </c>
    </row>
    <row r="761" spans="3:11" x14ac:dyDescent="0.2">
      <c r="C761" t="s">
        <v>2144</v>
      </c>
      <c r="D761" t="b">
        <f ca="1">IF(CELL("format",F761)="G",IF(ABS(F761-G761) &lt;= ABS(F761*B$3),TRUE,FALSE),IF(F761=G761,TRUE,FALSE))</f>
        <v>1</v>
      </c>
      <c r="E761" s="5">
        <f>ABS(F761-G761)/ABS(F761)</f>
        <v>0</v>
      </c>
      <c r="F761">
        <v>149.44</v>
      </c>
      <c r="G761">
        <v>149.44</v>
      </c>
      <c r="H761">
        <v>149.44</v>
      </c>
      <c r="J761" s="5">
        <f>ABS(F761-G761)/ABS(F761)</f>
        <v>0</v>
      </c>
      <c r="K761" s="5">
        <f>ABS(G761-H761)/ABS(G761)</f>
        <v>0</v>
      </c>
    </row>
    <row r="762" spans="3:11" x14ac:dyDescent="0.2">
      <c r="C762" t="s">
        <v>2145</v>
      </c>
      <c r="D762" t="b">
        <f ca="1">IF(CELL("format",F762)="G",IF(ABS(F762-G762) &lt;= ABS(F762*B$3),TRUE,FALSE),IF(F762=G762,TRUE,FALSE))</f>
        <v>1</v>
      </c>
      <c r="E762" s="5">
        <f>ABS(F762-G762)/ABS(F762)</f>
        <v>0</v>
      </c>
      <c r="F762">
        <v>147.91999999999999</v>
      </c>
      <c r="G762">
        <v>147.91999999999999</v>
      </c>
      <c r="H762">
        <v>147.91999999999999</v>
      </c>
      <c r="J762" s="5">
        <f>ABS(F762-G762)/ABS(F762)</f>
        <v>0</v>
      </c>
      <c r="K762" s="5">
        <f>ABS(G762-H762)/ABS(G762)</f>
        <v>0</v>
      </c>
    </row>
    <row r="763" spans="3:11" x14ac:dyDescent="0.2">
      <c r="C763" t="s">
        <v>2146</v>
      </c>
      <c r="D763" t="b">
        <f ca="1">IF(CELL("format",F763)="G",IF(ABS(F763-G763) &lt;= ABS(F763*B$3),TRUE,FALSE),IF(F763=G763,TRUE,FALSE))</f>
        <v>1</v>
      </c>
      <c r="E763" s="5">
        <f>ABS(F763-G763)/ABS(F763)</f>
        <v>0</v>
      </c>
      <c r="F763">
        <v>136.71</v>
      </c>
      <c r="G763">
        <v>136.71</v>
      </c>
      <c r="H763">
        <v>136.71</v>
      </c>
      <c r="J763" s="5">
        <f>ABS(F763-G763)/ABS(F763)</f>
        <v>0</v>
      </c>
      <c r="K763" s="5">
        <f>ABS(G763-H763)/ABS(G763)</f>
        <v>0</v>
      </c>
    </row>
    <row r="764" spans="3:11" x14ac:dyDescent="0.2">
      <c r="C764" t="s">
        <v>2147</v>
      </c>
      <c r="D764" t="b">
        <f ca="1">IF(CELL("format",F764)="G",IF(ABS(F764-G764) &lt;= ABS(F764*B$3),TRUE,FALSE),IF(F764=G764,TRUE,FALSE))</f>
        <v>1</v>
      </c>
      <c r="E764" s="5">
        <f>ABS(F764-G764)/ABS(F764)</f>
        <v>0</v>
      </c>
      <c r="F764">
        <v>117.61</v>
      </c>
      <c r="G764">
        <v>117.61</v>
      </c>
      <c r="H764">
        <v>117.61</v>
      </c>
      <c r="J764" s="5">
        <f>ABS(F764-G764)/ABS(F764)</f>
        <v>0</v>
      </c>
      <c r="K764" s="5">
        <f>ABS(G764-H764)/ABS(G764)</f>
        <v>0</v>
      </c>
    </row>
    <row r="765" spans="3:11" x14ac:dyDescent="0.2">
      <c r="C765" t="s">
        <v>2148</v>
      </c>
      <c r="D765" t="b">
        <f ca="1">IF(CELL("format",F765)="G",IF(ABS(F765-G765) &lt;= ABS(F765*B$3),TRUE,FALSE),IF(F765=G765,TRUE,FALSE))</f>
        <v>1</v>
      </c>
      <c r="E765" s="5">
        <f>ABS(F765-G765)/ABS(F765)</f>
        <v>0</v>
      </c>
      <c r="F765">
        <v>90</v>
      </c>
      <c r="G765">
        <v>90</v>
      </c>
      <c r="H765">
        <v>90</v>
      </c>
      <c r="J765" s="5">
        <f>ABS(F765-G765)/ABS(F765)</f>
        <v>0</v>
      </c>
      <c r="K765" s="5">
        <f>ABS(G765-H765)/ABS(G765)</f>
        <v>0</v>
      </c>
    </row>
    <row r="766" spans="3:11" x14ac:dyDescent="0.2">
      <c r="C766" t="s">
        <v>2149</v>
      </c>
      <c r="D766" t="b">
        <f ca="1">IF(CELL("format",F766)="G",IF(ABS(F766-G766) &lt;= ABS(F766*B$3),TRUE,FALSE),IF(F766=G766,TRUE,FALSE))</f>
        <v>1</v>
      </c>
      <c r="E766" s="5">
        <f>ABS(F766-G766)/ABS(F766)</f>
        <v>0</v>
      </c>
      <c r="F766">
        <v>53.26</v>
      </c>
      <c r="G766">
        <v>53.26</v>
      </c>
      <c r="H766">
        <v>53.26</v>
      </c>
      <c r="J766" s="5">
        <f>ABS(F766-G766)/ABS(F766)</f>
        <v>0</v>
      </c>
      <c r="K766" s="5">
        <f>ABS(G766-H766)/ABS(G766)</f>
        <v>0</v>
      </c>
    </row>
    <row r="767" spans="3:11" x14ac:dyDescent="0.2">
      <c r="C767" t="s">
        <v>2150</v>
      </c>
      <c r="D767" t="b">
        <f ca="1">IF(CELL("format",F767)="G",IF(ABS(F767-G767) &lt;= ABS(F767*B$3),TRUE,FALSE),IF(F767=G767,TRUE,FALSE))</f>
        <v>1</v>
      </c>
      <c r="E767" s="5">
        <f>ABS(F767-G767)/ABS(F767)</f>
        <v>0</v>
      </c>
      <c r="F767">
        <v>26.16</v>
      </c>
      <c r="G767">
        <v>26.16</v>
      </c>
      <c r="H767">
        <v>26.16</v>
      </c>
      <c r="J767" s="5">
        <f>ABS(F767-G767)/ABS(F767)</f>
        <v>0</v>
      </c>
      <c r="K767" s="5">
        <f>ABS(G767-H767)/ABS(G767)</f>
        <v>0</v>
      </c>
    </row>
    <row r="768" spans="3:11" x14ac:dyDescent="0.2">
      <c r="C768" t="s">
        <v>2151</v>
      </c>
      <c r="D768" t="b">
        <f ca="1">IF(CELL("format",F768)="G",IF(ABS(F768-G768) &lt;= ABS(F768*B$3),TRUE,FALSE),IF(F768=G768,TRUE,FALSE))</f>
        <v>1</v>
      </c>
      <c r="E768" s="5">
        <f>ABS(F768-G768)/ABS(F768)</f>
        <v>0</v>
      </c>
      <c r="F768">
        <v>5.43</v>
      </c>
      <c r="G768">
        <v>5.43</v>
      </c>
      <c r="H768">
        <v>5.43</v>
      </c>
      <c r="J768" s="5">
        <f>ABS(F768-G768)/ABS(F768)</f>
        <v>0</v>
      </c>
      <c r="K768" s="5">
        <f>ABS(G768-H768)/ABS(G768)</f>
        <v>0</v>
      </c>
    </row>
    <row r="769" spans="3:11" x14ac:dyDescent="0.2">
      <c r="C769" t="s">
        <v>2152</v>
      </c>
      <c r="D769" t="b">
        <f ca="1">IF(CELL("format",F769)="G",IF(ABS(F769-G769) &lt;= ABS(F769*B$3),TRUE,FALSE),IF(F769=G769,TRUE,FALSE))</f>
        <v>1</v>
      </c>
      <c r="E769" s="5" t="e">
        <f>ABS(F769-G769)/ABS(F769)</f>
        <v>#DIV/0!</v>
      </c>
      <c r="F769">
        <v>0</v>
      </c>
      <c r="G769">
        <v>0</v>
      </c>
      <c r="H769">
        <v>0</v>
      </c>
      <c r="J769" s="5" t="e">
        <f>ABS(F769-G769)/ABS(F769)</f>
        <v>#DIV/0!</v>
      </c>
      <c r="K769" s="5" t="e">
        <f>ABS(G769-H769)/ABS(G769)</f>
        <v>#DIV/0!</v>
      </c>
    </row>
    <row r="770" spans="3:11" x14ac:dyDescent="0.2">
      <c r="C770" t="s">
        <v>2153</v>
      </c>
      <c r="D770" t="b">
        <f ca="1">IF(CELL("format",F770)="G",IF(ABS(F770-G770) &lt;= ABS(F770*B$3),TRUE,FALSE),IF(F770=G770,TRUE,FALSE))</f>
        <v>1</v>
      </c>
      <c r="E770" s="5" t="e">
        <f>ABS(F770-G770)/ABS(F770)</f>
        <v>#DIV/0!</v>
      </c>
      <c r="F770">
        <v>0</v>
      </c>
      <c r="G770">
        <v>0</v>
      </c>
      <c r="H770">
        <v>0</v>
      </c>
      <c r="J770" s="5" t="e">
        <f>ABS(F770-G770)/ABS(F770)</f>
        <v>#DIV/0!</v>
      </c>
      <c r="K770" s="5" t="e">
        <f>ABS(G770-H770)/ABS(G770)</f>
        <v>#DIV/0!</v>
      </c>
    </row>
    <row r="771" spans="3:11" x14ac:dyDescent="0.2">
      <c r="C771" t="s">
        <v>2154</v>
      </c>
      <c r="D771" t="b">
        <f ca="1">IF(CELL("format",F771)="G",IF(ABS(F771-G771) &lt;= ABS(F771*B$3),TRUE,FALSE),IF(F771=G771,TRUE,FALSE))</f>
        <v>1</v>
      </c>
      <c r="E771" s="5" t="e">
        <f>ABS(F771-G771)/ABS(F771)</f>
        <v>#DIV/0!</v>
      </c>
      <c r="F771">
        <v>0</v>
      </c>
      <c r="G771">
        <v>0</v>
      </c>
      <c r="H771">
        <v>0</v>
      </c>
      <c r="J771" s="5" t="e">
        <f>ABS(F771-G771)/ABS(F771)</f>
        <v>#DIV/0!</v>
      </c>
      <c r="K771" s="5" t="e">
        <f>ABS(G771-H771)/ABS(G771)</f>
        <v>#DIV/0!</v>
      </c>
    </row>
    <row r="772" spans="3:11" x14ac:dyDescent="0.2">
      <c r="C772" t="s">
        <v>2155</v>
      </c>
      <c r="D772" t="b">
        <f ca="1">IF(CELL("format",F772)="G",IF(ABS(F772-G772) &lt;= ABS(F772*B$3),TRUE,FALSE),IF(F772=G772,TRUE,FALSE))</f>
        <v>1</v>
      </c>
      <c r="E772" s="5" t="e">
        <f>ABS(F772-G772)/ABS(F772)</f>
        <v>#DIV/0!</v>
      </c>
      <c r="F772">
        <v>0</v>
      </c>
      <c r="G772">
        <v>0</v>
      </c>
      <c r="H772">
        <v>0</v>
      </c>
      <c r="J772" s="5" t="e">
        <f>ABS(F772-G772)/ABS(F772)</f>
        <v>#DIV/0!</v>
      </c>
      <c r="K772" s="5" t="e">
        <f>ABS(G772-H772)/ABS(G772)</f>
        <v>#DIV/0!</v>
      </c>
    </row>
    <row r="773" spans="3:11" x14ac:dyDescent="0.2">
      <c r="C773" t="s">
        <v>2156</v>
      </c>
      <c r="D773" t="b">
        <f ca="1">IF(CELL("format",F773)="G",IF(ABS(F773-G773) &lt;= ABS(F773*B$3),TRUE,FALSE),IF(F773=G773,TRUE,FALSE))</f>
        <v>1</v>
      </c>
      <c r="E773" s="5" t="e">
        <f>ABS(F773-G773)/ABS(F773)</f>
        <v>#DIV/0!</v>
      </c>
      <c r="F773">
        <v>0</v>
      </c>
      <c r="G773">
        <v>0</v>
      </c>
      <c r="H773">
        <v>0</v>
      </c>
      <c r="J773" s="5" t="e">
        <f>ABS(F773-G773)/ABS(F773)</f>
        <v>#DIV/0!</v>
      </c>
      <c r="K773" s="5" t="e">
        <f>ABS(G773-H773)/ABS(G773)</f>
        <v>#DIV/0!</v>
      </c>
    </row>
    <row r="774" spans="3:11" x14ac:dyDescent="0.2">
      <c r="C774" t="s">
        <v>2157</v>
      </c>
      <c r="D774" t="b">
        <f ca="1">IF(CELL("format",F774)="G",IF(ABS(F774-G774) &lt;= ABS(F774*B$3),TRUE,FALSE),IF(F774=G774,TRUE,FALSE))</f>
        <v>1</v>
      </c>
      <c r="E774" s="5" t="e">
        <f>ABS(F774-G774)/ABS(F774)</f>
        <v>#DIV/0!</v>
      </c>
      <c r="F774">
        <v>0</v>
      </c>
      <c r="G774">
        <v>0</v>
      </c>
      <c r="H774">
        <v>0</v>
      </c>
      <c r="J774" s="5" t="e">
        <f>ABS(F774-G774)/ABS(F774)</f>
        <v>#DIV/0!</v>
      </c>
      <c r="K774" s="5" t="e">
        <f>ABS(G774-H774)/ABS(G774)</f>
        <v>#DIV/0!</v>
      </c>
    </row>
    <row r="775" spans="3:11" x14ac:dyDescent="0.2">
      <c r="C775" t="s">
        <v>2158</v>
      </c>
      <c r="D775" t="b">
        <f ca="1">IF(CELL("format",F775)="G",IF(ABS(F775-G775) &lt;= ABS(F775*B$3),TRUE,FALSE),IF(F775=G775,TRUE,FALSE))</f>
        <v>1</v>
      </c>
      <c r="E775" s="5" t="e">
        <f>ABS(F775-G775)/ABS(F775)</f>
        <v>#DIV/0!</v>
      </c>
      <c r="F775">
        <v>0</v>
      </c>
      <c r="G775">
        <v>0</v>
      </c>
      <c r="H775">
        <v>0</v>
      </c>
      <c r="J775" s="5" t="e">
        <f>ABS(F775-G775)/ABS(F775)</f>
        <v>#DIV/0!</v>
      </c>
      <c r="K775" s="5" t="e">
        <f>ABS(G775-H775)/ABS(G775)</f>
        <v>#DIV/0!</v>
      </c>
    </row>
    <row r="776" spans="3:11" x14ac:dyDescent="0.2">
      <c r="C776" t="s">
        <v>2159</v>
      </c>
      <c r="D776" t="b">
        <f ca="1">IF(CELL("format",F776)="G",IF(ABS(F776-G776) &lt;= ABS(F776*B$3),TRUE,FALSE),IF(F776=G776,TRUE,FALSE))</f>
        <v>1</v>
      </c>
      <c r="E776" s="5" t="e">
        <f>ABS(F776-G776)/ABS(F776)</f>
        <v>#DIV/0!</v>
      </c>
      <c r="F776">
        <v>0</v>
      </c>
      <c r="G776">
        <v>0</v>
      </c>
      <c r="H776">
        <v>0</v>
      </c>
      <c r="J776" s="5" t="e">
        <f>ABS(F776-G776)/ABS(F776)</f>
        <v>#DIV/0!</v>
      </c>
      <c r="K776" s="5" t="e">
        <f>ABS(G776-H776)/ABS(G776)</f>
        <v>#DIV/0!</v>
      </c>
    </row>
    <row r="777" spans="3:11" x14ac:dyDescent="0.2">
      <c r="C777" t="s">
        <v>2160</v>
      </c>
      <c r="D777" t="b">
        <f ca="1">IF(CELL("format",F777)="G",IF(ABS(F777-G777) &lt;= ABS(F777*B$3),TRUE,FALSE),IF(F777=G777,TRUE,FALSE))</f>
        <v>1</v>
      </c>
      <c r="E777" s="5" t="e">
        <f>ABS(F777-G777)/ABS(F777)</f>
        <v>#DIV/0!</v>
      </c>
      <c r="F777">
        <v>0</v>
      </c>
      <c r="G777">
        <v>0</v>
      </c>
      <c r="H777">
        <v>0</v>
      </c>
      <c r="J777" s="5" t="e">
        <f>ABS(F777-G777)/ABS(F777)</f>
        <v>#DIV/0!</v>
      </c>
      <c r="K777" s="5" t="e">
        <f>ABS(G777-H777)/ABS(G777)</f>
        <v>#DIV/0!</v>
      </c>
    </row>
    <row r="778" spans="3:11" x14ac:dyDescent="0.2">
      <c r="C778" t="s">
        <v>2161</v>
      </c>
      <c r="D778" t="b">
        <f ca="1">IF(CELL("format",F778)="G",IF(ABS(F778-G778) &lt;= ABS(F778*B$3),TRUE,FALSE),IF(F778=G778,TRUE,FALSE))</f>
        <v>1</v>
      </c>
      <c r="E778" s="5" t="e">
        <f>ABS(F778-G778)/ABS(F778)</f>
        <v>#DIV/0!</v>
      </c>
      <c r="F778">
        <v>0</v>
      </c>
      <c r="G778">
        <v>0</v>
      </c>
      <c r="H778">
        <v>0</v>
      </c>
      <c r="J778" s="5" t="e">
        <f>ABS(F778-G778)/ABS(F778)</f>
        <v>#DIV/0!</v>
      </c>
      <c r="K778" s="5" t="e">
        <f>ABS(G778-H778)/ABS(G778)</f>
        <v>#DIV/0!</v>
      </c>
    </row>
    <row r="779" spans="3:11" x14ac:dyDescent="0.2">
      <c r="C779" t="s">
        <v>2162</v>
      </c>
      <c r="D779" t="b">
        <f ca="1">IF(CELL("format",F779)="G",IF(ABS(F779-G779) &lt;= ABS(F779*B$3),TRUE,FALSE),IF(F779=G779,TRUE,FALSE))</f>
        <v>1</v>
      </c>
      <c r="E779" s="5">
        <f>ABS(F779-G779)/ABS(F779)</f>
        <v>0</v>
      </c>
      <c r="F779">
        <v>10.98</v>
      </c>
      <c r="G779">
        <v>10.98</v>
      </c>
      <c r="H779">
        <v>10.98</v>
      </c>
      <c r="J779" s="5">
        <f>ABS(F779-G779)/ABS(F779)</f>
        <v>0</v>
      </c>
      <c r="K779" s="5">
        <f>ABS(G779-H779)/ABS(G779)</f>
        <v>0</v>
      </c>
    </row>
    <row r="780" spans="3:11" x14ac:dyDescent="0.2">
      <c r="C780" t="s">
        <v>2163</v>
      </c>
      <c r="D780" t="b">
        <f ca="1">IF(CELL("format",F780)="G",IF(ABS(F780-G780) &lt;= ABS(F780*B$3),TRUE,FALSE),IF(F780=G780,TRUE,FALSE))</f>
        <v>1</v>
      </c>
      <c r="E780" s="5">
        <f>ABS(F780-G780)/ABS(F780)</f>
        <v>0</v>
      </c>
      <c r="F780">
        <v>33.82</v>
      </c>
      <c r="G780">
        <v>33.82</v>
      </c>
      <c r="H780">
        <v>33.82</v>
      </c>
      <c r="J780" s="5">
        <f>ABS(F780-G780)/ABS(F780)</f>
        <v>0</v>
      </c>
      <c r="K780" s="5">
        <f>ABS(G780-H780)/ABS(G780)</f>
        <v>0</v>
      </c>
    </row>
    <row r="781" spans="3:11" x14ac:dyDescent="0.2">
      <c r="C781" t="s">
        <v>2164</v>
      </c>
      <c r="D781" t="b">
        <f ca="1">IF(CELL("format",F781)="G",IF(ABS(F781-G781) &lt;= ABS(F781*B$3),TRUE,FALSE),IF(F781=G781,TRUE,FALSE))</f>
        <v>1</v>
      </c>
      <c r="E781" s="5">
        <f>ABS(F781-G781)/ABS(F781)</f>
        <v>0</v>
      </c>
      <c r="F781">
        <v>59.78</v>
      </c>
      <c r="G781">
        <v>59.78</v>
      </c>
      <c r="H781">
        <v>59.78</v>
      </c>
      <c r="J781" s="5">
        <f>ABS(F781-G781)/ABS(F781)</f>
        <v>0</v>
      </c>
      <c r="K781" s="5">
        <f>ABS(G781-H781)/ABS(G781)</f>
        <v>0</v>
      </c>
    </row>
    <row r="782" spans="3:11" x14ac:dyDescent="0.2">
      <c r="C782" t="s">
        <v>2165</v>
      </c>
      <c r="D782" t="b">
        <f ca="1">IF(CELL("format",F782)="G",IF(ABS(F782-G782) &lt;= ABS(F782*B$3),TRUE,FALSE),IF(F782=G782,TRUE,FALSE))</f>
        <v>1</v>
      </c>
      <c r="E782" s="5">
        <f>ABS(F782-G782)/ABS(F782)</f>
        <v>0</v>
      </c>
      <c r="F782">
        <v>83.07</v>
      </c>
      <c r="G782">
        <v>83.07</v>
      </c>
      <c r="H782">
        <v>83.07</v>
      </c>
      <c r="J782" s="5">
        <f>ABS(F782-G782)/ABS(F782)</f>
        <v>0</v>
      </c>
      <c r="K782" s="5">
        <f>ABS(G782-H782)/ABS(G782)</f>
        <v>0</v>
      </c>
    </row>
    <row r="783" spans="3:11" x14ac:dyDescent="0.2">
      <c r="C783" t="s">
        <v>2166</v>
      </c>
      <c r="D783" t="b">
        <f ca="1">IF(CELL("format",F783)="G",IF(ABS(F783-G783) &lt;= ABS(F783*B$3),TRUE,FALSE),IF(F783=G783,TRUE,FALSE))</f>
        <v>1</v>
      </c>
      <c r="E783" s="5">
        <f>ABS(F783-G783)/ABS(F783)</f>
        <v>0</v>
      </c>
      <c r="F783">
        <v>104.63</v>
      </c>
      <c r="G783">
        <v>104.63</v>
      </c>
      <c r="H783">
        <v>104.63</v>
      </c>
      <c r="J783" s="5">
        <f>ABS(F783-G783)/ABS(F783)</f>
        <v>0</v>
      </c>
      <c r="K783" s="5">
        <f>ABS(G783-H783)/ABS(G783)</f>
        <v>0</v>
      </c>
    </row>
    <row r="784" spans="3:11" x14ac:dyDescent="0.2">
      <c r="C784" t="s">
        <v>2167</v>
      </c>
      <c r="D784" t="b">
        <f ca="1">IF(CELL("format",F784)="G",IF(ABS(F784-G784) &lt;= ABS(F784*B$3),TRUE,FALSE),IF(F784=G784,TRUE,FALSE))</f>
        <v>1</v>
      </c>
      <c r="E784" s="5">
        <f>ABS(F784-G784)/ABS(F784)</f>
        <v>0</v>
      </c>
      <c r="F784">
        <v>132.04</v>
      </c>
      <c r="G784">
        <v>132.04</v>
      </c>
      <c r="H784">
        <v>132.04</v>
      </c>
      <c r="J784" s="5">
        <f>ABS(F784-G784)/ABS(F784)</f>
        <v>0</v>
      </c>
      <c r="K784" s="5">
        <f>ABS(G784-H784)/ABS(G784)</f>
        <v>0</v>
      </c>
    </row>
    <row r="785" spans="3:11" x14ac:dyDescent="0.2">
      <c r="C785" t="s">
        <v>2168</v>
      </c>
      <c r="D785" t="b">
        <f ca="1">IF(CELL("format",F785)="G",IF(ABS(F785-G785) &lt;= ABS(F785*B$3),TRUE,FALSE),IF(F785=G785,TRUE,FALSE))</f>
        <v>1</v>
      </c>
      <c r="E785" s="5">
        <f>ABS(F785-G785)/ABS(F785)</f>
        <v>0</v>
      </c>
      <c r="F785">
        <v>140.24</v>
      </c>
      <c r="G785">
        <v>140.24</v>
      </c>
      <c r="H785">
        <v>140.24</v>
      </c>
      <c r="J785" s="5">
        <f>ABS(F785-G785)/ABS(F785)</f>
        <v>0</v>
      </c>
      <c r="K785" s="5">
        <f>ABS(G785-H785)/ABS(G785)</f>
        <v>0</v>
      </c>
    </row>
    <row r="786" spans="3:11" x14ac:dyDescent="0.2">
      <c r="C786" t="s">
        <v>2169</v>
      </c>
      <c r="D786" t="b">
        <f ca="1">IF(CELL("format",F786)="G",IF(ABS(F786-G786) &lt;= ABS(F786*B$3),TRUE,FALSE),IF(F786=G786,TRUE,FALSE))</f>
        <v>1</v>
      </c>
      <c r="E786" s="5">
        <f>ABS(F786-G786)/ABS(F786)</f>
        <v>0</v>
      </c>
      <c r="F786">
        <v>142.63</v>
      </c>
      <c r="G786">
        <v>142.63</v>
      </c>
      <c r="H786">
        <v>142.63</v>
      </c>
      <c r="J786" s="5">
        <f>ABS(F786-G786)/ABS(F786)</f>
        <v>0</v>
      </c>
      <c r="K786" s="5">
        <f>ABS(G786-H786)/ABS(G786)</f>
        <v>0</v>
      </c>
    </row>
    <row r="787" spans="3:11" x14ac:dyDescent="0.2">
      <c r="C787" t="s">
        <v>2170</v>
      </c>
      <c r="D787" t="b">
        <f ca="1">IF(CELL("format",F787)="G",IF(ABS(F787-G787) &lt;= ABS(F787*B$3),TRUE,FALSE),IF(F787=G787,TRUE,FALSE))</f>
        <v>1</v>
      </c>
      <c r="E787" s="5">
        <f>ABS(F787-G787)/ABS(F787)</f>
        <v>0</v>
      </c>
      <c r="F787">
        <v>137.72999999999999</v>
      </c>
      <c r="G787">
        <v>137.72999999999999</v>
      </c>
      <c r="H787">
        <v>137.72999999999999</v>
      </c>
      <c r="J787" s="5">
        <f>ABS(F787-G787)/ABS(F787)</f>
        <v>0</v>
      </c>
      <c r="K787" s="5">
        <f>ABS(G787-H787)/ABS(G787)</f>
        <v>0</v>
      </c>
    </row>
    <row r="788" spans="3:11" x14ac:dyDescent="0.2">
      <c r="C788" t="s">
        <v>2171</v>
      </c>
      <c r="D788" t="b">
        <f ca="1">IF(CELL("format",F788)="G",IF(ABS(F788-G788) &lt;= ABS(F788*B$3),TRUE,FALSE),IF(F788=G788,TRUE,FALSE))</f>
        <v>1</v>
      </c>
      <c r="E788" s="5">
        <f>ABS(F788-G788)/ABS(F788)</f>
        <v>0</v>
      </c>
      <c r="F788">
        <v>123.31</v>
      </c>
      <c r="G788">
        <v>123.31</v>
      </c>
      <c r="H788">
        <v>123.31</v>
      </c>
      <c r="J788" s="5">
        <f>ABS(F788-G788)/ABS(F788)</f>
        <v>0</v>
      </c>
      <c r="K788" s="5">
        <f>ABS(G788-H788)/ABS(G788)</f>
        <v>0</v>
      </c>
    </row>
    <row r="789" spans="3:11" x14ac:dyDescent="0.2">
      <c r="C789" t="s">
        <v>2172</v>
      </c>
      <c r="D789" t="b">
        <f ca="1">IF(CELL("format",F789)="G",IF(ABS(F789-G789) &lt;= ABS(F789*B$3),TRUE,FALSE),IF(F789=G789,TRUE,FALSE))</f>
        <v>1</v>
      </c>
      <c r="E789" s="5">
        <f>ABS(F789-G789)/ABS(F789)</f>
        <v>0</v>
      </c>
      <c r="F789">
        <v>96.87</v>
      </c>
      <c r="G789">
        <v>96.87</v>
      </c>
      <c r="H789">
        <v>96.87</v>
      </c>
      <c r="J789" s="5">
        <f>ABS(F789-G789)/ABS(F789)</f>
        <v>0</v>
      </c>
      <c r="K789" s="5">
        <f>ABS(G789-H789)/ABS(G789)</f>
        <v>0</v>
      </c>
    </row>
    <row r="790" spans="3:11" x14ac:dyDescent="0.2">
      <c r="C790" t="s">
        <v>2173</v>
      </c>
      <c r="D790" t="b">
        <f ca="1">IF(CELL("format",F790)="G",IF(ABS(F790-G790) &lt;= ABS(F790*B$3),TRUE,FALSE),IF(F790=G790,TRUE,FALSE))</f>
        <v>1</v>
      </c>
      <c r="E790" s="5">
        <f>ABS(F790-G790)/ABS(F790)</f>
        <v>0</v>
      </c>
      <c r="F790">
        <v>54.93</v>
      </c>
      <c r="G790">
        <v>54.93</v>
      </c>
      <c r="H790">
        <v>54.93</v>
      </c>
      <c r="J790" s="5">
        <f>ABS(F790-G790)/ABS(F790)</f>
        <v>0</v>
      </c>
      <c r="K790" s="5">
        <f>ABS(G790-H790)/ABS(G790)</f>
        <v>0</v>
      </c>
    </row>
    <row r="791" spans="3:11" x14ac:dyDescent="0.2">
      <c r="C791" t="s">
        <v>2174</v>
      </c>
      <c r="D791" t="b">
        <f ca="1">IF(CELL("format",F791)="G",IF(ABS(F791-G791) &lt;= ABS(F791*B$3),TRUE,FALSE),IF(F791=G791,TRUE,FALSE))</f>
        <v>1</v>
      </c>
      <c r="E791" s="5">
        <f>ABS(F791-G791)/ABS(F791)</f>
        <v>0</v>
      </c>
      <c r="F791">
        <v>26.16</v>
      </c>
      <c r="G791">
        <v>26.16</v>
      </c>
      <c r="H791">
        <v>26.16</v>
      </c>
      <c r="J791" s="5">
        <f>ABS(F791-G791)/ABS(F791)</f>
        <v>0</v>
      </c>
      <c r="K791" s="5">
        <f>ABS(G791-H791)/ABS(G791)</f>
        <v>0</v>
      </c>
    </row>
    <row r="792" spans="3:11" x14ac:dyDescent="0.2">
      <c r="C792" t="s">
        <v>2175</v>
      </c>
      <c r="D792" t="b">
        <f ca="1">IF(CELL("format",F792)="G",IF(ABS(F792-G792) &lt;= ABS(F792*B$3),TRUE,FALSE),IF(F792=G792,TRUE,FALSE))</f>
        <v>1</v>
      </c>
      <c r="E792" s="5">
        <f>ABS(F792-G792)/ABS(F792)</f>
        <v>0</v>
      </c>
      <c r="F792">
        <v>5.43</v>
      </c>
      <c r="G792">
        <v>5.43</v>
      </c>
      <c r="H792">
        <v>5.43</v>
      </c>
      <c r="J792" s="5">
        <f>ABS(F792-G792)/ABS(F792)</f>
        <v>0</v>
      </c>
      <c r="K792" s="5">
        <f>ABS(G792-H792)/ABS(G792)</f>
        <v>0</v>
      </c>
    </row>
    <row r="793" spans="3:11" x14ac:dyDescent="0.2">
      <c r="C793" t="s">
        <v>2176</v>
      </c>
      <c r="D793" t="b">
        <f ca="1">IF(CELL("format",F793)="G",IF(ABS(F793-G793) &lt;= ABS(F793*B$3),TRUE,FALSE),IF(F793=G793,TRUE,FALSE))</f>
        <v>1</v>
      </c>
      <c r="E793" s="5" t="e">
        <f>ABS(F793-G793)/ABS(F793)</f>
        <v>#DIV/0!</v>
      </c>
      <c r="F793">
        <v>0</v>
      </c>
      <c r="G793">
        <v>0</v>
      </c>
      <c r="H793">
        <v>0</v>
      </c>
      <c r="J793" s="5" t="e">
        <f>ABS(F793-G793)/ABS(F793)</f>
        <v>#DIV/0!</v>
      </c>
      <c r="K793" s="5" t="e">
        <f>ABS(G793-H793)/ABS(G793)</f>
        <v>#DIV/0!</v>
      </c>
    </row>
    <row r="794" spans="3:11" x14ac:dyDescent="0.2">
      <c r="C794" t="s">
        <v>2177</v>
      </c>
      <c r="D794" t="b">
        <f ca="1">IF(CELL("format",F794)="G",IF(ABS(F794-G794) &lt;= ABS(F794*B$3),TRUE,FALSE),IF(F794=G794,TRUE,FALSE))</f>
        <v>1</v>
      </c>
      <c r="E794" s="5" t="e">
        <f>ABS(F794-G794)/ABS(F794)</f>
        <v>#DIV/0!</v>
      </c>
      <c r="F794">
        <v>0</v>
      </c>
      <c r="G794">
        <v>0</v>
      </c>
      <c r="H794">
        <v>0</v>
      </c>
      <c r="J794" s="5" t="e">
        <f>ABS(F794-G794)/ABS(F794)</f>
        <v>#DIV/0!</v>
      </c>
      <c r="K794" s="5" t="e">
        <f>ABS(G794-H794)/ABS(G794)</f>
        <v>#DIV/0!</v>
      </c>
    </row>
    <row r="795" spans="3:11" x14ac:dyDescent="0.2">
      <c r="C795" t="s">
        <v>2178</v>
      </c>
      <c r="D795" t="b">
        <f ca="1">IF(CELL("format",F795)="G",IF(ABS(F795-G795) &lt;= ABS(F795*B$3),TRUE,FALSE),IF(F795=G795,TRUE,FALSE))</f>
        <v>1</v>
      </c>
      <c r="E795" s="5" t="e">
        <f>ABS(F795-G795)/ABS(F795)</f>
        <v>#DIV/0!</v>
      </c>
      <c r="F795">
        <v>0</v>
      </c>
      <c r="G795">
        <v>0</v>
      </c>
      <c r="H795">
        <v>0</v>
      </c>
      <c r="J795" s="5" t="e">
        <f>ABS(F795-G795)/ABS(F795)</f>
        <v>#DIV/0!</v>
      </c>
      <c r="K795" s="5" t="e">
        <f>ABS(G795-H795)/ABS(G795)</f>
        <v>#DIV/0!</v>
      </c>
    </row>
    <row r="796" spans="3:11" x14ac:dyDescent="0.2">
      <c r="C796" t="s">
        <v>2179</v>
      </c>
      <c r="D796" t="b">
        <f ca="1">IF(CELL("format",F796)="G",IF(ABS(F796-G796) &lt;= ABS(F796*B$3),TRUE,FALSE),IF(F796=G796,TRUE,FALSE))</f>
        <v>1</v>
      </c>
      <c r="E796" s="5" t="e">
        <f>ABS(F796-G796)/ABS(F796)</f>
        <v>#DIV/0!</v>
      </c>
      <c r="F796">
        <v>0</v>
      </c>
      <c r="G796">
        <v>0</v>
      </c>
      <c r="H796">
        <v>0</v>
      </c>
      <c r="J796" s="5" t="e">
        <f>ABS(F796-G796)/ABS(F796)</f>
        <v>#DIV/0!</v>
      </c>
      <c r="K796" s="5" t="e">
        <f>ABS(G796-H796)/ABS(G796)</f>
        <v>#DIV/0!</v>
      </c>
    </row>
    <row r="797" spans="3:11" x14ac:dyDescent="0.2">
      <c r="C797" t="s">
        <v>2180</v>
      </c>
      <c r="D797" t="b">
        <f ca="1">IF(CELL("format",F797)="G",IF(ABS(F797-G797) &lt;= ABS(F797*B$3),TRUE,FALSE),IF(F797=G797,TRUE,FALSE))</f>
        <v>1</v>
      </c>
      <c r="E797" s="5" t="e">
        <f>ABS(F797-G797)/ABS(F797)</f>
        <v>#DIV/0!</v>
      </c>
      <c r="F797">
        <v>0</v>
      </c>
      <c r="G797">
        <v>0</v>
      </c>
      <c r="H797">
        <v>0</v>
      </c>
      <c r="J797" s="5" t="e">
        <f>ABS(F797-G797)/ABS(F797)</f>
        <v>#DIV/0!</v>
      </c>
      <c r="K797" s="5" t="e">
        <f>ABS(G797-H797)/ABS(G797)</f>
        <v>#DIV/0!</v>
      </c>
    </row>
    <row r="798" spans="3:11" x14ac:dyDescent="0.2">
      <c r="C798" t="s">
        <v>2181</v>
      </c>
      <c r="D798" t="b">
        <f ca="1">IF(CELL("format",F798)="G",IF(ABS(F798-G798) &lt;= ABS(F798*B$3),TRUE,FALSE),IF(F798=G798,TRUE,FALSE))</f>
        <v>1</v>
      </c>
      <c r="E798" s="5" t="e">
        <f>ABS(F798-G798)/ABS(F798)</f>
        <v>#DIV/0!</v>
      </c>
      <c r="F798">
        <v>0</v>
      </c>
      <c r="G798">
        <v>0</v>
      </c>
      <c r="H798">
        <v>0</v>
      </c>
      <c r="J798" s="5" t="e">
        <f>ABS(F798-G798)/ABS(F798)</f>
        <v>#DIV/0!</v>
      </c>
      <c r="K798" s="5" t="e">
        <f>ABS(G798-H798)/ABS(G798)</f>
        <v>#DIV/0!</v>
      </c>
    </row>
    <row r="799" spans="3:11" x14ac:dyDescent="0.2">
      <c r="C799" t="s">
        <v>2182</v>
      </c>
      <c r="D799" t="b">
        <f ca="1">IF(CELL("format",F799)="G",IF(ABS(F799-G799) &lt;= ABS(F799*B$3),TRUE,FALSE),IF(F799=G799,TRUE,FALSE))</f>
        <v>1</v>
      </c>
      <c r="E799" s="5" t="e">
        <f>ABS(F799-G799)/ABS(F799)</f>
        <v>#DIV/0!</v>
      </c>
      <c r="F799">
        <v>0</v>
      </c>
      <c r="G799">
        <v>0</v>
      </c>
      <c r="H799">
        <v>0</v>
      </c>
      <c r="J799" s="5" t="e">
        <f>ABS(F799-G799)/ABS(F799)</f>
        <v>#DIV/0!</v>
      </c>
      <c r="K799" s="5" t="e">
        <f>ABS(G799-H799)/ABS(G799)</f>
        <v>#DIV/0!</v>
      </c>
    </row>
    <row r="800" spans="3:11" x14ac:dyDescent="0.2">
      <c r="C800" t="s">
        <v>2183</v>
      </c>
      <c r="D800" t="b">
        <f ca="1">IF(CELL("format",F800)="G",IF(ABS(F800-G800) &lt;= ABS(F800*B$3),TRUE,FALSE),IF(F800=G800,TRUE,FALSE))</f>
        <v>1</v>
      </c>
      <c r="E800" s="5" t="e">
        <f>ABS(F800-G800)/ABS(F800)</f>
        <v>#DIV/0!</v>
      </c>
      <c r="F800">
        <v>0</v>
      </c>
      <c r="G800">
        <v>0</v>
      </c>
      <c r="H800">
        <v>0</v>
      </c>
      <c r="J800" s="5" t="e">
        <f>ABS(F800-G800)/ABS(F800)</f>
        <v>#DIV/0!</v>
      </c>
      <c r="K800" s="5" t="e">
        <f>ABS(G800-H800)/ABS(G800)</f>
        <v>#DIV/0!</v>
      </c>
    </row>
    <row r="801" spans="3:11" x14ac:dyDescent="0.2">
      <c r="C801" t="s">
        <v>2184</v>
      </c>
      <c r="D801" t="b">
        <f ca="1">IF(CELL("format",F801)="G",IF(ABS(F801-G801) &lt;= ABS(F801*B$3),TRUE,FALSE),IF(F801=G801,TRUE,FALSE))</f>
        <v>1</v>
      </c>
      <c r="E801" s="5" t="e">
        <f>ABS(F801-G801)/ABS(F801)</f>
        <v>#DIV/0!</v>
      </c>
      <c r="F801">
        <v>0</v>
      </c>
      <c r="G801">
        <v>0</v>
      </c>
      <c r="H801">
        <v>0</v>
      </c>
      <c r="J801" s="5" t="e">
        <f>ABS(F801-G801)/ABS(F801)</f>
        <v>#DIV/0!</v>
      </c>
      <c r="K801" s="5" t="e">
        <f>ABS(G801-H801)/ABS(G801)</f>
        <v>#DIV/0!</v>
      </c>
    </row>
    <row r="802" spans="3:11" x14ac:dyDescent="0.2">
      <c r="C802" t="s">
        <v>2185</v>
      </c>
      <c r="D802" t="b">
        <f ca="1">IF(CELL("format",F802)="G",IF(ABS(F802-G802) &lt;= ABS(F802*B$3),TRUE,FALSE),IF(F802=G802,TRUE,FALSE))</f>
        <v>1</v>
      </c>
      <c r="E802" s="5">
        <f>ABS(F802-G802)/ABS(F802)</f>
        <v>0</v>
      </c>
      <c r="F802">
        <v>5.65</v>
      </c>
      <c r="G802">
        <v>5.65</v>
      </c>
      <c r="H802">
        <v>5.65</v>
      </c>
      <c r="J802" s="5">
        <f>ABS(F802-G802)/ABS(F802)</f>
        <v>0</v>
      </c>
      <c r="K802" s="5">
        <f>ABS(G802-H802)/ABS(G802)</f>
        <v>0</v>
      </c>
    </row>
    <row r="803" spans="3:11" x14ac:dyDescent="0.2">
      <c r="C803" t="s">
        <v>2186</v>
      </c>
      <c r="D803" t="b">
        <f ca="1">IF(CELL("format",F803)="G",IF(ABS(F803-G803) &lt;= ABS(F803*B$3),TRUE,FALSE),IF(F803=G803,TRUE,FALSE))</f>
        <v>1</v>
      </c>
      <c r="E803" s="5">
        <f>ABS(F803-G803)/ABS(F803)</f>
        <v>0</v>
      </c>
      <c r="F803">
        <v>103.19</v>
      </c>
      <c r="G803">
        <v>103.19</v>
      </c>
      <c r="H803">
        <v>103.19</v>
      </c>
      <c r="J803" s="5">
        <f>ABS(F803-G803)/ABS(F803)</f>
        <v>0</v>
      </c>
      <c r="K803" s="5">
        <f>ABS(G803-H803)/ABS(G803)</f>
        <v>0</v>
      </c>
    </row>
    <row r="804" spans="3:11" x14ac:dyDescent="0.2">
      <c r="C804" t="s">
        <v>2187</v>
      </c>
      <c r="D804" t="b">
        <f ca="1">IF(CELL("format",F804)="G",IF(ABS(F804-G804) &lt;= ABS(F804*B$3),TRUE,FALSE),IF(F804=G804,TRUE,FALSE))</f>
        <v>1</v>
      </c>
      <c r="E804" s="5">
        <f>ABS(F804-G804)/ABS(F804)</f>
        <v>0</v>
      </c>
      <c r="F804">
        <v>289.86</v>
      </c>
      <c r="G804">
        <v>289.86</v>
      </c>
      <c r="H804">
        <v>289.86</v>
      </c>
      <c r="J804" s="5">
        <f>ABS(F804-G804)/ABS(F804)</f>
        <v>0</v>
      </c>
      <c r="K804" s="5">
        <f>ABS(G804-H804)/ABS(G804)</f>
        <v>0</v>
      </c>
    </row>
    <row r="805" spans="3:11" x14ac:dyDescent="0.2">
      <c r="C805" t="s">
        <v>2188</v>
      </c>
      <c r="D805" t="b">
        <f ca="1">IF(CELL("format",F805)="G",IF(ABS(F805-G805) &lt;= ABS(F805*B$3),TRUE,FALSE),IF(F805=G805,TRUE,FALSE))</f>
        <v>1</v>
      </c>
      <c r="E805" s="5">
        <f>ABS(F805-G805)/ABS(F805)</f>
        <v>0</v>
      </c>
      <c r="F805">
        <v>493.43</v>
      </c>
      <c r="G805">
        <v>493.43</v>
      </c>
      <c r="H805">
        <v>493.43</v>
      </c>
      <c r="J805" s="5">
        <f>ABS(F805-G805)/ABS(F805)</f>
        <v>0</v>
      </c>
      <c r="K805" s="5">
        <f>ABS(G805-H805)/ABS(G805)</f>
        <v>0</v>
      </c>
    </row>
    <row r="806" spans="3:11" x14ac:dyDescent="0.2">
      <c r="C806" t="s">
        <v>2189</v>
      </c>
      <c r="D806" t="b">
        <f ca="1">IF(CELL("format",F806)="G",IF(ABS(F806-G806) &lt;= ABS(F806*B$3),TRUE,FALSE),IF(F806=G806,TRUE,FALSE))</f>
        <v>1</v>
      </c>
      <c r="E806" s="5">
        <f>ABS(F806-G806)/ABS(F806)</f>
        <v>0</v>
      </c>
      <c r="F806">
        <v>682.34</v>
      </c>
      <c r="G806">
        <v>682.34</v>
      </c>
      <c r="H806">
        <v>682.34</v>
      </c>
      <c r="J806" s="5">
        <f>ABS(F806-G806)/ABS(F806)</f>
        <v>0</v>
      </c>
      <c r="K806" s="5">
        <f>ABS(G806-H806)/ABS(G806)</f>
        <v>0</v>
      </c>
    </row>
    <row r="807" spans="3:11" x14ac:dyDescent="0.2">
      <c r="C807" t="s">
        <v>2190</v>
      </c>
      <c r="D807" t="b">
        <f ca="1">IF(CELL("format",F807)="G",IF(ABS(F807-G807) &lt;= ABS(F807*B$3),TRUE,FALSE),IF(F807=G807,TRUE,FALSE))</f>
        <v>1</v>
      </c>
      <c r="E807" s="5">
        <f>ABS(F807-G807)/ABS(F807)</f>
        <v>0</v>
      </c>
      <c r="F807">
        <v>837.84</v>
      </c>
      <c r="G807">
        <v>837.84</v>
      </c>
      <c r="H807">
        <v>837.84</v>
      </c>
      <c r="J807" s="5">
        <f>ABS(F807-G807)/ABS(F807)</f>
        <v>0</v>
      </c>
      <c r="K807" s="5">
        <f>ABS(G807-H807)/ABS(G807)</f>
        <v>0</v>
      </c>
    </row>
    <row r="808" spans="3:11" x14ac:dyDescent="0.2">
      <c r="C808" t="s">
        <v>2191</v>
      </c>
      <c r="D808" t="b">
        <f ca="1">IF(CELL("format",F808)="G",IF(ABS(F808-G808) &lt;= ABS(F808*B$3),TRUE,FALSE),IF(F808=G808,TRUE,FALSE))</f>
        <v>1</v>
      </c>
      <c r="E808" s="5">
        <f>ABS(F808-G808)/ABS(F808)</f>
        <v>0</v>
      </c>
      <c r="F808">
        <v>948</v>
      </c>
      <c r="G808">
        <v>948</v>
      </c>
      <c r="H808">
        <v>948</v>
      </c>
      <c r="J808" s="5">
        <f>ABS(F808-G808)/ABS(F808)</f>
        <v>0</v>
      </c>
      <c r="K808" s="5">
        <f>ABS(G808-H808)/ABS(G808)</f>
        <v>0</v>
      </c>
    </row>
    <row r="809" spans="3:11" x14ac:dyDescent="0.2">
      <c r="C809" t="s">
        <v>2192</v>
      </c>
      <c r="D809" t="b">
        <f ca="1">IF(CELL("format",F809)="G",IF(ABS(F809-G809) &lt;= ABS(F809*B$3),TRUE,FALSE),IF(F809=G809,TRUE,FALSE))</f>
        <v>1</v>
      </c>
      <c r="E809" s="5">
        <f>ABS(F809-G809)/ABS(F809)</f>
        <v>0</v>
      </c>
      <c r="F809">
        <v>1005.24</v>
      </c>
      <c r="G809">
        <v>1005.24</v>
      </c>
      <c r="H809">
        <v>1005.24</v>
      </c>
      <c r="J809" s="5">
        <f>ABS(F809-G809)/ABS(F809)</f>
        <v>0</v>
      </c>
      <c r="K809" s="5">
        <f>ABS(G809-H809)/ABS(G809)</f>
        <v>0</v>
      </c>
    </row>
    <row r="810" spans="3:11" x14ac:dyDescent="0.2">
      <c r="C810" t="s">
        <v>2193</v>
      </c>
      <c r="D810" t="b">
        <f ca="1">IF(CELL("format",F810)="G",IF(ABS(F810-G810) &lt;= ABS(F810*B$3),TRUE,FALSE),IF(F810=G810,TRUE,FALSE))</f>
        <v>1</v>
      </c>
      <c r="E810" s="5">
        <f>ABS(F810-G810)/ABS(F810)</f>
        <v>0</v>
      </c>
      <c r="F810">
        <v>1004.03</v>
      </c>
      <c r="G810">
        <v>1004.03</v>
      </c>
      <c r="H810">
        <v>1004.03</v>
      </c>
      <c r="J810" s="5">
        <f>ABS(F810-G810)/ABS(F810)</f>
        <v>0</v>
      </c>
      <c r="K810" s="5">
        <f>ABS(G810-H810)/ABS(G810)</f>
        <v>0</v>
      </c>
    </row>
    <row r="811" spans="3:11" x14ac:dyDescent="0.2">
      <c r="C811" t="s">
        <v>2194</v>
      </c>
      <c r="D811" t="b">
        <f ca="1">IF(CELL("format",F811)="G",IF(ABS(F811-G811) &lt;= ABS(F811*B$3),TRUE,FALSE),IF(F811=G811,TRUE,FALSE))</f>
        <v>1</v>
      </c>
      <c r="E811" s="5">
        <f>ABS(F811-G811)/ABS(F811)</f>
        <v>0</v>
      </c>
      <c r="F811">
        <v>946.15</v>
      </c>
      <c r="G811">
        <v>946.15</v>
      </c>
      <c r="H811">
        <v>946.15</v>
      </c>
      <c r="J811" s="5">
        <f>ABS(F811-G811)/ABS(F811)</f>
        <v>0</v>
      </c>
      <c r="K811" s="5">
        <f>ABS(G811-H811)/ABS(G811)</f>
        <v>0</v>
      </c>
    </row>
    <row r="812" spans="3:11" x14ac:dyDescent="0.2">
      <c r="C812" t="s">
        <v>2195</v>
      </c>
      <c r="D812" t="b">
        <f ca="1">IF(CELL("format",F812)="G",IF(ABS(F812-G812) &lt;= ABS(F812*B$3),TRUE,FALSE),IF(F812=G812,TRUE,FALSE))</f>
        <v>1</v>
      </c>
      <c r="E812" s="5">
        <f>ABS(F812-G812)/ABS(F812)</f>
        <v>0</v>
      </c>
      <c r="F812">
        <v>835.48</v>
      </c>
      <c r="G812">
        <v>835.48</v>
      </c>
      <c r="H812">
        <v>835.48</v>
      </c>
      <c r="J812" s="5">
        <f>ABS(F812-G812)/ABS(F812)</f>
        <v>0</v>
      </c>
      <c r="K812" s="5">
        <f>ABS(G812-H812)/ABS(G812)</f>
        <v>0</v>
      </c>
    </row>
    <row r="813" spans="3:11" x14ac:dyDescent="0.2">
      <c r="C813" t="s">
        <v>2196</v>
      </c>
      <c r="D813" t="b">
        <f ca="1">IF(CELL("format",F813)="G",IF(ABS(F813-G813) &lt;= ABS(F813*B$3),TRUE,FALSE),IF(F813=G813,TRUE,FALSE))</f>
        <v>1</v>
      </c>
      <c r="E813" s="5">
        <f>ABS(F813-G813)/ABS(F813)</f>
        <v>0</v>
      </c>
      <c r="F813">
        <v>679.26</v>
      </c>
      <c r="G813">
        <v>679.26</v>
      </c>
      <c r="H813">
        <v>679.26</v>
      </c>
      <c r="J813" s="5">
        <f>ABS(F813-G813)/ABS(F813)</f>
        <v>0</v>
      </c>
      <c r="K813" s="5">
        <f>ABS(G813-H813)/ABS(G813)</f>
        <v>0</v>
      </c>
    </row>
    <row r="814" spans="3:11" x14ac:dyDescent="0.2">
      <c r="C814" t="s">
        <v>2197</v>
      </c>
      <c r="D814" t="b">
        <f ca="1">IF(CELL("format",F814)="G",IF(ABS(F814-G814) &lt;= ABS(F814*B$3),TRUE,FALSE),IF(F814=G814,TRUE,FALSE))</f>
        <v>1</v>
      </c>
      <c r="E814" s="5">
        <f>ABS(F814-G814)/ABS(F814)</f>
        <v>0</v>
      </c>
      <c r="F814">
        <v>489.97</v>
      </c>
      <c r="G814">
        <v>489.97</v>
      </c>
      <c r="H814">
        <v>489.97</v>
      </c>
      <c r="J814" s="5">
        <f>ABS(F814-G814)/ABS(F814)</f>
        <v>0</v>
      </c>
      <c r="K814" s="5">
        <f>ABS(G814-H814)/ABS(G814)</f>
        <v>0</v>
      </c>
    </row>
    <row r="815" spans="3:11" x14ac:dyDescent="0.2">
      <c r="C815" t="s">
        <v>2198</v>
      </c>
      <c r="D815" t="b">
        <f ca="1">IF(CELL("format",F815)="G",IF(ABS(F815-G815) &lt;= ABS(F815*B$3),TRUE,FALSE),IF(F815=G815,TRUE,FALSE))</f>
        <v>1</v>
      </c>
      <c r="E815" s="5">
        <f>ABS(F815-G815)/ABS(F815)</f>
        <v>0</v>
      </c>
      <c r="F815">
        <v>285.83999999999997</v>
      </c>
      <c r="G815">
        <v>285.83999999999997</v>
      </c>
      <c r="H815">
        <v>285.83999999999997</v>
      </c>
      <c r="J815" s="5">
        <f>ABS(F815-G815)/ABS(F815)</f>
        <v>0</v>
      </c>
      <c r="K815" s="5">
        <f>ABS(G815-H815)/ABS(G815)</f>
        <v>0</v>
      </c>
    </row>
    <row r="816" spans="3:11" x14ac:dyDescent="0.2">
      <c r="C816" t="s">
        <v>2199</v>
      </c>
      <c r="D816" t="b">
        <f ca="1">IF(CELL("format",F816)="G",IF(ABS(F816-G816) &lt;= ABS(F816*B$3),TRUE,FALSE),IF(F816=G816,TRUE,FALSE))</f>
        <v>1</v>
      </c>
      <c r="E816" s="5">
        <f>ABS(F816-G816)/ABS(F816)</f>
        <v>0</v>
      </c>
      <c r="F816">
        <v>99.08</v>
      </c>
      <c r="G816">
        <v>99.08</v>
      </c>
      <c r="H816">
        <v>99.08</v>
      </c>
      <c r="J816" s="5">
        <f>ABS(F816-G816)/ABS(F816)</f>
        <v>0</v>
      </c>
      <c r="K816" s="5">
        <f>ABS(G816-H816)/ABS(G816)</f>
        <v>0</v>
      </c>
    </row>
    <row r="817" spans="3:11" x14ac:dyDescent="0.2">
      <c r="C817" t="s">
        <v>2200</v>
      </c>
      <c r="D817" t="b">
        <f ca="1">IF(CELL("format",F817)="G",IF(ABS(F817-G817) &lt;= ABS(F817*B$3),TRUE,FALSE),IF(F817=G817,TRUE,FALSE))</f>
        <v>1</v>
      </c>
      <c r="E817" s="5">
        <f>ABS(F817-G817)/ABS(F817)</f>
        <v>0</v>
      </c>
      <c r="F817">
        <v>4.4400000000000004</v>
      </c>
      <c r="G817">
        <v>4.4400000000000004</v>
      </c>
      <c r="H817">
        <v>4.4400000000000004</v>
      </c>
      <c r="J817" s="5">
        <f>ABS(F817-G817)/ABS(F817)</f>
        <v>0</v>
      </c>
      <c r="K817" s="5">
        <f>ABS(G817-H817)/ABS(G817)</f>
        <v>0</v>
      </c>
    </row>
    <row r="818" spans="3:11" x14ac:dyDescent="0.2">
      <c r="C818" t="s">
        <v>2201</v>
      </c>
      <c r="D818" t="b">
        <f ca="1">IF(CELL("format",F818)="G",IF(ABS(F818-G818) &lt;= ABS(F818*B$3),TRUE,FALSE),IF(F818=G818,TRUE,FALSE))</f>
        <v>1</v>
      </c>
      <c r="E818" s="5" t="e">
        <f>ABS(F818-G818)/ABS(F818)</f>
        <v>#DIV/0!</v>
      </c>
      <c r="F818">
        <v>0</v>
      </c>
      <c r="G818">
        <v>0</v>
      </c>
      <c r="H818">
        <v>0</v>
      </c>
      <c r="J818" s="5" t="e">
        <f>ABS(F818-G818)/ABS(F818)</f>
        <v>#DIV/0!</v>
      </c>
      <c r="K818" s="5" t="e">
        <f>ABS(G818-H818)/ABS(G818)</f>
        <v>#DIV/0!</v>
      </c>
    </row>
    <row r="819" spans="3:11" x14ac:dyDescent="0.2">
      <c r="C819" t="s">
        <v>2202</v>
      </c>
      <c r="D819" t="b">
        <f ca="1">IF(CELL("format",F819)="G",IF(ABS(F819-G819) &lt;= ABS(F819*B$3),TRUE,FALSE),IF(F819=G819,TRUE,FALSE))</f>
        <v>1</v>
      </c>
      <c r="E819" s="5" t="e">
        <f>ABS(F819-G819)/ABS(F819)</f>
        <v>#DIV/0!</v>
      </c>
      <c r="F819">
        <v>0</v>
      </c>
      <c r="G819">
        <v>0</v>
      </c>
      <c r="H819">
        <v>0</v>
      </c>
      <c r="J819" s="5" t="e">
        <f>ABS(F819-G819)/ABS(F819)</f>
        <v>#DIV/0!</v>
      </c>
      <c r="K819" s="5" t="e">
        <f>ABS(G819-H819)/ABS(G819)</f>
        <v>#DIV/0!</v>
      </c>
    </row>
    <row r="820" spans="3:11" x14ac:dyDescent="0.2">
      <c r="C820" t="s">
        <v>2203</v>
      </c>
      <c r="D820" t="b">
        <f ca="1">IF(CELL("format",F820)="G",IF(ABS(F820-G820) &lt;= ABS(F820*B$3),TRUE,FALSE),IF(F820=G820,TRUE,FALSE))</f>
        <v>1</v>
      </c>
      <c r="E820" s="5" t="e">
        <f>ABS(F820-G820)/ABS(F820)</f>
        <v>#DIV/0!</v>
      </c>
      <c r="F820">
        <v>0</v>
      </c>
      <c r="G820">
        <v>0</v>
      </c>
      <c r="H820">
        <v>0</v>
      </c>
      <c r="J820" s="5" t="e">
        <f>ABS(F820-G820)/ABS(F820)</f>
        <v>#DIV/0!</v>
      </c>
      <c r="K820" s="5" t="e">
        <f>ABS(G820-H820)/ABS(G820)</f>
        <v>#DIV/0!</v>
      </c>
    </row>
    <row r="821" spans="3:11" x14ac:dyDescent="0.2">
      <c r="C821" t="s">
        <v>2204</v>
      </c>
      <c r="D821" t="b">
        <f ca="1">IF(CELL("format",F821)="G",IF(ABS(F821-G821) &lt;= ABS(F821*B$3),TRUE,FALSE),IF(F821=G821,TRUE,FALSE))</f>
        <v>1</v>
      </c>
      <c r="E821" s="5" t="e">
        <f>ABS(F821-G821)/ABS(F821)</f>
        <v>#DIV/0!</v>
      </c>
      <c r="F821">
        <v>0</v>
      </c>
      <c r="G821">
        <v>0</v>
      </c>
      <c r="H821">
        <v>0</v>
      </c>
      <c r="J821" s="5" t="e">
        <f>ABS(F821-G821)/ABS(F821)</f>
        <v>#DIV/0!</v>
      </c>
      <c r="K821" s="5" t="e">
        <f>ABS(G821-H821)/ABS(G821)</f>
        <v>#DIV/0!</v>
      </c>
    </row>
    <row r="822" spans="3:11" x14ac:dyDescent="0.2">
      <c r="C822" t="s">
        <v>2205</v>
      </c>
      <c r="D822" t="b">
        <f ca="1">IF(CELL("format",F822)="G",IF(ABS(F822-G822) &lt;= ABS(F822*B$3),TRUE,FALSE),IF(F822=G822,TRUE,FALSE))</f>
        <v>1</v>
      </c>
      <c r="E822" s="5" t="e">
        <f>ABS(F822-G822)/ABS(F822)</f>
        <v>#DIV/0!</v>
      </c>
      <c r="F822">
        <v>0</v>
      </c>
      <c r="G822">
        <v>0</v>
      </c>
      <c r="H822">
        <v>0</v>
      </c>
      <c r="J822" s="5" t="e">
        <f>ABS(F822-G822)/ABS(F822)</f>
        <v>#DIV/0!</v>
      </c>
      <c r="K822" s="5" t="e">
        <f>ABS(G822-H822)/ABS(G822)</f>
        <v>#DIV/0!</v>
      </c>
    </row>
    <row r="823" spans="3:11" x14ac:dyDescent="0.2">
      <c r="C823" t="s">
        <v>2206</v>
      </c>
      <c r="D823" t="b">
        <f ca="1">IF(CELL("format",F823)="G",IF(ABS(F823-G823) &lt;= ABS(F823*B$3),TRUE,FALSE),IF(F823=G823,TRUE,FALSE))</f>
        <v>1</v>
      </c>
      <c r="E823" s="5" t="e">
        <f>ABS(F823-G823)/ABS(F823)</f>
        <v>#DIV/0!</v>
      </c>
      <c r="F823">
        <v>0</v>
      </c>
      <c r="G823">
        <v>0</v>
      </c>
      <c r="H823">
        <v>0</v>
      </c>
      <c r="J823" s="5" t="e">
        <f>ABS(F823-G823)/ABS(F823)</f>
        <v>#DIV/0!</v>
      </c>
      <c r="K823" s="5" t="e">
        <f>ABS(G823-H823)/ABS(G823)</f>
        <v>#DIV/0!</v>
      </c>
    </row>
    <row r="824" spans="3:11" x14ac:dyDescent="0.2">
      <c r="C824" t="s">
        <v>2207</v>
      </c>
      <c r="D824" t="b">
        <f ca="1">IF(CELL("format",F824)="G",IF(ABS(F824-G824) &lt;= ABS(F824*B$3),TRUE,FALSE),IF(F824=G824,TRUE,FALSE))</f>
        <v>1</v>
      </c>
      <c r="E824" s="5" t="e">
        <f>ABS(F824-G824)/ABS(F824)</f>
        <v>#DIV/0!</v>
      </c>
      <c r="F824">
        <v>0</v>
      </c>
      <c r="G824">
        <v>0</v>
      </c>
      <c r="H824">
        <v>0</v>
      </c>
      <c r="J824" s="5" t="e">
        <f>ABS(F824-G824)/ABS(F824)</f>
        <v>#DIV/0!</v>
      </c>
      <c r="K824" s="5" t="e">
        <f>ABS(G824-H824)/ABS(G824)</f>
        <v>#DIV/0!</v>
      </c>
    </row>
    <row r="825" spans="3:11" x14ac:dyDescent="0.2">
      <c r="C825" t="s">
        <v>2208</v>
      </c>
      <c r="D825" t="b">
        <f ca="1">IF(CELL("format",F825)="G",IF(ABS(F825-G825) &lt;= ABS(F825*B$3),TRUE,FALSE),IF(F825=G825,TRUE,FALSE))</f>
        <v>1</v>
      </c>
      <c r="E825" s="5" t="e">
        <f>ABS(F825-G825)/ABS(F825)</f>
        <v>#DIV/0!</v>
      </c>
      <c r="F825">
        <v>0</v>
      </c>
      <c r="G825">
        <v>0</v>
      </c>
      <c r="H825">
        <v>0</v>
      </c>
      <c r="J825" s="5" t="e">
        <f>ABS(F825-G825)/ABS(F825)</f>
        <v>#DIV/0!</v>
      </c>
      <c r="K825" s="5" t="e">
        <f>ABS(G825-H825)/ABS(G825)</f>
        <v>#DIV/0!</v>
      </c>
    </row>
    <row r="826" spans="3:11" x14ac:dyDescent="0.2">
      <c r="C826" t="s">
        <v>2209</v>
      </c>
      <c r="D826" t="b">
        <f ca="1">IF(CELL("format",F826)="G",IF(ABS(F826-G826) &lt;= ABS(F826*B$3),TRUE,FALSE),IF(F826=G826,TRUE,FALSE))</f>
        <v>1</v>
      </c>
      <c r="E826" s="5">
        <f>ABS(F826-G826)/ABS(F826)</f>
        <v>0</v>
      </c>
      <c r="F826">
        <v>2.83</v>
      </c>
      <c r="G826">
        <v>2.83</v>
      </c>
      <c r="H826">
        <v>2.83</v>
      </c>
      <c r="J826" s="5">
        <f>ABS(F826-G826)/ABS(F826)</f>
        <v>0</v>
      </c>
      <c r="K826" s="5">
        <f>ABS(G826-H826)/ABS(G826)</f>
        <v>0</v>
      </c>
    </row>
    <row r="827" spans="3:11" x14ac:dyDescent="0.2">
      <c r="C827" t="s">
        <v>2210</v>
      </c>
      <c r="D827" t="b">
        <f ca="1">IF(CELL("format",F827)="G",IF(ABS(F827-G827) &lt;= ABS(F827*B$3),TRUE,FALSE),IF(F827=G827,TRUE,FALSE))</f>
        <v>1</v>
      </c>
      <c r="E827" s="5">
        <f>ABS(F827-G827)/ABS(F827)</f>
        <v>0</v>
      </c>
      <c r="F827">
        <v>27.06</v>
      </c>
      <c r="G827">
        <v>27.06</v>
      </c>
      <c r="H827">
        <v>27.06</v>
      </c>
      <c r="J827" s="5">
        <f>ABS(F827-G827)/ABS(F827)</f>
        <v>0</v>
      </c>
      <c r="K827" s="5">
        <f>ABS(G827-H827)/ABS(G827)</f>
        <v>0</v>
      </c>
    </row>
    <row r="828" spans="3:11" x14ac:dyDescent="0.2">
      <c r="C828" t="s">
        <v>2211</v>
      </c>
      <c r="D828" t="b">
        <f ca="1">IF(CELL("format",F828)="G",IF(ABS(F828-G828) &lt;= ABS(F828*B$3),TRUE,FALSE),IF(F828=G828,TRUE,FALSE))</f>
        <v>1</v>
      </c>
      <c r="E828" s="5">
        <f>ABS(F828-G828)/ABS(F828)</f>
        <v>0</v>
      </c>
      <c r="F828">
        <v>55.39</v>
      </c>
      <c r="G828">
        <v>55.39</v>
      </c>
      <c r="H828">
        <v>55.39</v>
      </c>
      <c r="J828" s="5">
        <f>ABS(F828-G828)/ABS(F828)</f>
        <v>0</v>
      </c>
      <c r="K828" s="5">
        <f>ABS(G828-H828)/ABS(G828)</f>
        <v>0</v>
      </c>
    </row>
    <row r="829" spans="3:11" x14ac:dyDescent="0.2">
      <c r="C829" t="s">
        <v>2212</v>
      </c>
      <c r="D829" t="b">
        <f ca="1">IF(CELL("format",F829)="G",IF(ABS(F829-G829) &lt;= ABS(F829*B$3),TRUE,FALSE),IF(F829=G829,TRUE,FALSE))</f>
        <v>1</v>
      </c>
      <c r="E829" s="5">
        <f>ABS(F829-G829)/ABS(F829)</f>
        <v>0</v>
      </c>
      <c r="F829">
        <v>82.4</v>
      </c>
      <c r="G829">
        <v>82.4</v>
      </c>
      <c r="H829">
        <v>82.4</v>
      </c>
      <c r="J829" s="5">
        <f>ABS(F829-G829)/ABS(F829)</f>
        <v>0</v>
      </c>
      <c r="K829" s="5">
        <f>ABS(G829-H829)/ABS(G829)</f>
        <v>0</v>
      </c>
    </row>
    <row r="830" spans="3:11" x14ac:dyDescent="0.2">
      <c r="C830" t="s">
        <v>2213</v>
      </c>
      <c r="D830" t="b">
        <f ca="1">IF(CELL("format",F830)="G",IF(ABS(F830-G830) &lt;= ABS(F830*B$3),TRUE,FALSE),IF(F830=G830,TRUE,FALSE))</f>
        <v>1</v>
      </c>
      <c r="E830" s="5">
        <f>ABS(F830-G830)/ABS(F830)</f>
        <v>0</v>
      </c>
      <c r="F830">
        <v>179.12</v>
      </c>
      <c r="G830">
        <v>179.12</v>
      </c>
      <c r="H830">
        <v>179.12</v>
      </c>
      <c r="J830" s="5">
        <f>ABS(F830-G830)/ABS(F830)</f>
        <v>0</v>
      </c>
      <c r="K830" s="5">
        <f>ABS(G830-H830)/ABS(G830)</f>
        <v>0</v>
      </c>
    </row>
    <row r="831" spans="3:11" x14ac:dyDescent="0.2">
      <c r="C831" t="s">
        <v>2214</v>
      </c>
      <c r="D831" t="b">
        <f ca="1">IF(CELL("format",F831)="G",IF(ABS(F831-G831) &lt;= ABS(F831*B$3),TRUE,FALSE),IF(F831=G831,TRUE,FALSE))</f>
        <v>1</v>
      </c>
      <c r="E831" s="5">
        <f>ABS(F831-G831)/ABS(F831)</f>
        <v>0</v>
      </c>
      <c r="F831">
        <v>305.79000000000002</v>
      </c>
      <c r="G831">
        <v>305.79000000000002</v>
      </c>
      <c r="H831">
        <v>305.79000000000002</v>
      </c>
      <c r="J831" s="5">
        <f>ABS(F831-G831)/ABS(F831)</f>
        <v>0</v>
      </c>
      <c r="K831" s="5">
        <f>ABS(G831-H831)/ABS(G831)</f>
        <v>0</v>
      </c>
    </row>
    <row r="832" spans="3:11" x14ac:dyDescent="0.2">
      <c r="C832" t="s">
        <v>2215</v>
      </c>
      <c r="D832" t="b">
        <f ca="1">IF(CELL("format",F832)="G",IF(ABS(F832-G832) &lt;= ABS(F832*B$3),TRUE,FALSE),IF(F832=G832,TRUE,FALSE))</f>
        <v>1</v>
      </c>
      <c r="E832" s="5">
        <f>ABS(F832-G832)/ABS(F832)</f>
        <v>0</v>
      </c>
      <c r="F832">
        <v>396.71</v>
      </c>
      <c r="G832">
        <v>396.71</v>
      </c>
      <c r="H832">
        <v>396.71</v>
      </c>
      <c r="J832" s="5">
        <f>ABS(F832-G832)/ABS(F832)</f>
        <v>0</v>
      </c>
      <c r="K832" s="5">
        <f>ABS(G832-H832)/ABS(G832)</f>
        <v>0</v>
      </c>
    </row>
    <row r="833" spans="3:11" x14ac:dyDescent="0.2">
      <c r="C833" t="s">
        <v>2216</v>
      </c>
      <c r="D833" t="b">
        <f ca="1">IF(CELL("format",F833)="G",IF(ABS(F833-G833) &lt;= ABS(F833*B$3),TRUE,FALSE),IF(F833=G833,TRUE,FALSE))</f>
        <v>1</v>
      </c>
      <c r="E833" s="5">
        <f>ABS(F833-G833)/ABS(F833)</f>
        <v>0</v>
      </c>
      <c r="F833">
        <v>443.51</v>
      </c>
      <c r="G833">
        <v>443.51</v>
      </c>
      <c r="H833">
        <v>443.51</v>
      </c>
      <c r="J833" s="5">
        <f>ABS(F833-G833)/ABS(F833)</f>
        <v>0</v>
      </c>
      <c r="K833" s="5">
        <f>ABS(G833-H833)/ABS(G833)</f>
        <v>0</v>
      </c>
    </row>
    <row r="834" spans="3:11" x14ac:dyDescent="0.2">
      <c r="C834" t="s">
        <v>2217</v>
      </c>
      <c r="D834" t="b">
        <f ca="1">IF(CELL("format",F834)="G",IF(ABS(F834-G834) &lt;= ABS(F834*B$3),TRUE,FALSE),IF(F834=G834,TRUE,FALSE))</f>
        <v>1</v>
      </c>
      <c r="E834" s="5">
        <f>ABS(F834-G834)/ABS(F834)</f>
        <v>0</v>
      </c>
      <c r="F834">
        <v>442.66</v>
      </c>
      <c r="G834">
        <v>442.66</v>
      </c>
      <c r="H834">
        <v>442.66</v>
      </c>
      <c r="J834" s="5">
        <f>ABS(F834-G834)/ABS(F834)</f>
        <v>0</v>
      </c>
      <c r="K834" s="5">
        <f>ABS(G834-H834)/ABS(G834)</f>
        <v>0</v>
      </c>
    </row>
    <row r="835" spans="3:11" x14ac:dyDescent="0.2">
      <c r="C835" t="s">
        <v>2218</v>
      </c>
      <c r="D835" t="b">
        <f ca="1">IF(CELL("format",F835)="G",IF(ABS(F835-G835) &lt;= ABS(F835*B$3),TRUE,FALSE),IF(F835=G835,TRUE,FALSE))</f>
        <v>1</v>
      </c>
      <c r="E835" s="5">
        <f>ABS(F835-G835)/ABS(F835)</f>
        <v>0</v>
      </c>
      <c r="F835">
        <v>394.89</v>
      </c>
      <c r="G835">
        <v>394.89</v>
      </c>
      <c r="H835">
        <v>394.89</v>
      </c>
      <c r="J835" s="5">
        <f>ABS(F835-G835)/ABS(F835)</f>
        <v>0</v>
      </c>
      <c r="K835" s="5">
        <f>ABS(G835-H835)/ABS(G835)</f>
        <v>0</v>
      </c>
    </row>
    <row r="836" spans="3:11" x14ac:dyDescent="0.2">
      <c r="C836" t="s">
        <v>2219</v>
      </c>
      <c r="D836" t="b">
        <f ca="1">IF(CELL("format",F836)="G",IF(ABS(F836-G836) &lt;= ABS(F836*B$3),TRUE,FALSE),IF(F836=G836,TRUE,FALSE))</f>
        <v>1</v>
      </c>
      <c r="E836" s="5">
        <f>ABS(F836-G836)/ABS(F836)</f>
        <v>0</v>
      </c>
      <c r="F836">
        <v>303.17</v>
      </c>
      <c r="G836">
        <v>303.17</v>
      </c>
      <c r="H836">
        <v>303.17</v>
      </c>
      <c r="J836" s="5">
        <f>ABS(F836-G836)/ABS(F836)</f>
        <v>0</v>
      </c>
      <c r="K836" s="5">
        <f>ABS(G836-H836)/ABS(G836)</f>
        <v>0</v>
      </c>
    </row>
    <row r="837" spans="3:11" x14ac:dyDescent="0.2">
      <c r="C837" t="s">
        <v>2220</v>
      </c>
      <c r="D837" t="b">
        <f ca="1">IF(CELL("format",F837)="G",IF(ABS(F837-G837) &lt;= ABS(F837*B$3),TRUE,FALSE),IF(F837=G837,TRUE,FALSE))</f>
        <v>1</v>
      </c>
      <c r="E837" s="5">
        <f>ABS(F837-G837)/ABS(F837)</f>
        <v>0</v>
      </c>
      <c r="F837">
        <v>175.53</v>
      </c>
      <c r="G837">
        <v>175.53</v>
      </c>
      <c r="H837">
        <v>175.53</v>
      </c>
      <c r="J837" s="5">
        <f>ABS(F837-G837)/ABS(F837)</f>
        <v>0</v>
      </c>
      <c r="K837" s="5">
        <f>ABS(G837-H837)/ABS(G837)</f>
        <v>0</v>
      </c>
    </row>
    <row r="838" spans="3:11" x14ac:dyDescent="0.2">
      <c r="C838" t="s">
        <v>2221</v>
      </c>
      <c r="D838" t="b">
        <f ca="1">IF(CELL("format",F838)="G",IF(ABS(F838-G838) &lt;= ABS(F838*B$3),TRUE,FALSE),IF(F838=G838,TRUE,FALSE))</f>
        <v>1</v>
      </c>
      <c r="E838" s="5">
        <f>ABS(F838-G838)/ABS(F838)</f>
        <v>0</v>
      </c>
      <c r="F838">
        <v>81.510000000000005</v>
      </c>
      <c r="G838">
        <v>81.510000000000005</v>
      </c>
      <c r="H838">
        <v>81.510000000000005</v>
      </c>
      <c r="J838" s="5">
        <f>ABS(F838-G838)/ABS(F838)</f>
        <v>0</v>
      </c>
      <c r="K838" s="5">
        <f>ABS(G838-H838)/ABS(G838)</f>
        <v>0</v>
      </c>
    </row>
    <row r="839" spans="3:11" x14ac:dyDescent="0.2">
      <c r="C839" t="s">
        <v>2222</v>
      </c>
      <c r="D839" t="b">
        <f ca="1">IF(CELL("format",F839)="G",IF(ABS(F839-G839) &lt;= ABS(F839*B$3),TRUE,FALSE),IF(F839=G839,TRUE,FALSE))</f>
        <v>1</v>
      </c>
      <c r="E839" s="5">
        <f>ABS(F839-G839)/ABS(F839)</f>
        <v>0</v>
      </c>
      <c r="F839">
        <v>54.81</v>
      </c>
      <c r="G839">
        <v>54.81</v>
      </c>
      <c r="H839">
        <v>54.81</v>
      </c>
      <c r="J839" s="5">
        <f>ABS(F839-G839)/ABS(F839)</f>
        <v>0</v>
      </c>
      <c r="K839" s="5">
        <f>ABS(G839-H839)/ABS(G839)</f>
        <v>0</v>
      </c>
    </row>
    <row r="840" spans="3:11" x14ac:dyDescent="0.2">
      <c r="C840" t="s">
        <v>2223</v>
      </c>
      <c r="D840" t="b">
        <f ca="1">IF(CELL("format",F840)="G",IF(ABS(F840-G840) &lt;= ABS(F840*B$3),TRUE,FALSE),IF(F840=G840,TRUE,FALSE))</f>
        <v>1</v>
      </c>
      <c r="E840" s="5">
        <f>ABS(F840-G840)/ABS(F840)</f>
        <v>0</v>
      </c>
      <c r="F840">
        <v>26.26</v>
      </c>
      <c r="G840">
        <v>26.26</v>
      </c>
      <c r="H840">
        <v>26.26</v>
      </c>
      <c r="J840" s="5">
        <f>ABS(F840-G840)/ABS(F840)</f>
        <v>0</v>
      </c>
      <c r="K840" s="5">
        <f>ABS(G840-H840)/ABS(G840)</f>
        <v>0</v>
      </c>
    </row>
    <row r="841" spans="3:11" x14ac:dyDescent="0.2">
      <c r="C841" t="s">
        <v>2224</v>
      </c>
      <c r="D841" t="b">
        <f ca="1">IF(CELL("format",F841)="G",IF(ABS(F841-G841) &lt;= ABS(F841*B$3),TRUE,FALSE),IF(F841=G841,TRUE,FALSE))</f>
        <v>1</v>
      </c>
      <c r="E841" s="5">
        <f>ABS(F841-G841)/ABS(F841)</f>
        <v>0</v>
      </c>
      <c r="F841">
        <v>2.35</v>
      </c>
      <c r="G841">
        <v>2.35</v>
      </c>
      <c r="H841">
        <v>2.35</v>
      </c>
      <c r="J841" s="5">
        <f>ABS(F841-G841)/ABS(F841)</f>
        <v>0</v>
      </c>
      <c r="K841" s="5">
        <f>ABS(G841-H841)/ABS(G841)</f>
        <v>0</v>
      </c>
    </row>
    <row r="842" spans="3:11" x14ac:dyDescent="0.2">
      <c r="C842" t="s">
        <v>2225</v>
      </c>
      <c r="D842" t="b">
        <f ca="1">IF(CELL("format",F842)="G",IF(ABS(F842-G842) &lt;= ABS(F842*B$3),TRUE,FALSE),IF(F842=G842,TRUE,FALSE))</f>
        <v>1</v>
      </c>
      <c r="E842" s="5" t="e">
        <f>ABS(F842-G842)/ABS(F842)</f>
        <v>#DIV/0!</v>
      </c>
      <c r="F842">
        <v>0</v>
      </c>
      <c r="G842">
        <v>0</v>
      </c>
      <c r="H842">
        <v>0</v>
      </c>
      <c r="J842" s="5" t="e">
        <f>ABS(F842-G842)/ABS(F842)</f>
        <v>#DIV/0!</v>
      </c>
      <c r="K842" s="5" t="e">
        <f>ABS(G842-H842)/ABS(G842)</f>
        <v>#DIV/0!</v>
      </c>
    </row>
    <row r="843" spans="3:11" x14ac:dyDescent="0.2">
      <c r="C843" t="s">
        <v>2226</v>
      </c>
      <c r="D843" t="b">
        <f ca="1">IF(CELL("format",F843)="G",IF(ABS(F843-G843) &lt;= ABS(F843*B$3),TRUE,FALSE),IF(F843=G843,TRUE,FALSE))</f>
        <v>1</v>
      </c>
      <c r="E843" s="5" t="e">
        <f>ABS(F843-G843)/ABS(F843)</f>
        <v>#DIV/0!</v>
      </c>
      <c r="F843">
        <v>0</v>
      </c>
      <c r="G843">
        <v>0</v>
      </c>
      <c r="H843">
        <v>0</v>
      </c>
      <c r="J843" s="5" t="e">
        <f>ABS(F843-G843)/ABS(F843)</f>
        <v>#DIV/0!</v>
      </c>
      <c r="K843" s="5" t="e">
        <f>ABS(G843-H843)/ABS(G843)</f>
        <v>#DIV/0!</v>
      </c>
    </row>
    <row r="844" spans="3:11" x14ac:dyDescent="0.2">
      <c r="C844" t="s">
        <v>2227</v>
      </c>
      <c r="D844" t="b">
        <f ca="1">IF(CELL("format",F844)="G",IF(ABS(F844-G844) &lt;= ABS(F844*B$3),TRUE,FALSE),IF(F844=G844,TRUE,FALSE))</f>
        <v>1</v>
      </c>
      <c r="E844" s="5" t="e">
        <f>ABS(F844-G844)/ABS(F844)</f>
        <v>#DIV/0!</v>
      </c>
      <c r="F844">
        <v>0</v>
      </c>
      <c r="G844">
        <v>0</v>
      </c>
      <c r="H844">
        <v>0</v>
      </c>
      <c r="J844" s="5" t="e">
        <f>ABS(F844-G844)/ABS(F844)</f>
        <v>#DIV/0!</v>
      </c>
      <c r="K844" s="5" t="e">
        <f>ABS(G844-H844)/ABS(G844)</f>
        <v>#DIV/0!</v>
      </c>
    </row>
    <row r="845" spans="3:11" x14ac:dyDescent="0.2">
      <c r="C845" t="s">
        <v>2228</v>
      </c>
      <c r="D845" t="b">
        <f ca="1">IF(CELL("format",F845)="G",IF(ABS(F845-G845) &lt;= ABS(F845*B$3),TRUE,FALSE),IF(F845=G845,TRUE,FALSE))</f>
        <v>1</v>
      </c>
      <c r="E845" s="5" t="e">
        <f>ABS(F845-G845)/ABS(F845)</f>
        <v>#DIV/0!</v>
      </c>
      <c r="F845">
        <v>0</v>
      </c>
      <c r="G845">
        <v>0</v>
      </c>
      <c r="H845">
        <v>0</v>
      </c>
      <c r="J845" s="5" t="e">
        <f>ABS(F845-G845)/ABS(F845)</f>
        <v>#DIV/0!</v>
      </c>
      <c r="K845" s="5" t="e">
        <f>ABS(G845-H845)/ABS(G845)</f>
        <v>#DIV/0!</v>
      </c>
    </row>
    <row r="846" spans="3:11" x14ac:dyDescent="0.2">
      <c r="C846" t="s">
        <v>2229</v>
      </c>
      <c r="D846" t="b">
        <f ca="1">IF(CELL("format",F846)="G",IF(ABS(F846-G846) &lt;= ABS(F846*B$3),TRUE,FALSE),IF(F846=G846,TRUE,FALSE))</f>
        <v>1</v>
      </c>
      <c r="E846" s="5" t="e">
        <f>ABS(F846-G846)/ABS(F846)</f>
        <v>#DIV/0!</v>
      </c>
      <c r="F846">
        <v>0</v>
      </c>
      <c r="G846">
        <v>0</v>
      </c>
      <c r="H846">
        <v>0</v>
      </c>
      <c r="J846" s="5" t="e">
        <f>ABS(F846-G846)/ABS(F846)</f>
        <v>#DIV/0!</v>
      </c>
      <c r="K846" s="5" t="e">
        <f>ABS(G846-H846)/ABS(G846)</f>
        <v>#DIV/0!</v>
      </c>
    </row>
    <row r="847" spans="3:11" x14ac:dyDescent="0.2">
      <c r="C847" t="s">
        <v>2230</v>
      </c>
      <c r="D847" t="b">
        <f ca="1">IF(CELL("format",F847)="G",IF(ABS(F847-G847) &lt;= ABS(F847*B$3),TRUE,FALSE),IF(F847=G847,TRUE,FALSE))</f>
        <v>1</v>
      </c>
      <c r="E847" s="5" t="e">
        <f>ABS(F847-G847)/ABS(F847)</f>
        <v>#DIV/0!</v>
      </c>
      <c r="F847">
        <v>0</v>
      </c>
      <c r="G847">
        <v>0</v>
      </c>
      <c r="H847">
        <v>0</v>
      </c>
      <c r="J847" s="5" t="e">
        <f>ABS(F847-G847)/ABS(F847)</f>
        <v>#DIV/0!</v>
      </c>
      <c r="K847" s="5" t="e">
        <f>ABS(G847-H847)/ABS(G847)</f>
        <v>#DIV/0!</v>
      </c>
    </row>
    <row r="848" spans="3:11" x14ac:dyDescent="0.2">
      <c r="C848" t="s">
        <v>2231</v>
      </c>
      <c r="D848" t="b">
        <f ca="1">IF(CELL("format",F848)="G",IF(ABS(F848-G848) &lt;= ABS(F848*B$3),TRUE,FALSE),IF(F848=G848,TRUE,FALSE))</f>
        <v>1</v>
      </c>
      <c r="E848" s="5" t="e">
        <f>ABS(F848-G848)/ABS(F848)</f>
        <v>#DIV/0!</v>
      </c>
      <c r="F848">
        <v>0</v>
      </c>
      <c r="G848">
        <v>0</v>
      </c>
      <c r="H848">
        <v>0</v>
      </c>
      <c r="J848" s="5" t="e">
        <f>ABS(F848-G848)/ABS(F848)</f>
        <v>#DIV/0!</v>
      </c>
      <c r="K848" s="5" t="e">
        <f>ABS(G848-H848)/ABS(G848)</f>
        <v>#DIV/0!</v>
      </c>
    </row>
    <row r="849" spans="3:11" x14ac:dyDescent="0.2">
      <c r="C849" t="s">
        <v>2232</v>
      </c>
      <c r="D849" t="b">
        <f ca="1">IF(CELL("format",F849)="G",IF(ABS(F849-G849) &lt;= ABS(F849*B$3),TRUE,FALSE),IF(F849=G849,TRUE,FALSE))</f>
        <v>1</v>
      </c>
      <c r="E849" s="5" t="e">
        <f>ABS(F849-G849)/ABS(F849)</f>
        <v>#DIV/0!</v>
      </c>
      <c r="F849">
        <v>0</v>
      </c>
      <c r="G849">
        <v>0</v>
      </c>
      <c r="H849">
        <v>0</v>
      </c>
      <c r="J849" s="5" t="e">
        <f>ABS(F849-G849)/ABS(F849)</f>
        <v>#DIV/0!</v>
      </c>
      <c r="K849" s="5" t="e">
        <f>ABS(G849-H849)/ABS(G849)</f>
        <v>#DIV/0!</v>
      </c>
    </row>
    <row r="850" spans="3:11" x14ac:dyDescent="0.2">
      <c r="C850" t="s">
        <v>2233</v>
      </c>
      <c r="D850" t="b">
        <f ca="1">IF(CELL("format",F850)="G",IF(ABS(F850-G850) &lt;= ABS(F850*B$3),TRUE,FALSE),IF(F850=G850,TRUE,FALSE))</f>
        <v>1</v>
      </c>
      <c r="E850" s="5">
        <f>ABS(F850-G850)/ABS(F850)</f>
        <v>0</v>
      </c>
      <c r="F850">
        <v>2.83</v>
      </c>
      <c r="G850">
        <v>2.83</v>
      </c>
      <c r="H850">
        <v>2.83</v>
      </c>
      <c r="J850" s="5">
        <f>ABS(F850-G850)/ABS(F850)</f>
        <v>0</v>
      </c>
      <c r="K850" s="5">
        <f>ABS(G850-H850)/ABS(G850)</f>
        <v>0</v>
      </c>
    </row>
    <row r="851" spans="3:11" x14ac:dyDescent="0.2">
      <c r="C851" t="s">
        <v>2234</v>
      </c>
      <c r="D851" t="b">
        <f ca="1">IF(CELL("format",F851)="G",IF(ABS(F851-G851) &lt;= ABS(F851*B$3),TRUE,FALSE),IF(F851=G851,TRUE,FALSE))</f>
        <v>1</v>
      </c>
      <c r="E851" s="5">
        <f>ABS(F851-G851)/ABS(F851)</f>
        <v>0</v>
      </c>
      <c r="F851">
        <v>27.06</v>
      </c>
      <c r="G851">
        <v>27.06</v>
      </c>
      <c r="H851">
        <v>27.06</v>
      </c>
      <c r="J851" s="5">
        <f>ABS(F851-G851)/ABS(F851)</f>
        <v>0</v>
      </c>
      <c r="K851" s="5">
        <f>ABS(G851-H851)/ABS(G851)</f>
        <v>0</v>
      </c>
    </row>
    <row r="852" spans="3:11" x14ac:dyDescent="0.2">
      <c r="C852" t="s">
        <v>2235</v>
      </c>
      <c r="D852" t="b">
        <f ca="1">IF(CELL("format",F852)="G",IF(ABS(F852-G852) &lt;= ABS(F852*B$3),TRUE,FALSE),IF(F852=G852,TRUE,FALSE))</f>
        <v>1</v>
      </c>
      <c r="E852" s="5">
        <f>ABS(F852-G852)/ABS(F852)</f>
        <v>0</v>
      </c>
      <c r="F852">
        <v>55.39</v>
      </c>
      <c r="G852">
        <v>55.39</v>
      </c>
      <c r="H852">
        <v>55.39</v>
      </c>
      <c r="J852" s="5">
        <f>ABS(F852-G852)/ABS(F852)</f>
        <v>0</v>
      </c>
      <c r="K852" s="5">
        <f>ABS(G852-H852)/ABS(G852)</f>
        <v>0</v>
      </c>
    </row>
    <row r="853" spans="3:11" x14ac:dyDescent="0.2">
      <c r="C853" t="s">
        <v>2236</v>
      </c>
      <c r="D853" t="b">
        <f ca="1">IF(CELL("format",F853)="G",IF(ABS(F853-G853) &lt;= ABS(F853*B$3),TRUE,FALSE),IF(F853=G853,TRUE,FALSE))</f>
        <v>1</v>
      </c>
      <c r="E853" s="5">
        <f>ABS(F853-G853)/ABS(F853)</f>
        <v>0</v>
      </c>
      <c r="F853">
        <v>81.97</v>
      </c>
      <c r="G853">
        <v>81.97</v>
      </c>
      <c r="H853">
        <v>81.97</v>
      </c>
      <c r="J853" s="5">
        <f>ABS(F853-G853)/ABS(F853)</f>
        <v>0</v>
      </c>
      <c r="K853" s="5">
        <f>ABS(G853-H853)/ABS(G853)</f>
        <v>0</v>
      </c>
    </row>
    <row r="854" spans="3:11" x14ac:dyDescent="0.2">
      <c r="C854" t="s">
        <v>2237</v>
      </c>
      <c r="D854" t="b">
        <f ca="1">IF(CELL("format",F854)="G",IF(ABS(F854-G854) &lt;= ABS(F854*B$3),TRUE,FALSE),IF(F854=G854,TRUE,FALSE))</f>
        <v>1</v>
      </c>
      <c r="E854" s="5">
        <f>ABS(F854-G854)/ABS(F854)</f>
        <v>0</v>
      </c>
      <c r="F854">
        <v>104.12</v>
      </c>
      <c r="G854">
        <v>104.12</v>
      </c>
      <c r="H854">
        <v>104.12</v>
      </c>
      <c r="J854" s="5">
        <f>ABS(F854-G854)/ABS(F854)</f>
        <v>0</v>
      </c>
      <c r="K854" s="5">
        <f>ABS(G854-H854)/ABS(G854)</f>
        <v>0</v>
      </c>
    </row>
    <row r="855" spans="3:11" x14ac:dyDescent="0.2">
      <c r="C855" t="s">
        <v>2238</v>
      </c>
      <c r="D855" t="b">
        <f ca="1">IF(CELL("format",F855)="G",IF(ABS(F855-G855) &lt;= ABS(F855*B$3),TRUE,FALSE),IF(F855=G855,TRUE,FALSE))</f>
        <v>1</v>
      </c>
      <c r="E855" s="5">
        <f>ABS(F855-G855)/ABS(F855)</f>
        <v>0</v>
      </c>
      <c r="F855">
        <v>119.48</v>
      </c>
      <c r="G855">
        <v>119.48</v>
      </c>
      <c r="H855">
        <v>119.48</v>
      </c>
      <c r="J855" s="5">
        <f>ABS(F855-G855)/ABS(F855)</f>
        <v>0</v>
      </c>
      <c r="K855" s="5">
        <f>ABS(G855-H855)/ABS(G855)</f>
        <v>0</v>
      </c>
    </row>
    <row r="856" spans="3:11" x14ac:dyDescent="0.2">
      <c r="C856" t="s">
        <v>2239</v>
      </c>
      <c r="D856" t="b">
        <f ca="1">IF(CELL("format",F856)="G",IF(ABS(F856-G856) &lt;= ABS(F856*B$3),TRUE,FALSE),IF(F856=G856,TRUE,FALSE))</f>
        <v>1</v>
      </c>
      <c r="E856" s="5">
        <f>ABS(F856-G856)/ABS(F856)</f>
        <v>0</v>
      </c>
      <c r="F856">
        <v>128.25</v>
      </c>
      <c r="G856">
        <v>128.25</v>
      </c>
      <c r="H856">
        <v>128.25</v>
      </c>
      <c r="J856" s="5">
        <f>ABS(F856-G856)/ABS(F856)</f>
        <v>0</v>
      </c>
      <c r="K856" s="5">
        <f>ABS(G856-H856)/ABS(G856)</f>
        <v>0</v>
      </c>
    </row>
    <row r="857" spans="3:11" x14ac:dyDescent="0.2">
      <c r="C857" t="s">
        <v>2240</v>
      </c>
      <c r="D857" t="b">
        <f ca="1">IF(CELL("format",F857)="G",IF(ABS(F857-G857) &lt;= ABS(F857*B$3),TRUE,FALSE),IF(F857=G857,TRUE,FALSE))</f>
        <v>1</v>
      </c>
      <c r="E857" s="5">
        <f>ABS(F857-G857)/ABS(F857)</f>
        <v>0</v>
      </c>
      <c r="F857">
        <v>131.55000000000001</v>
      </c>
      <c r="G857">
        <v>131.55000000000001</v>
      </c>
      <c r="H857">
        <v>131.55000000000001</v>
      </c>
      <c r="J857" s="5">
        <f>ABS(F857-G857)/ABS(F857)</f>
        <v>0</v>
      </c>
      <c r="K857" s="5">
        <f>ABS(G857-H857)/ABS(G857)</f>
        <v>0</v>
      </c>
    </row>
    <row r="858" spans="3:11" x14ac:dyDescent="0.2">
      <c r="C858" t="s">
        <v>2241</v>
      </c>
      <c r="D858" t="b">
        <f ca="1">IF(CELL("format",F858)="G",IF(ABS(F858-G858) &lt;= ABS(F858*B$3),TRUE,FALSE),IF(F858=G858,TRUE,FALSE))</f>
        <v>1</v>
      </c>
      <c r="E858" s="5">
        <f>ABS(F858-G858)/ABS(F858)</f>
        <v>0</v>
      </c>
      <c r="F858">
        <v>258.93</v>
      </c>
      <c r="G858">
        <v>258.93</v>
      </c>
      <c r="H858">
        <v>258.93</v>
      </c>
      <c r="J858" s="5">
        <f>ABS(F858-G858)/ABS(F858)</f>
        <v>0</v>
      </c>
      <c r="K858" s="5">
        <f>ABS(G858-H858)/ABS(G858)</f>
        <v>0</v>
      </c>
    </row>
    <row r="859" spans="3:11" x14ac:dyDescent="0.2">
      <c r="C859" t="s">
        <v>2242</v>
      </c>
      <c r="D859" t="b">
        <f ca="1">IF(CELL("format",F859)="G",IF(ABS(F859-G859) &lt;= ABS(F859*B$3),TRUE,FALSE),IF(F859=G859,TRUE,FALSE))</f>
        <v>1</v>
      </c>
      <c r="E859" s="5">
        <f>ABS(F859-G859)/ABS(F859)</f>
        <v>0</v>
      </c>
      <c r="F859">
        <v>491.65</v>
      </c>
      <c r="G859">
        <v>491.65</v>
      </c>
      <c r="H859">
        <v>491.65</v>
      </c>
      <c r="J859" s="5">
        <f>ABS(F859-G859)/ABS(F859)</f>
        <v>0</v>
      </c>
      <c r="K859" s="5">
        <f>ABS(G859-H859)/ABS(G859)</f>
        <v>0</v>
      </c>
    </row>
    <row r="860" spans="3:11" x14ac:dyDescent="0.2">
      <c r="C860" t="s">
        <v>2243</v>
      </c>
      <c r="D860" t="b">
        <f ca="1">IF(CELL("format",F860)="G",IF(ABS(F860-G860) &lt;= ABS(F860*B$3),TRUE,FALSE),IF(F860=G860,TRUE,FALSE))</f>
        <v>1</v>
      </c>
      <c r="E860" s="5">
        <f>ABS(F860-G860)/ABS(F860)</f>
        <v>0</v>
      </c>
      <c r="F860">
        <v>683.86</v>
      </c>
      <c r="G860">
        <v>683.86</v>
      </c>
      <c r="H860">
        <v>683.86</v>
      </c>
      <c r="J860" s="5">
        <f>ABS(F860-G860)/ABS(F860)</f>
        <v>0</v>
      </c>
      <c r="K860" s="5">
        <f>ABS(G860-H860)/ABS(G860)</f>
        <v>0</v>
      </c>
    </row>
    <row r="861" spans="3:11" x14ac:dyDescent="0.2">
      <c r="C861" t="s">
        <v>2244</v>
      </c>
      <c r="D861" t="b">
        <f ca="1">IF(CELL("format",F861)="G",IF(ABS(F861-G861) &lt;= ABS(F861*B$3),TRUE,FALSE),IF(F861=G861,TRUE,FALSE))</f>
        <v>1</v>
      </c>
      <c r="E861" s="5">
        <f>ABS(F861-G861)/ABS(F861)</f>
        <v>0</v>
      </c>
      <c r="F861">
        <v>811.98</v>
      </c>
      <c r="G861">
        <v>811.98</v>
      </c>
      <c r="H861">
        <v>811.98</v>
      </c>
      <c r="J861" s="5">
        <f>ABS(F861-G861)/ABS(F861)</f>
        <v>0</v>
      </c>
      <c r="K861" s="5">
        <f>ABS(G861-H861)/ABS(G861)</f>
        <v>0</v>
      </c>
    </row>
    <row r="862" spans="3:11" x14ac:dyDescent="0.2">
      <c r="C862" t="s">
        <v>2245</v>
      </c>
      <c r="D862" t="b">
        <f ca="1">IF(CELL("format",F862)="G",IF(ABS(F862-G862) &lt;= ABS(F862*B$3),TRUE,FALSE),IF(F862=G862,TRUE,FALSE))</f>
        <v>1</v>
      </c>
      <c r="E862" s="5">
        <f>ABS(F862-G862)/ABS(F862)</f>
        <v>0</v>
      </c>
      <c r="F862">
        <v>853.44</v>
      </c>
      <c r="G862">
        <v>853.44</v>
      </c>
      <c r="H862">
        <v>853.44</v>
      </c>
      <c r="J862" s="5">
        <f>ABS(F862-G862)/ABS(F862)</f>
        <v>0</v>
      </c>
      <c r="K862" s="5">
        <f>ABS(G862-H862)/ABS(G862)</f>
        <v>0</v>
      </c>
    </row>
    <row r="863" spans="3:11" x14ac:dyDescent="0.2">
      <c r="C863" t="s">
        <v>2246</v>
      </c>
      <c r="D863" t="b">
        <f ca="1">IF(CELL("format",F863)="G",IF(ABS(F863-G863) &lt;= ABS(F863*B$3),TRUE,FALSE),IF(F863=G863,TRUE,FALSE))</f>
        <v>1</v>
      </c>
      <c r="E863" s="5">
        <f>ABS(F863-G863)/ABS(F863)</f>
        <v>0</v>
      </c>
      <c r="F863">
        <v>778.08</v>
      </c>
      <c r="G863">
        <v>778.08</v>
      </c>
      <c r="H863">
        <v>778.08</v>
      </c>
      <c r="J863" s="5">
        <f>ABS(F863-G863)/ABS(F863)</f>
        <v>0</v>
      </c>
      <c r="K863" s="5">
        <f>ABS(G863-H863)/ABS(G863)</f>
        <v>0</v>
      </c>
    </row>
    <row r="864" spans="3:11" x14ac:dyDescent="0.2">
      <c r="C864" t="s">
        <v>2247</v>
      </c>
      <c r="D864" t="b">
        <f ca="1">IF(CELL("format",F864)="G",IF(ABS(F864-G864) &lt;= ABS(F864*B$3),TRUE,FALSE),IF(F864=G864,TRUE,FALSE))</f>
        <v>1</v>
      </c>
      <c r="E864" s="5">
        <f>ABS(F864-G864)/ABS(F864)</f>
        <v>0</v>
      </c>
      <c r="F864">
        <v>527.4</v>
      </c>
      <c r="G864">
        <v>527.4</v>
      </c>
      <c r="H864">
        <v>527.4</v>
      </c>
      <c r="J864" s="5">
        <f>ABS(F864-G864)/ABS(F864)</f>
        <v>0</v>
      </c>
      <c r="K864" s="5">
        <f>ABS(G864-H864)/ABS(G864)</f>
        <v>0</v>
      </c>
    </row>
    <row r="865" spans="3:11" x14ac:dyDescent="0.2">
      <c r="C865" t="s">
        <v>2248</v>
      </c>
      <c r="D865" t="b">
        <f ca="1">IF(CELL("format",F865)="G",IF(ABS(F865-G865) &lt;= ABS(F865*B$3),TRUE,FALSE),IF(F865=G865,TRUE,FALSE))</f>
        <v>1</v>
      </c>
      <c r="E865" s="5">
        <f>ABS(F865-G865)/ABS(F865)</f>
        <v>0</v>
      </c>
      <c r="F865">
        <v>70.209999999999994</v>
      </c>
      <c r="G865">
        <v>70.209999999999994</v>
      </c>
      <c r="H865">
        <v>70.209999999999994</v>
      </c>
      <c r="J865" s="5">
        <f>ABS(F865-G865)/ABS(F865)</f>
        <v>0</v>
      </c>
      <c r="K865" s="5">
        <f>ABS(G865-H865)/ABS(G865)</f>
        <v>0</v>
      </c>
    </row>
    <row r="866" spans="3:11" x14ac:dyDescent="0.2">
      <c r="C866" t="s">
        <v>2249</v>
      </c>
      <c r="D866" t="b">
        <f ca="1">IF(CELL("format",F866)="G",IF(ABS(F866-G866) &lt;= ABS(F866*B$3),TRUE,FALSE),IF(F866=G866,TRUE,FALSE))</f>
        <v>1</v>
      </c>
      <c r="E866" s="5" t="e">
        <f>ABS(F866-G866)/ABS(F866)</f>
        <v>#DIV/0!</v>
      </c>
      <c r="F866">
        <v>0</v>
      </c>
      <c r="G866">
        <v>0</v>
      </c>
      <c r="H866">
        <v>0</v>
      </c>
      <c r="J866" s="5" t="e">
        <f>ABS(F866-G866)/ABS(F866)</f>
        <v>#DIV/0!</v>
      </c>
      <c r="K866" s="5" t="e">
        <f>ABS(G866-H866)/ABS(G866)</f>
        <v>#DIV/0!</v>
      </c>
    </row>
    <row r="867" spans="3:11" x14ac:dyDescent="0.2">
      <c r="C867" t="s">
        <v>2250</v>
      </c>
      <c r="D867" t="b">
        <f ca="1">IF(CELL("format",F867)="G",IF(ABS(F867-G867) &lt;= ABS(F867*B$3),TRUE,FALSE),IF(F867=G867,TRUE,FALSE))</f>
        <v>1</v>
      </c>
      <c r="E867" s="5" t="e">
        <f>ABS(F867-G867)/ABS(F867)</f>
        <v>#DIV/0!</v>
      </c>
      <c r="F867">
        <v>0</v>
      </c>
      <c r="G867">
        <v>0</v>
      </c>
      <c r="H867">
        <v>0</v>
      </c>
      <c r="J867" s="5" t="e">
        <f>ABS(F867-G867)/ABS(F867)</f>
        <v>#DIV/0!</v>
      </c>
      <c r="K867" s="5" t="e">
        <f>ABS(G867-H867)/ABS(G867)</f>
        <v>#DIV/0!</v>
      </c>
    </row>
    <row r="868" spans="3:11" x14ac:dyDescent="0.2">
      <c r="C868" t="s">
        <v>2251</v>
      </c>
      <c r="D868" t="b">
        <f ca="1">IF(CELL("format",F868)="G",IF(ABS(F868-G868) &lt;= ABS(F868*B$3),TRUE,FALSE),IF(F868=G868,TRUE,FALSE))</f>
        <v>1</v>
      </c>
      <c r="E868" s="5" t="e">
        <f>ABS(F868-G868)/ABS(F868)</f>
        <v>#DIV/0!</v>
      </c>
      <c r="F868">
        <v>0</v>
      </c>
      <c r="G868">
        <v>0</v>
      </c>
      <c r="H868">
        <v>0</v>
      </c>
      <c r="J868" s="5" t="e">
        <f>ABS(F868-G868)/ABS(F868)</f>
        <v>#DIV/0!</v>
      </c>
      <c r="K868" s="5" t="e">
        <f>ABS(G868-H868)/ABS(G868)</f>
        <v>#DIV/0!</v>
      </c>
    </row>
    <row r="869" spans="3:11" x14ac:dyDescent="0.2">
      <c r="C869" t="s">
        <v>2252</v>
      </c>
      <c r="D869" t="b">
        <f ca="1">IF(CELL("format",F869)="G",IF(ABS(F869-G869) &lt;= ABS(F869*B$3),TRUE,FALSE),IF(F869=G869,TRUE,FALSE))</f>
        <v>1</v>
      </c>
      <c r="E869" s="5" t="e">
        <f>ABS(F869-G869)/ABS(F869)</f>
        <v>#DIV/0!</v>
      </c>
      <c r="F869">
        <v>0</v>
      </c>
      <c r="G869">
        <v>0</v>
      </c>
      <c r="H869">
        <v>0</v>
      </c>
      <c r="J869" s="5" t="e">
        <f>ABS(F869-G869)/ABS(F869)</f>
        <v>#DIV/0!</v>
      </c>
      <c r="K869" s="5" t="e">
        <f>ABS(G869-H869)/ABS(G869)</f>
        <v>#DIV/0!</v>
      </c>
    </row>
    <row r="870" spans="3:11" x14ac:dyDescent="0.2">
      <c r="C870" t="s">
        <v>2253</v>
      </c>
      <c r="D870" t="b">
        <f ca="1">IF(CELL("format",F870)="G",IF(ABS(F870-G870) &lt;= ABS(F870*B$3),TRUE,FALSE),IF(F870=G870,TRUE,FALSE))</f>
        <v>1</v>
      </c>
      <c r="E870" s="5">
        <f>ABS(F870-G870)/ABS(F870)</f>
        <v>0</v>
      </c>
      <c r="F870">
        <v>-22.96</v>
      </c>
      <c r="G870">
        <v>-22.96</v>
      </c>
      <c r="H870">
        <v>-22.96</v>
      </c>
      <c r="J870" s="5">
        <f>ABS(F870-G870)/ABS(F870)</f>
        <v>0</v>
      </c>
      <c r="K870" s="5">
        <f>ABS(G870-H870)/ABS(G870)</f>
        <v>0</v>
      </c>
    </row>
    <row r="871" spans="3:11" x14ac:dyDescent="0.2">
      <c r="C871" t="s">
        <v>2254</v>
      </c>
      <c r="D871" t="b">
        <f ca="1">IF(CELL("format",F871)="G",IF(ABS(F871-G871) &lt;= ABS(F871*B$3),TRUE,FALSE),IF(F871=G871,TRUE,FALSE))</f>
        <v>1</v>
      </c>
      <c r="E871" s="5">
        <f>ABS(F871-G871)/ABS(F871)</f>
        <v>0</v>
      </c>
      <c r="F871">
        <v>-24.14</v>
      </c>
      <c r="G871">
        <v>-24.14</v>
      </c>
      <c r="H871">
        <v>-24.14</v>
      </c>
      <c r="J871" s="5">
        <f>ABS(F871-G871)/ABS(F871)</f>
        <v>0</v>
      </c>
      <c r="K871" s="5">
        <f>ABS(G871-H871)/ABS(G871)</f>
        <v>0</v>
      </c>
    </row>
    <row r="872" spans="3:11" x14ac:dyDescent="0.2">
      <c r="C872" t="s">
        <v>2255</v>
      </c>
      <c r="D872" t="b">
        <f ca="1">IF(CELL("format",F872)="G",IF(ABS(F872-G872) &lt;= ABS(F872*B$3),TRUE,FALSE),IF(F872=G872,TRUE,FALSE))</f>
        <v>1</v>
      </c>
      <c r="E872" s="5">
        <f>ABS(F872-G872)/ABS(F872)</f>
        <v>0</v>
      </c>
      <c r="F872">
        <v>-25.31</v>
      </c>
      <c r="G872">
        <v>-25.31</v>
      </c>
      <c r="H872">
        <v>-25.31</v>
      </c>
      <c r="J872" s="5">
        <f>ABS(F872-G872)/ABS(F872)</f>
        <v>0</v>
      </c>
      <c r="K872" s="5">
        <f>ABS(G872-H872)/ABS(G872)</f>
        <v>0</v>
      </c>
    </row>
    <row r="873" spans="3:11" x14ac:dyDescent="0.2">
      <c r="C873" t="s">
        <v>2256</v>
      </c>
      <c r="D873" t="b">
        <f ca="1">IF(CELL("format",F873)="G",IF(ABS(F873-G873) &lt;= ABS(F873*B$3),TRUE,FALSE),IF(F873=G873,TRUE,FALSE))</f>
        <v>1</v>
      </c>
      <c r="E873" s="5">
        <f>ABS(F873-G873)/ABS(F873)</f>
        <v>0</v>
      </c>
      <c r="F873">
        <v>-27.19</v>
      </c>
      <c r="G873">
        <v>-27.19</v>
      </c>
      <c r="H873">
        <v>-27.19</v>
      </c>
      <c r="J873" s="5">
        <f>ABS(F873-G873)/ABS(F873)</f>
        <v>0</v>
      </c>
      <c r="K873" s="5">
        <f>ABS(G873-H873)/ABS(G873)</f>
        <v>0</v>
      </c>
    </row>
    <row r="874" spans="3:11" x14ac:dyDescent="0.2">
      <c r="C874" t="s">
        <v>2257</v>
      </c>
      <c r="D874" t="b">
        <f ca="1">IF(CELL("format",F874)="G",IF(ABS(F874-G874) &lt;= ABS(F874*B$3),TRUE,FALSE),IF(F874=G874,TRUE,FALSE))</f>
        <v>1</v>
      </c>
      <c r="E874" s="5">
        <f>ABS(F874-G874)/ABS(F874)</f>
        <v>0</v>
      </c>
      <c r="F874">
        <v>-26.9</v>
      </c>
      <c r="G874">
        <v>-26.9</v>
      </c>
      <c r="H874">
        <v>-26.9</v>
      </c>
      <c r="J874" s="5">
        <f>ABS(F874-G874)/ABS(F874)</f>
        <v>0</v>
      </c>
      <c r="K874" s="5">
        <f>ABS(G874-H874)/ABS(G874)</f>
        <v>0</v>
      </c>
    </row>
    <row r="875" spans="3:11" x14ac:dyDescent="0.2">
      <c r="C875" t="s">
        <v>2258</v>
      </c>
      <c r="D875" t="b">
        <f ca="1">IF(CELL("format",F875)="G",IF(ABS(F875-G875) &lt;= ABS(F875*B$3),TRUE,FALSE),IF(F875=G875,TRUE,FALSE))</f>
        <v>1</v>
      </c>
      <c r="E875" s="5">
        <f>ABS(F875-G875)/ABS(F875)</f>
        <v>0</v>
      </c>
      <c r="F875">
        <v>-26.67</v>
      </c>
      <c r="G875">
        <v>-26.67</v>
      </c>
      <c r="H875">
        <v>-26.67</v>
      </c>
      <c r="J875" s="5">
        <f>ABS(F875-G875)/ABS(F875)</f>
        <v>0</v>
      </c>
      <c r="K875" s="5">
        <f>ABS(G875-H875)/ABS(G875)</f>
        <v>0</v>
      </c>
    </row>
    <row r="876" spans="3:11" x14ac:dyDescent="0.2">
      <c r="C876" t="s">
        <v>2259</v>
      </c>
      <c r="D876" t="b">
        <f ca="1">IF(CELL("format",F876)="G",IF(ABS(F876-G876) &lt;= ABS(F876*B$3),TRUE,FALSE),IF(F876=G876,TRUE,FALSE))</f>
        <v>1</v>
      </c>
      <c r="E876" s="5">
        <f>ABS(F876-G876)/ABS(F876)</f>
        <v>0</v>
      </c>
      <c r="F876">
        <v>-27.39</v>
      </c>
      <c r="G876">
        <v>-27.39</v>
      </c>
      <c r="H876">
        <v>-27.39</v>
      </c>
      <c r="J876" s="5">
        <f>ABS(F876-G876)/ABS(F876)</f>
        <v>0</v>
      </c>
      <c r="K876" s="5">
        <f>ABS(G876-H876)/ABS(G876)</f>
        <v>0</v>
      </c>
    </row>
    <row r="877" spans="3:11" x14ac:dyDescent="0.2">
      <c r="C877" t="s">
        <v>2260</v>
      </c>
      <c r="D877" t="b">
        <f ca="1">IF(CELL("format",F877)="G",IF(ABS(F877-G877) &lt;= ABS(F877*B$3),TRUE,FALSE),IF(F877=G877,TRUE,FALSE))</f>
        <v>1</v>
      </c>
      <c r="E877" s="5">
        <f>ABS(F877-G877)/ABS(F877)</f>
        <v>0</v>
      </c>
      <c r="F877">
        <v>-26.6</v>
      </c>
      <c r="G877">
        <v>-26.6</v>
      </c>
      <c r="H877">
        <v>-26.6</v>
      </c>
      <c r="J877" s="5">
        <f>ABS(F877-G877)/ABS(F877)</f>
        <v>0</v>
      </c>
      <c r="K877" s="5">
        <f>ABS(G877-H877)/ABS(G877)</f>
        <v>0</v>
      </c>
    </row>
    <row r="878" spans="3:11" x14ac:dyDescent="0.2">
      <c r="C878" t="s">
        <v>2261</v>
      </c>
      <c r="D878" t="b">
        <f ca="1">IF(CELL("format",F878)="G",IF(ABS(F878-G878) &lt;= ABS(F878*B$3),TRUE,FALSE),IF(F878=G878,TRUE,FALSE))</f>
        <v>1</v>
      </c>
      <c r="E878" s="5">
        <f>ABS(F878-G878)/ABS(F878)</f>
        <v>0</v>
      </c>
      <c r="F878">
        <v>-25.36</v>
      </c>
      <c r="G878">
        <v>-25.36</v>
      </c>
      <c r="H878">
        <v>-25.36</v>
      </c>
      <c r="J878" s="5">
        <f>ABS(F878-G878)/ABS(F878)</f>
        <v>0</v>
      </c>
      <c r="K878" s="5">
        <f>ABS(G878-H878)/ABS(G878)</f>
        <v>0</v>
      </c>
    </row>
    <row r="879" spans="3:11" x14ac:dyDescent="0.2">
      <c r="C879" t="s">
        <v>2262</v>
      </c>
      <c r="D879" t="b">
        <f ca="1">IF(CELL("format",F879)="G",IF(ABS(F879-G879) &lt;= ABS(F879*B$3),TRUE,FALSE),IF(F879=G879,TRUE,FALSE))</f>
        <v>1</v>
      </c>
      <c r="E879" s="5">
        <f>ABS(F879-G879)/ABS(F879)</f>
        <v>0</v>
      </c>
      <c r="F879">
        <v>-24.49</v>
      </c>
      <c r="G879">
        <v>-24.49</v>
      </c>
      <c r="H879">
        <v>-24.49</v>
      </c>
      <c r="J879" s="5">
        <f>ABS(F879-G879)/ABS(F879)</f>
        <v>0</v>
      </c>
      <c r="K879" s="5">
        <f>ABS(G879-H879)/ABS(G879)</f>
        <v>0</v>
      </c>
    </row>
    <row r="880" spans="3:11" x14ac:dyDescent="0.2">
      <c r="C880" t="s">
        <v>2263</v>
      </c>
      <c r="D880" t="b">
        <f ca="1">IF(CELL("format",F880)="G",IF(ABS(F880-G880) &lt;= ABS(F880*B$3),TRUE,FALSE),IF(F880=G880,TRUE,FALSE))</f>
        <v>1</v>
      </c>
      <c r="E880" s="5">
        <f>ABS(F880-G880)/ABS(F880)</f>
        <v>0</v>
      </c>
      <c r="F880">
        <v>-23.14</v>
      </c>
      <c r="G880">
        <v>-23.14</v>
      </c>
      <c r="H880">
        <v>-23.14</v>
      </c>
      <c r="J880" s="5">
        <f>ABS(F880-G880)/ABS(F880)</f>
        <v>0</v>
      </c>
      <c r="K880" s="5">
        <f>ABS(G880-H880)/ABS(G880)</f>
        <v>0</v>
      </c>
    </row>
    <row r="881" spans="3:11" x14ac:dyDescent="0.2">
      <c r="C881" t="s">
        <v>2264</v>
      </c>
      <c r="D881" t="b">
        <f ca="1">IF(CELL("format",F881)="G",IF(ABS(F881-G881) &lt;= ABS(F881*B$3),TRUE,FALSE),IF(F881=G881,TRUE,FALSE))</f>
        <v>1</v>
      </c>
      <c r="E881" s="5">
        <f>ABS(F881-G881)/ABS(F881)</f>
        <v>0</v>
      </c>
      <c r="F881">
        <v>-21.79</v>
      </c>
      <c r="G881">
        <v>-21.79</v>
      </c>
      <c r="H881">
        <v>-21.79</v>
      </c>
      <c r="J881" s="5">
        <f>ABS(F881-G881)/ABS(F881)</f>
        <v>0</v>
      </c>
      <c r="K881" s="5">
        <f>ABS(G881-H881)/ABS(G881)</f>
        <v>0</v>
      </c>
    </row>
    <row r="882" spans="3:11" x14ac:dyDescent="0.2">
      <c r="C882" t="s">
        <v>2265</v>
      </c>
      <c r="D882" t="b">
        <f ca="1">IF(CELL("format",F882)="G",IF(ABS(F882-G882) &lt;= ABS(F882*B$3),TRUE,FALSE),IF(F882=G882,TRUE,FALSE))</f>
        <v>1</v>
      </c>
      <c r="E882" s="5">
        <f>ABS(F882-G882)/ABS(F882)</f>
        <v>0</v>
      </c>
      <c r="F882">
        <v>-20.21</v>
      </c>
      <c r="G882">
        <v>-20.21</v>
      </c>
      <c r="H882">
        <v>-20.21</v>
      </c>
      <c r="J882" s="5">
        <f>ABS(F882-G882)/ABS(F882)</f>
        <v>0</v>
      </c>
      <c r="K882" s="5">
        <f>ABS(G882-H882)/ABS(G882)</f>
        <v>0</v>
      </c>
    </row>
    <row r="883" spans="3:11" x14ac:dyDescent="0.2">
      <c r="C883" t="s">
        <v>2266</v>
      </c>
      <c r="D883" t="b">
        <f ca="1">IF(CELL("format",F883)="G",IF(ABS(F883-G883) &lt;= ABS(F883*B$3),TRUE,FALSE),IF(F883=G883,TRUE,FALSE))</f>
        <v>1</v>
      </c>
      <c r="E883" s="5">
        <f>ABS(F883-G883)/ABS(F883)</f>
        <v>0</v>
      </c>
      <c r="F883">
        <v>-20.69</v>
      </c>
      <c r="G883">
        <v>-20.69</v>
      </c>
      <c r="H883">
        <v>-20.69</v>
      </c>
      <c r="J883" s="5">
        <f>ABS(F883-G883)/ABS(F883)</f>
        <v>0</v>
      </c>
      <c r="K883" s="5">
        <f>ABS(G883-H883)/ABS(G883)</f>
        <v>0</v>
      </c>
    </row>
    <row r="884" spans="3:11" x14ac:dyDescent="0.2">
      <c r="C884" t="s">
        <v>2267</v>
      </c>
      <c r="D884" t="b">
        <f ca="1">IF(CELL("format",F884)="G",IF(ABS(F884-G884) &lt;= ABS(F884*B$3),TRUE,FALSE),IF(F884=G884,TRUE,FALSE))</f>
        <v>1</v>
      </c>
      <c r="E884" s="5">
        <f>ABS(F884-G884)/ABS(F884)</f>
        <v>0</v>
      </c>
      <c r="F884">
        <v>-21.77</v>
      </c>
      <c r="G884">
        <v>-21.77</v>
      </c>
      <c r="H884">
        <v>-21.77</v>
      </c>
      <c r="J884" s="5">
        <f>ABS(F884-G884)/ABS(F884)</f>
        <v>0</v>
      </c>
      <c r="K884" s="5">
        <f>ABS(G884-H884)/ABS(G884)</f>
        <v>0</v>
      </c>
    </row>
    <row r="885" spans="3:11" x14ac:dyDescent="0.2">
      <c r="C885" t="s">
        <v>2268</v>
      </c>
      <c r="D885" t="b">
        <f ca="1">IF(CELL("format",F885)="G",IF(ABS(F885-G885) &lt;= ABS(F885*B$3),TRUE,FALSE),IF(F885=G885,TRUE,FALSE))</f>
        <v>1</v>
      </c>
      <c r="E885" s="5">
        <f>ABS(F885-G885)/ABS(F885)</f>
        <v>0</v>
      </c>
      <c r="F885">
        <v>-22.21</v>
      </c>
      <c r="G885">
        <v>-22.21</v>
      </c>
      <c r="H885">
        <v>-22.21</v>
      </c>
      <c r="J885" s="5">
        <f>ABS(F885-G885)/ABS(F885)</f>
        <v>0</v>
      </c>
      <c r="K885" s="5">
        <f>ABS(G885-H885)/ABS(G885)</f>
        <v>0</v>
      </c>
    </row>
    <row r="886" spans="3:11" x14ac:dyDescent="0.2">
      <c r="C886" t="s">
        <v>2269</v>
      </c>
      <c r="D886" t="b">
        <f ca="1">IF(CELL("format",F886)="G",IF(ABS(F886-G886) &lt;= ABS(F886*B$3),TRUE,FALSE),IF(F886=G886,TRUE,FALSE))</f>
        <v>1</v>
      </c>
      <c r="E886" s="5">
        <f>ABS(F886-G886)/ABS(F886)</f>
        <v>0</v>
      </c>
      <c r="F886">
        <v>-22.93</v>
      </c>
      <c r="G886">
        <v>-22.93</v>
      </c>
      <c r="H886">
        <v>-22.93</v>
      </c>
      <c r="J886" s="5">
        <f>ABS(F886-G886)/ABS(F886)</f>
        <v>0</v>
      </c>
      <c r="K886" s="5">
        <f>ABS(G886-H886)/ABS(G886)</f>
        <v>0</v>
      </c>
    </row>
    <row r="887" spans="3:11" x14ac:dyDescent="0.2">
      <c r="C887" t="s">
        <v>2270</v>
      </c>
      <c r="D887" t="b">
        <f ca="1">IF(CELL("format",F887)="G",IF(ABS(F887-G887) &lt;= ABS(F887*B$3),TRUE,FALSE),IF(F887=G887,TRUE,FALSE))</f>
        <v>1</v>
      </c>
      <c r="E887" s="5">
        <f>ABS(F887-G887)/ABS(F887)</f>
        <v>0</v>
      </c>
      <c r="F887">
        <v>-24.62</v>
      </c>
      <c r="G887">
        <v>-24.62</v>
      </c>
      <c r="H887">
        <v>-24.62</v>
      </c>
      <c r="J887" s="5">
        <f>ABS(F887-G887)/ABS(F887)</f>
        <v>0</v>
      </c>
      <c r="K887" s="5">
        <f>ABS(G887-H887)/ABS(G887)</f>
        <v>0</v>
      </c>
    </row>
    <row r="888" spans="3:11" x14ac:dyDescent="0.2">
      <c r="C888" t="s">
        <v>2271</v>
      </c>
      <c r="D888" t="b">
        <f ca="1">IF(CELL("format",F888)="G",IF(ABS(F888-G888) &lt;= ABS(F888*B$3),TRUE,FALSE),IF(F888=G888,TRUE,FALSE))</f>
        <v>1</v>
      </c>
      <c r="E888" s="5">
        <f>ABS(F888-G888)/ABS(F888)</f>
        <v>0</v>
      </c>
      <c r="F888">
        <v>-25.92</v>
      </c>
      <c r="G888">
        <v>-25.92</v>
      </c>
      <c r="H888">
        <v>-25.92</v>
      </c>
      <c r="J888" s="5">
        <f>ABS(F888-G888)/ABS(F888)</f>
        <v>0</v>
      </c>
      <c r="K888" s="5">
        <f>ABS(G888-H888)/ABS(G888)</f>
        <v>0</v>
      </c>
    </row>
    <row r="889" spans="3:11" x14ac:dyDescent="0.2">
      <c r="C889" t="s">
        <v>2272</v>
      </c>
      <c r="D889" t="b">
        <f ca="1">IF(CELL("format",F889)="G",IF(ABS(F889-G889) &lt;= ABS(F889*B$3),TRUE,FALSE),IF(F889=G889,TRUE,FALSE))</f>
        <v>1</v>
      </c>
      <c r="E889" s="5">
        <f>ABS(F889-G889)/ABS(F889)</f>
        <v>0</v>
      </c>
      <c r="F889">
        <v>-26.5</v>
      </c>
      <c r="G889">
        <v>-26.5</v>
      </c>
      <c r="H889">
        <v>-26.5</v>
      </c>
      <c r="J889" s="5">
        <f>ABS(F889-G889)/ABS(F889)</f>
        <v>0</v>
      </c>
      <c r="K889" s="5">
        <f>ABS(G889-H889)/ABS(G889)</f>
        <v>0</v>
      </c>
    </row>
    <row r="890" spans="3:11" x14ac:dyDescent="0.2">
      <c r="C890" t="s">
        <v>2273</v>
      </c>
      <c r="D890" t="b">
        <f ca="1">IF(CELL("format",F890)="G",IF(ABS(F890-G890) &lt;= ABS(F890*B$3),TRUE,FALSE),IF(F890=G890,TRUE,FALSE))</f>
        <v>1</v>
      </c>
      <c r="E890" s="5">
        <f>ABS(F890-G890)/ABS(F890)</f>
        <v>0</v>
      </c>
      <c r="F890">
        <v>-27.61</v>
      </c>
      <c r="G890">
        <v>-27.61</v>
      </c>
      <c r="H890">
        <v>-27.61</v>
      </c>
      <c r="J890" s="5">
        <f>ABS(F890-G890)/ABS(F890)</f>
        <v>0</v>
      </c>
      <c r="K890" s="5">
        <f>ABS(G890-H890)/ABS(G890)</f>
        <v>0</v>
      </c>
    </row>
    <row r="891" spans="3:11" x14ac:dyDescent="0.2">
      <c r="C891" t="s">
        <v>2274</v>
      </c>
      <c r="D891" t="b">
        <f ca="1">IF(CELL("format",F891)="G",IF(ABS(F891-G891) &lt;= ABS(F891*B$3),TRUE,FALSE),IF(F891=G891,TRUE,FALSE))</f>
        <v>1</v>
      </c>
      <c r="E891" s="5">
        <f>ABS(F891-G891)/ABS(F891)</f>
        <v>0</v>
      </c>
      <c r="F891">
        <v>-28.94</v>
      </c>
      <c r="G891">
        <v>-28.94</v>
      </c>
      <c r="H891">
        <v>-28.94</v>
      </c>
      <c r="J891" s="5">
        <f>ABS(F891-G891)/ABS(F891)</f>
        <v>0</v>
      </c>
      <c r="K891" s="5">
        <f>ABS(G891-H891)/ABS(G891)</f>
        <v>0</v>
      </c>
    </row>
    <row r="892" spans="3:11" x14ac:dyDescent="0.2">
      <c r="C892" t="s">
        <v>2275</v>
      </c>
      <c r="D892" t="b">
        <f ca="1">IF(CELL("format",F892)="G",IF(ABS(F892-G892) &lt;= ABS(F892*B$3),TRUE,FALSE),IF(F892=G892,TRUE,FALSE))</f>
        <v>1</v>
      </c>
      <c r="E892" s="5">
        <f>ABS(F892-G892)/ABS(F892)</f>
        <v>0</v>
      </c>
      <c r="F892">
        <v>-29.44</v>
      </c>
      <c r="G892">
        <v>-29.44</v>
      </c>
      <c r="H892">
        <v>-29.44</v>
      </c>
      <c r="J892" s="5">
        <f>ABS(F892-G892)/ABS(F892)</f>
        <v>0</v>
      </c>
      <c r="K892" s="5">
        <f>ABS(G892-H892)/ABS(G892)</f>
        <v>0</v>
      </c>
    </row>
    <row r="893" spans="3:11" x14ac:dyDescent="0.2">
      <c r="C893" t="s">
        <v>2276</v>
      </c>
      <c r="D893" t="b">
        <f ca="1">IF(CELL("format",F893)="G",IF(ABS(F893-G893) &lt;= ABS(F893*B$3),TRUE,FALSE),IF(F893=G893,TRUE,FALSE))</f>
        <v>1</v>
      </c>
      <c r="E893" s="5">
        <f>ABS(F893-G893)/ABS(F893)</f>
        <v>0</v>
      </c>
      <c r="F893">
        <v>-29.27</v>
      </c>
      <c r="G893">
        <v>-29.27</v>
      </c>
      <c r="H893">
        <v>-29.27</v>
      </c>
      <c r="J893" s="5">
        <f>ABS(F893-G893)/ABS(F893)</f>
        <v>0</v>
      </c>
      <c r="K893" s="5">
        <f>ABS(G893-H893)/ABS(G893)</f>
        <v>0</v>
      </c>
    </row>
    <row r="894" spans="3:11" x14ac:dyDescent="0.2">
      <c r="C894" t="s">
        <v>2253</v>
      </c>
      <c r="D894" t="b">
        <f ca="1">IF(CELL("format",F894)="G",IF(ABS(F894-G894) &lt;= ABS(F894*B$3),TRUE,FALSE),IF(F894=G894,TRUE,FALSE))</f>
        <v>1</v>
      </c>
      <c r="E894" s="5">
        <f>ABS(F894-G894)/ABS(F894)</f>
        <v>0</v>
      </c>
      <c r="F894">
        <v>-1.17</v>
      </c>
      <c r="G894">
        <v>-1.17</v>
      </c>
      <c r="H894">
        <v>-1.17</v>
      </c>
      <c r="J894" s="5">
        <f>ABS(F894-G894)/ABS(F894)</f>
        <v>0</v>
      </c>
      <c r="K894" s="5">
        <f>ABS(G894-H894)/ABS(G894)</f>
        <v>0</v>
      </c>
    </row>
    <row r="895" spans="3:11" x14ac:dyDescent="0.2">
      <c r="C895" t="s">
        <v>2254</v>
      </c>
      <c r="D895" t="b">
        <f ca="1">IF(CELL("format",F895)="G",IF(ABS(F895-G895) &lt;= ABS(F895*B$3),TRUE,FALSE),IF(F895=G895,TRUE,FALSE))</f>
        <v>1</v>
      </c>
      <c r="E895" s="5">
        <f>ABS(F895-G895)/ABS(F895)</f>
        <v>0</v>
      </c>
      <c r="F895">
        <v>-1.19</v>
      </c>
      <c r="G895">
        <v>-1.19</v>
      </c>
      <c r="H895">
        <v>-1.19</v>
      </c>
      <c r="J895" s="5">
        <f>ABS(F895-G895)/ABS(F895)</f>
        <v>0</v>
      </c>
      <c r="K895" s="5">
        <f>ABS(G895-H895)/ABS(G895)</f>
        <v>0</v>
      </c>
    </row>
    <row r="896" spans="3:11" x14ac:dyDescent="0.2">
      <c r="C896" t="s">
        <v>2255</v>
      </c>
      <c r="D896" t="b">
        <f ca="1">IF(CELL("format",F896)="G",IF(ABS(F896-G896) &lt;= ABS(F896*B$3),TRUE,FALSE),IF(F896=G896,TRUE,FALSE))</f>
        <v>1</v>
      </c>
      <c r="E896" s="5">
        <f>ABS(F896-G896)/ABS(F896)</f>
        <v>0</v>
      </c>
      <c r="F896">
        <v>-1.26</v>
      </c>
      <c r="G896">
        <v>-1.26</v>
      </c>
      <c r="H896">
        <v>-1.26</v>
      </c>
      <c r="J896" s="5">
        <f>ABS(F896-G896)/ABS(F896)</f>
        <v>0</v>
      </c>
      <c r="K896" s="5">
        <f>ABS(G896-H896)/ABS(G896)</f>
        <v>0</v>
      </c>
    </row>
    <row r="897" spans="3:11" x14ac:dyDescent="0.2">
      <c r="C897" t="s">
        <v>2256</v>
      </c>
      <c r="D897" t="b">
        <f ca="1">IF(CELL("format",F897)="G",IF(ABS(F897-G897) &lt;= ABS(F897*B$3),TRUE,FALSE),IF(F897=G897,TRUE,FALSE))</f>
        <v>1</v>
      </c>
      <c r="E897" s="5">
        <f>ABS(F897-G897)/ABS(F897)</f>
        <v>0</v>
      </c>
      <c r="F897">
        <v>-1.44</v>
      </c>
      <c r="G897">
        <v>-1.44</v>
      </c>
      <c r="H897">
        <v>-1.44</v>
      </c>
      <c r="J897" s="5">
        <f>ABS(F897-G897)/ABS(F897)</f>
        <v>0</v>
      </c>
      <c r="K897" s="5">
        <f>ABS(G897-H897)/ABS(G897)</f>
        <v>0</v>
      </c>
    </row>
    <row r="898" spans="3:11" x14ac:dyDescent="0.2">
      <c r="C898" t="s">
        <v>2257</v>
      </c>
      <c r="D898" t="b">
        <f ca="1">IF(CELL("format",F898)="G",IF(ABS(F898-G898) &lt;= ABS(F898*B$3),TRUE,FALSE),IF(F898=G898,TRUE,FALSE))</f>
        <v>1</v>
      </c>
      <c r="E898" s="5">
        <f>ABS(F898-G898)/ABS(F898)</f>
        <v>0</v>
      </c>
      <c r="F898">
        <v>-1.44</v>
      </c>
      <c r="G898">
        <v>-1.44</v>
      </c>
      <c r="H898">
        <v>-1.44</v>
      </c>
      <c r="J898" s="5">
        <f>ABS(F898-G898)/ABS(F898)</f>
        <v>0</v>
      </c>
      <c r="K898" s="5">
        <f>ABS(G898-H898)/ABS(G898)</f>
        <v>0</v>
      </c>
    </row>
    <row r="899" spans="3:11" x14ac:dyDescent="0.2">
      <c r="C899" t="s">
        <v>2258</v>
      </c>
      <c r="D899" t="b">
        <f ca="1">IF(CELL("format",F899)="G",IF(ABS(F899-G899) &lt;= ABS(F899*B$3),TRUE,FALSE),IF(F899=G899,TRUE,FALSE))</f>
        <v>1</v>
      </c>
      <c r="E899" s="5">
        <f>ABS(F899-G899)/ABS(F899)</f>
        <v>0</v>
      </c>
      <c r="F899">
        <v>-1.44</v>
      </c>
      <c r="G899">
        <v>-1.44</v>
      </c>
      <c r="H899">
        <v>-1.44</v>
      </c>
      <c r="J899" s="5">
        <f>ABS(F899-G899)/ABS(F899)</f>
        <v>0</v>
      </c>
      <c r="K899" s="5">
        <f>ABS(G899-H899)/ABS(G899)</f>
        <v>0</v>
      </c>
    </row>
    <row r="900" spans="3:11" x14ac:dyDescent="0.2">
      <c r="C900" t="s">
        <v>2259</v>
      </c>
      <c r="D900" t="b">
        <f ca="1">IF(CELL("format",F900)="G",IF(ABS(F900-G900) &lt;= ABS(F900*B$3),TRUE,FALSE),IF(F900=G900,TRUE,FALSE))</f>
        <v>1</v>
      </c>
      <c r="E900" s="5">
        <f>ABS(F900-G900)/ABS(F900)</f>
        <v>0</v>
      </c>
      <c r="F900">
        <v>-1.19</v>
      </c>
      <c r="G900">
        <v>-1.19</v>
      </c>
      <c r="H900">
        <v>-1.19</v>
      </c>
      <c r="J900" s="5">
        <f>ABS(F900-G900)/ABS(F900)</f>
        <v>0</v>
      </c>
      <c r="K900" s="5">
        <f>ABS(G900-H900)/ABS(G900)</f>
        <v>0</v>
      </c>
    </row>
    <row r="901" spans="3:11" x14ac:dyDescent="0.2">
      <c r="C901" t="s">
        <v>2260</v>
      </c>
      <c r="D901" t="b">
        <f ca="1">IF(CELL("format",F901)="G",IF(ABS(F901-G901) &lt;= ABS(F901*B$3),TRUE,FALSE),IF(F901=G901,TRUE,FALSE))</f>
        <v>1</v>
      </c>
      <c r="E901" s="5">
        <f>ABS(F901-G901)/ABS(F901)</f>
        <v>0</v>
      </c>
      <c r="F901">
        <v>-0.88</v>
      </c>
      <c r="G901">
        <v>-0.88</v>
      </c>
      <c r="H901">
        <v>-0.88</v>
      </c>
      <c r="J901" s="5">
        <f>ABS(F901-G901)/ABS(F901)</f>
        <v>0</v>
      </c>
      <c r="K901" s="5">
        <f>ABS(G901-H901)/ABS(G901)</f>
        <v>0</v>
      </c>
    </row>
    <row r="902" spans="3:11" x14ac:dyDescent="0.2">
      <c r="C902" t="s">
        <v>2261</v>
      </c>
      <c r="D902" t="b">
        <f ca="1">IF(CELL("format",F902)="G",IF(ABS(F902-G902) &lt;= ABS(F902*B$3),TRUE,FALSE),IF(F902=G902,TRUE,FALSE))</f>
        <v>1</v>
      </c>
      <c r="E902" s="5">
        <f>ABS(F902-G902)/ABS(F902)</f>
        <v>0</v>
      </c>
      <c r="F902">
        <v>-0.53</v>
      </c>
      <c r="G902">
        <v>-0.53</v>
      </c>
      <c r="H902">
        <v>-0.53</v>
      </c>
      <c r="J902" s="5">
        <f>ABS(F902-G902)/ABS(F902)</f>
        <v>0</v>
      </c>
      <c r="K902" s="5">
        <f>ABS(G902-H902)/ABS(G902)</f>
        <v>0</v>
      </c>
    </row>
    <row r="903" spans="3:11" x14ac:dyDescent="0.2">
      <c r="C903" t="s">
        <v>2262</v>
      </c>
      <c r="D903" t="b">
        <f ca="1">IF(CELL("format",F903)="G",IF(ABS(F903-G903) &lt;= ABS(F903*B$3),TRUE,FALSE),IF(F903=G903,TRUE,FALSE))</f>
        <v>1</v>
      </c>
      <c r="E903" s="5">
        <f>ABS(F903-G903)/ABS(F903)</f>
        <v>0</v>
      </c>
      <c r="F903">
        <v>0.66</v>
      </c>
      <c r="G903">
        <v>0.66</v>
      </c>
      <c r="H903">
        <v>0.66</v>
      </c>
      <c r="J903" s="5">
        <f>ABS(F903-G903)/ABS(F903)</f>
        <v>0</v>
      </c>
      <c r="K903" s="5">
        <f>ABS(G903-H903)/ABS(G903)</f>
        <v>0</v>
      </c>
    </row>
    <row r="904" spans="3:11" x14ac:dyDescent="0.2">
      <c r="C904" t="s">
        <v>2263</v>
      </c>
      <c r="D904" t="b">
        <f ca="1">IF(CELL("format",F904)="G",IF(ABS(F904-G904) &lt;= ABS(F904*B$3),TRUE,FALSE),IF(F904=G904,TRUE,FALSE))</f>
        <v>1</v>
      </c>
      <c r="E904" s="5">
        <f>ABS(F904-G904)/ABS(F904)</f>
        <v>0</v>
      </c>
      <c r="F904">
        <v>1.87</v>
      </c>
      <c r="G904">
        <v>1.87</v>
      </c>
      <c r="H904">
        <v>1.87</v>
      </c>
      <c r="J904" s="5">
        <f>ABS(F904-G904)/ABS(F904)</f>
        <v>0</v>
      </c>
      <c r="K904" s="5">
        <f>ABS(G904-H904)/ABS(G904)</f>
        <v>0</v>
      </c>
    </row>
    <row r="905" spans="3:11" x14ac:dyDescent="0.2">
      <c r="C905" t="s">
        <v>2264</v>
      </c>
      <c r="D905" t="b">
        <f ca="1">IF(CELL("format",F905)="G",IF(ABS(F905-G905) &lt;= ABS(F905*B$3),TRUE,FALSE),IF(F905=G905,TRUE,FALSE))</f>
        <v>1</v>
      </c>
      <c r="E905" s="5">
        <f>ABS(F905-G905)/ABS(F905)</f>
        <v>0</v>
      </c>
      <c r="F905">
        <v>2.1</v>
      </c>
      <c r="G905">
        <v>2.1</v>
      </c>
      <c r="H905">
        <v>2.1</v>
      </c>
      <c r="J905" s="5">
        <f>ABS(F905-G905)/ABS(F905)</f>
        <v>0</v>
      </c>
      <c r="K905" s="5">
        <f>ABS(G905-H905)/ABS(G905)</f>
        <v>0</v>
      </c>
    </row>
    <row r="906" spans="3:11" x14ac:dyDescent="0.2">
      <c r="C906" t="s">
        <v>2265</v>
      </c>
      <c r="D906" t="b">
        <f ca="1">IF(CELL("format",F906)="G",IF(ABS(F906-G906) &lt;= ABS(F906*B$3),TRUE,FALSE),IF(F906=G906,TRUE,FALSE))</f>
        <v>1</v>
      </c>
      <c r="E906" s="5">
        <f>ABS(F906-G906)/ABS(F906)</f>
        <v>0</v>
      </c>
      <c r="F906">
        <v>0.89</v>
      </c>
      <c r="G906">
        <v>0.89</v>
      </c>
      <c r="H906">
        <v>0.89</v>
      </c>
      <c r="J906" s="5">
        <f>ABS(F906-G906)/ABS(F906)</f>
        <v>0</v>
      </c>
      <c r="K906" s="5">
        <f>ABS(G906-H906)/ABS(G906)</f>
        <v>0</v>
      </c>
    </row>
    <row r="907" spans="3:11" x14ac:dyDescent="0.2">
      <c r="C907" t="s">
        <v>2266</v>
      </c>
      <c r="D907" t="b">
        <f ca="1">IF(CELL("format",F907)="G",IF(ABS(F907-G907) &lt;= ABS(F907*B$3),TRUE,FALSE),IF(F907=G907,TRUE,FALSE))</f>
        <v>1</v>
      </c>
      <c r="E907" s="5">
        <f>ABS(F907-G907)/ABS(F907)</f>
        <v>0</v>
      </c>
      <c r="F907">
        <v>-0.55000000000000004</v>
      </c>
      <c r="G907">
        <v>-0.55000000000000004</v>
      </c>
      <c r="H907">
        <v>-0.55000000000000004</v>
      </c>
      <c r="J907" s="5">
        <f>ABS(F907-G907)/ABS(F907)</f>
        <v>0</v>
      </c>
      <c r="K907" s="5">
        <f>ABS(G907-H907)/ABS(G907)</f>
        <v>0</v>
      </c>
    </row>
    <row r="908" spans="3:11" x14ac:dyDescent="0.2">
      <c r="C908" t="s">
        <v>2267</v>
      </c>
      <c r="D908" t="b">
        <f ca="1">IF(CELL("format",F908)="G",IF(ABS(F908-G908) &lt;= ABS(F908*B$3),TRUE,FALSE),IF(F908=G908,TRUE,FALSE))</f>
        <v>1</v>
      </c>
      <c r="E908" s="5">
        <f>ABS(F908-G908)/ABS(F908)</f>
        <v>0</v>
      </c>
      <c r="F908">
        <v>-2.0299999999999998</v>
      </c>
      <c r="G908">
        <v>-2.0299999999999998</v>
      </c>
      <c r="H908">
        <v>-2.0299999999999998</v>
      </c>
      <c r="J908" s="5">
        <f>ABS(F908-G908)/ABS(F908)</f>
        <v>0</v>
      </c>
      <c r="K908" s="5">
        <f>ABS(G908-H908)/ABS(G908)</f>
        <v>0</v>
      </c>
    </row>
    <row r="909" spans="3:11" x14ac:dyDescent="0.2">
      <c r="C909" t="s">
        <v>2268</v>
      </c>
      <c r="D909" t="b">
        <f ca="1">IF(CELL("format",F909)="G",IF(ABS(F909-G909) &lt;= ABS(F909*B$3),TRUE,FALSE),IF(F909=G909,TRUE,FALSE))</f>
        <v>1</v>
      </c>
      <c r="E909" s="5">
        <f>ABS(F909-G909)/ABS(F909)</f>
        <v>0</v>
      </c>
      <c r="F909">
        <v>-2</v>
      </c>
      <c r="G909">
        <v>-2</v>
      </c>
      <c r="H909">
        <v>-2</v>
      </c>
      <c r="J909" s="5">
        <f>ABS(F909-G909)/ABS(F909)</f>
        <v>0</v>
      </c>
      <c r="K909" s="5">
        <f>ABS(G909-H909)/ABS(G909)</f>
        <v>0</v>
      </c>
    </row>
    <row r="910" spans="3:11" x14ac:dyDescent="0.2">
      <c r="C910" t="s">
        <v>2269</v>
      </c>
      <c r="D910" t="b">
        <f ca="1">IF(CELL("format",F910)="G",IF(ABS(F910-G910) &lt;= ABS(F910*B$3),TRUE,FALSE),IF(F910=G910,TRUE,FALSE))</f>
        <v>1</v>
      </c>
      <c r="E910" s="5">
        <f>ABS(F910-G910)/ABS(F910)</f>
        <v>0</v>
      </c>
      <c r="F910">
        <v>-1.83</v>
      </c>
      <c r="G910">
        <v>-1.83</v>
      </c>
      <c r="H910">
        <v>-1.83</v>
      </c>
      <c r="J910" s="5">
        <f>ABS(F910-G910)/ABS(F910)</f>
        <v>0</v>
      </c>
      <c r="K910" s="5">
        <f>ABS(G910-H910)/ABS(G910)</f>
        <v>0</v>
      </c>
    </row>
    <row r="911" spans="3:11" x14ac:dyDescent="0.2">
      <c r="C911" t="s">
        <v>2270</v>
      </c>
      <c r="D911" t="b">
        <f ca="1">IF(CELL("format",F911)="G",IF(ABS(F911-G911) &lt;= ABS(F911*B$3),TRUE,FALSE),IF(F911=G911,TRUE,FALSE))</f>
        <v>1</v>
      </c>
      <c r="E911" s="5">
        <f>ABS(F911-G911)/ABS(F911)</f>
        <v>0</v>
      </c>
      <c r="F911">
        <v>-2.11</v>
      </c>
      <c r="G911">
        <v>-2.11</v>
      </c>
      <c r="H911">
        <v>-2.11</v>
      </c>
      <c r="J911" s="5">
        <f>ABS(F911-G911)/ABS(F911)</f>
        <v>0</v>
      </c>
      <c r="K911" s="5">
        <f>ABS(G911-H911)/ABS(G911)</f>
        <v>0</v>
      </c>
    </row>
    <row r="912" spans="3:11" x14ac:dyDescent="0.2">
      <c r="C912" t="s">
        <v>2271</v>
      </c>
      <c r="D912" t="b">
        <f ca="1">IF(CELL("format",F912)="G",IF(ABS(F912-G912) &lt;= ABS(F912*B$3),TRUE,FALSE),IF(F912=G912,TRUE,FALSE))</f>
        <v>1</v>
      </c>
      <c r="E912" s="5">
        <f>ABS(F912-G912)/ABS(F912)</f>
        <v>0</v>
      </c>
      <c r="F912">
        <v>-2.36</v>
      </c>
      <c r="G912">
        <v>-2.36</v>
      </c>
      <c r="H912">
        <v>-2.36</v>
      </c>
      <c r="J912" s="5">
        <f>ABS(F912-G912)/ABS(F912)</f>
        <v>0</v>
      </c>
      <c r="K912" s="5">
        <f>ABS(G912-H912)/ABS(G912)</f>
        <v>0</v>
      </c>
    </row>
    <row r="913" spans="3:11" x14ac:dyDescent="0.2">
      <c r="C913" t="s">
        <v>2272</v>
      </c>
      <c r="D913" t="b">
        <f ca="1">IF(CELL("format",F913)="G",IF(ABS(F913-G913) &lt;= ABS(F913*B$3),TRUE,FALSE),IF(F913=G913,TRUE,FALSE))</f>
        <v>1</v>
      </c>
      <c r="E913" s="5">
        <f>ABS(F913-G913)/ABS(F913)</f>
        <v>0</v>
      </c>
      <c r="F913">
        <v>-2.94</v>
      </c>
      <c r="G913">
        <v>-2.94</v>
      </c>
      <c r="H913">
        <v>-2.94</v>
      </c>
      <c r="J913" s="5">
        <f>ABS(F913-G913)/ABS(F913)</f>
        <v>0</v>
      </c>
      <c r="K913" s="5">
        <f>ABS(G913-H913)/ABS(G913)</f>
        <v>0</v>
      </c>
    </row>
    <row r="914" spans="3:11" x14ac:dyDescent="0.2">
      <c r="C914" t="s">
        <v>2273</v>
      </c>
      <c r="D914" t="b">
        <f ca="1">IF(CELL("format",F914)="G",IF(ABS(F914-G914) &lt;= ABS(F914*B$3),TRUE,FALSE),IF(F914=G914,TRUE,FALSE))</f>
        <v>1</v>
      </c>
      <c r="E914" s="5">
        <f>ABS(F914-G914)/ABS(F914)</f>
        <v>0</v>
      </c>
      <c r="F914">
        <v>-3.22</v>
      </c>
      <c r="G914">
        <v>-3.22</v>
      </c>
      <c r="H914">
        <v>-3.22</v>
      </c>
      <c r="J914" s="5">
        <f>ABS(F914-G914)/ABS(F914)</f>
        <v>0</v>
      </c>
      <c r="K914" s="5">
        <f>ABS(G914-H914)/ABS(G914)</f>
        <v>0</v>
      </c>
    </row>
    <row r="915" spans="3:11" x14ac:dyDescent="0.2">
      <c r="C915" t="s">
        <v>2274</v>
      </c>
      <c r="D915" t="b">
        <f ca="1">IF(CELL("format",F915)="G",IF(ABS(F915-G915) &lt;= ABS(F915*B$3),TRUE,FALSE),IF(F915=G915,TRUE,FALSE))</f>
        <v>1</v>
      </c>
      <c r="E915" s="5">
        <f>ABS(F915-G915)/ABS(F915)</f>
        <v>0</v>
      </c>
      <c r="F915">
        <v>-3.74</v>
      </c>
      <c r="G915">
        <v>-3.74</v>
      </c>
      <c r="H915">
        <v>-3.74</v>
      </c>
      <c r="J915" s="5">
        <f>ABS(F915-G915)/ABS(F915)</f>
        <v>0</v>
      </c>
      <c r="K915" s="5">
        <f>ABS(G915-H915)/ABS(G915)</f>
        <v>0</v>
      </c>
    </row>
    <row r="916" spans="3:11" x14ac:dyDescent="0.2">
      <c r="C916" t="s">
        <v>2275</v>
      </c>
      <c r="D916" t="b">
        <f ca="1">IF(CELL("format",F916)="G",IF(ABS(F916-G916) &lt;= ABS(F916*B$3),TRUE,FALSE),IF(F916=G916,TRUE,FALSE))</f>
        <v>1</v>
      </c>
      <c r="E916" s="5">
        <f>ABS(F916-G916)/ABS(F916)</f>
        <v>0</v>
      </c>
      <c r="F916">
        <v>-4.78</v>
      </c>
      <c r="G916">
        <v>-4.78</v>
      </c>
      <c r="H916">
        <v>-4.78</v>
      </c>
      <c r="J916" s="5">
        <f>ABS(F916-G916)/ABS(F916)</f>
        <v>0</v>
      </c>
      <c r="K916" s="5">
        <f>ABS(G916-H916)/ABS(G916)</f>
        <v>0</v>
      </c>
    </row>
    <row r="917" spans="3:11" x14ac:dyDescent="0.2">
      <c r="C917" t="s">
        <v>2276</v>
      </c>
      <c r="D917" t="b">
        <f ca="1">IF(CELL("format",F917)="G",IF(ABS(F917-G917) &lt;= ABS(F917*B$3),TRUE,FALSE),IF(F917=G917,TRUE,FALSE))</f>
        <v>1</v>
      </c>
      <c r="E917" s="5">
        <f>ABS(F917-G917)/ABS(F917)</f>
        <v>0</v>
      </c>
      <c r="F917">
        <v>-5.26</v>
      </c>
      <c r="G917">
        <v>-5.26</v>
      </c>
      <c r="H917">
        <v>-5.26</v>
      </c>
      <c r="J917" s="5">
        <f>ABS(F917-G917)/ABS(F917)</f>
        <v>0</v>
      </c>
      <c r="K917" s="5">
        <f>ABS(G917-H917)/ABS(G917)</f>
        <v>0</v>
      </c>
    </row>
    <row r="918" spans="3:11" x14ac:dyDescent="0.2">
      <c r="C918" t="s">
        <v>2253</v>
      </c>
      <c r="D918" t="b">
        <f ca="1">IF(CELL("format",F918)="G",IF(ABS(F918-G918) &lt;= ABS(F918*B$3),TRUE,FALSE),IF(F918=G918,TRUE,FALSE))</f>
        <v>1</v>
      </c>
      <c r="E918" s="5">
        <f>ABS(F918-G918)/ABS(F918)</f>
        <v>0</v>
      </c>
      <c r="F918">
        <v>4.3600000000000003</v>
      </c>
      <c r="G918">
        <v>4.3600000000000003</v>
      </c>
      <c r="H918">
        <v>4.3600000000000003</v>
      </c>
      <c r="J918" s="5">
        <f>ABS(F918-G918)/ABS(F918)</f>
        <v>0</v>
      </c>
      <c r="K918" s="5">
        <f>ABS(G918-H918)/ABS(G918)</f>
        <v>0</v>
      </c>
    </row>
    <row r="919" spans="3:11" x14ac:dyDescent="0.2">
      <c r="C919" t="s">
        <v>2254</v>
      </c>
      <c r="D919" t="b">
        <f ca="1">IF(CELL("format",F919)="G",IF(ABS(F919-G919) &lt;= ABS(F919*B$3),TRUE,FALSE),IF(F919=G919,TRUE,FALSE))</f>
        <v>1</v>
      </c>
      <c r="E919" s="5">
        <f>ABS(F919-G919)/ABS(F919)</f>
        <v>0</v>
      </c>
      <c r="F919">
        <v>3.86</v>
      </c>
      <c r="G919">
        <v>3.86</v>
      </c>
      <c r="H919">
        <v>3.86</v>
      </c>
      <c r="J919" s="5">
        <f>ABS(F919-G919)/ABS(F919)</f>
        <v>0</v>
      </c>
      <c r="K919" s="5">
        <f>ABS(G919-H919)/ABS(G919)</f>
        <v>0</v>
      </c>
    </row>
    <row r="920" spans="3:11" x14ac:dyDescent="0.2">
      <c r="C920" t="s">
        <v>2255</v>
      </c>
      <c r="D920" t="b">
        <f ca="1">IF(CELL("format",F920)="G",IF(ABS(F920-G920) &lt;= ABS(F920*B$3),TRUE,FALSE),IF(F920=G920,TRUE,FALSE))</f>
        <v>1</v>
      </c>
      <c r="E920" s="5">
        <f>ABS(F920-G920)/ABS(F920)</f>
        <v>0</v>
      </c>
      <c r="F920">
        <v>2.95</v>
      </c>
      <c r="G920">
        <v>2.95</v>
      </c>
      <c r="H920">
        <v>2.95</v>
      </c>
      <c r="J920" s="5">
        <f>ABS(F920-G920)/ABS(F920)</f>
        <v>0</v>
      </c>
      <c r="K920" s="5">
        <f>ABS(G920-H920)/ABS(G920)</f>
        <v>0</v>
      </c>
    </row>
    <row r="921" spans="3:11" x14ac:dyDescent="0.2">
      <c r="C921" t="s">
        <v>2256</v>
      </c>
      <c r="D921" t="b">
        <f ca="1">IF(CELL("format",F921)="G",IF(ABS(F921-G921) &lt;= ABS(F921*B$3),TRUE,FALSE),IF(F921=G921,TRUE,FALSE))</f>
        <v>1</v>
      </c>
      <c r="E921" s="5">
        <f>ABS(F921-G921)/ABS(F921)</f>
        <v>0</v>
      </c>
      <c r="F921">
        <v>1.81</v>
      </c>
      <c r="G921">
        <v>1.81</v>
      </c>
      <c r="H921">
        <v>1.81</v>
      </c>
      <c r="J921" s="5">
        <f>ABS(F921-G921)/ABS(F921)</f>
        <v>0</v>
      </c>
      <c r="K921" s="5">
        <f>ABS(G921-H921)/ABS(G921)</f>
        <v>0</v>
      </c>
    </row>
    <row r="922" spans="3:11" x14ac:dyDescent="0.2">
      <c r="C922" t="s">
        <v>2257</v>
      </c>
      <c r="D922" t="b">
        <f ca="1">IF(CELL("format",F922)="G",IF(ABS(F922-G922) &lt;= ABS(F922*B$3),TRUE,FALSE),IF(F922=G922,TRUE,FALSE))</f>
        <v>1</v>
      </c>
      <c r="E922" s="5">
        <f>ABS(F922-G922)/ABS(F922)</f>
        <v>0</v>
      </c>
      <c r="F922">
        <v>0.75</v>
      </c>
      <c r="G922">
        <v>0.75</v>
      </c>
      <c r="H922">
        <v>0.75</v>
      </c>
      <c r="J922" s="5">
        <f>ABS(F922-G922)/ABS(F922)</f>
        <v>0</v>
      </c>
      <c r="K922" s="5">
        <f>ABS(G922-H922)/ABS(G922)</f>
        <v>0</v>
      </c>
    </row>
    <row r="923" spans="3:11" x14ac:dyDescent="0.2">
      <c r="C923" t="s">
        <v>2258</v>
      </c>
      <c r="D923" t="b">
        <f ca="1">IF(CELL("format",F923)="G",IF(ABS(F923-G923) &lt;= ABS(F923*B$3),TRUE,FALSE),IF(F923=G923,TRUE,FALSE))</f>
        <v>1</v>
      </c>
      <c r="E923" s="5">
        <f>ABS(F923-G923)/ABS(F923)</f>
        <v>0</v>
      </c>
      <c r="F923">
        <v>1.79</v>
      </c>
      <c r="G923">
        <v>1.79</v>
      </c>
      <c r="H923">
        <v>1.79</v>
      </c>
      <c r="J923" s="5">
        <f>ABS(F923-G923)/ABS(F923)</f>
        <v>0</v>
      </c>
      <c r="K923" s="5">
        <f>ABS(G923-H923)/ABS(G923)</f>
        <v>0</v>
      </c>
    </row>
    <row r="924" spans="3:11" x14ac:dyDescent="0.2">
      <c r="C924" t="s">
        <v>2259</v>
      </c>
      <c r="D924" t="b">
        <f ca="1">IF(CELL("format",F924)="G",IF(ABS(F924-G924) &lt;= ABS(F924*B$3),TRUE,FALSE),IF(F924=G924,TRUE,FALSE))</f>
        <v>1</v>
      </c>
      <c r="E924" s="5">
        <f>ABS(F924-G924)/ABS(F924)</f>
        <v>0</v>
      </c>
      <c r="F924">
        <v>4.42</v>
      </c>
      <c r="G924">
        <v>4.42</v>
      </c>
      <c r="H924">
        <v>4.42</v>
      </c>
      <c r="J924" s="5">
        <f>ABS(F924-G924)/ABS(F924)</f>
        <v>0</v>
      </c>
      <c r="K924" s="5">
        <f>ABS(G924-H924)/ABS(G924)</f>
        <v>0</v>
      </c>
    </row>
    <row r="925" spans="3:11" x14ac:dyDescent="0.2">
      <c r="C925" t="s">
        <v>2260</v>
      </c>
      <c r="D925" t="b">
        <f ca="1">IF(CELL("format",F925)="G",IF(ABS(F925-G925) &lt;= ABS(F925*B$3),TRUE,FALSE),IF(F925=G925,TRUE,FALSE))</f>
        <v>1</v>
      </c>
      <c r="E925" s="5">
        <f>ABS(F925-G925)/ABS(F925)</f>
        <v>0</v>
      </c>
      <c r="F925">
        <v>6.6</v>
      </c>
      <c r="G925">
        <v>6.6</v>
      </c>
      <c r="H925">
        <v>6.6</v>
      </c>
      <c r="J925" s="5">
        <f>ABS(F925-G925)/ABS(F925)</f>
        <v>0</v>
      </c>
      <c r="K925" s="5">
        <f>ABS(G925-H925)/ABS(G925)</f>
        <v>0</v>
      </c>
    </row>
    <row r="926" spans="3:11" x14ac:dyDescent="0.2">
      <c r="C926" t="s">
        <v>2261</v>
      </c>
      <c r="D926" t="b">
        <f ca="1">IF(CELL("format",F926)="G",IF(ABS(F926-G926) &lt;= ABS(F926*B$3),TRUE,FALSE),IF(F926=G926,TRUE,FALSE))</f>
        <v>1</v>
      </c>
      <c r="E926" s="5">
        <f>ABS(F926-G926)/ABS(F926)</f>
        <v>0</v>
      </c>
      <c r="F926">
        <v>8.39</v>
      </c>
      <c r="G926">
        <v>8.39</v>
      </c>
      <c r="H926">
        <v>8.39</v>
      </c>
      <c r="J926" s="5">
        <f>ABS(F926-G926)/ABS(F926)</f>
        <v>0</v>
      </c>
      <c r="K926" s="5">
        <f>ABS(G926-H926)/ABS(G926)</f>
        <v>0</v>
      </c>
    </row>
    <row r="927" spans="3:11" x14ac:dyDescent="0.2">
      <c r="C927" t="s">
        <v>2262</v>
      </c>
      <c r="D927" t="b">
        <f ca="1">IF(CELL("format",F927)="G",IF(ABS(F927-G927) &lt;= ABS(F927*B$3),TRUE,FALSE),IF(F927=G927,TRUE,FALSE))</f>
        <v>1</v>
      </c>
      <c r="E927" s="5">
        <f>ABS(F927-G927)/ABS(F927)</f>
        <v>0</v>
      </c>
      <c r="F927">
        <v>10.72</v>
      </c>
      <c r="G927">
        <v>10.72</v>
      </c>
      <c r="H927">
        <v>10.72</v>
      </c>
      <c r="J927" s="5">
        <f>ABS(F927-G927)/ABS(F927)</f>
        <v>0</v>
      </c>
      <c r="K927" s="5">
        <f>ABS(G927-H927)/ABS(G927)</f>
        <v>0</v>
      </c>
    </row>
    <row r="928" spans="3:11" x14ac:dyDescent="0.2">
      <c r="C928" t="s">
        <v>2263</v>
      </c>
      <c r="D928" t="b">
        <f ca="1">IF(CELL("format",F928)="G",IF(ABS(F928-G928) &lt;= ABS(F928*B$3),TRUE,FALSE),IF(F928=G928,TRUE,FALSE))</f>
        <v>1</v>
      </c>
      <c r="E928" s="5">
        <f>ABS(F928-G928)/ABS(F928)</f>
        <v>0</v>
      </c>
      <c r="F928">
        <v>12.61</v>
      </c>
      <c r="G928">
        <v>12.61</v>
      </c>
      <c r="H928">
        <v>12.61</v>
      </c>
      <c r="J928" s="5">
        <f>ABS(F928-G928)/ABS(F928)</f>
        <v>0</v>
      </c>
      <c r="K928" s="5">
        <f>ABS(G928-H928)/ABS(G928)</f>
        <v>0</v>
      </c>
    </row>
    <row r="929" spans="3:11" x14ac:dyDescent="0.2">
      <c r="C929" t="s">
        <v>2264</v>
      </c>
      <c r="D929" t="b">
        <f ca="1">IF(CELL("format",F929)="G",IF(ABS(F929-G929) &lt;= ABS(F929*B$3),TRUE,FALSE),IF(F929=G929,TRUE,FALSE))</f>
        <v>1</v>
      </c>
      <c r="E929" s="5">
        <f>ABS(F929-G929)/ABS(F929)</f>
        <v>0</v>
      </c>
      <c r="F929">
        <v>13.27</v>
      </c>
      <c r="G929">
        <v>13.27</v>
      </c>
      <c r="H929">
        <v>13.27</v>
      </c>
      <c r="J929" s="5">
        <f>ABS(F929-G929)/ABS(F929)</f>
        <v>0</v>
      </c>
      <c r="K929" s="5">
        <f>ABS(G929-H929)/ABS(G929)</f>
        <v>0</v>
      </c>
    </row>
    <row r="930" spans="3:11" x14ac:dyDescent="0.2">
      <c r="C930" t="s">
        <v>2265</v>
      </c>
      <c r="D930" t="b">
        <f ca="1">IF(CELL("format",F930)="G",IF(ABS(F930-G930) &lt;= ABS(F930*B$3),TRUE,FALSE),IF(F930=G930,TRUE,FALSE))</f>
        <v>1</v>
      </c>
      <c r="E930" s="5">
        <f>ABS(F930-G930)/ABS(F930)</f>
        <v>0</v>
      </c>
      <c r="F930">
        <v>13.9</v>
      </c>
      <c r="G930">
        <v>13.9</v>
      </c>
      <c r="H930">
        <v>13.9</v>
      </c>
      <c r="J930" s="5">
        <f>ABS(F930-G930)/ABS(F930)</f>
        <v>0</v>
      </c>
      <c r="K930" s="5">
        <f>ABS(G930-H930)/ABS(G930)</f>
        <v>0</v>
      </c>
    </row>
    <row r="931" spans="3:11" x14ac:dyDescent="0.2">
      <c r="C931" t="s">
        <v>2266</v>
      </c>
      <c r="D931" t="b">
        <f ca="1">IF(CELL("format",F931)="G",IF(ABS(F931-G931) &lt;= ABS(F931*B$3),TRUE,FALSE),IF(F931=G931,TRUE,FALSE))</f>
        <v>1</v>
      </c>
      <c r="E931" s="5">
        <f>ABS(F931-G931)/ABS(F931)</f>
        <v>0</v>
      </c>
      <c r="F931">
        <v>14.39</v>
      </c>
      <c r="G931">
        <v>14.39</v>
      </c>
      <c r="H931">
        <v>14.39</v>
      </c>
      <c r="J931" s="5">
        <f>ABS(F931-G931)/ABS(F931)</f>
        <v>0</v>
      </c>
      <c r="K931" s="5">
        <f>ABS(G931-H931)/ABS(G931)</f>
        <v>0</v>
      </c>
    </row>
    <row r="932" spans="3:11" x14ac:dyDescent="0.2">
      <c r="C932" t="s">
        <v>2267</v>
      </c>
      <c r="D932" t="b">
        <f ca="1">IF(CELL("format",F932)="G",IF(ABS(F932-G932) &lt;= ABS(F932*B$3),TRUE,FALSE),IF(F932=G932,TRUE,FALSE))</f>
        <v>1</v>
      </c>
      <c r="E932" s="5">
        <f>ABS(F932-G932)/ABS(F932)</f>
        <v>0</v>
      </c>
      <c r="F932">
        <v>14.9</v>
      </c>
      <c r="G932">
        <v>14.9</v>
      </c>
      <c r="H932">
        <v>14.9</v>
      </c>
      <c r="J932" s="5">
        <f>ABS(F932-G932)/ABS(F932)</f>
        <v>0</v>
      </c>
      <c r="K932" s="5">
        <f>ABS(G932-H932)/ABS(G932)</f>
        <v>0</v>
      </c>
    </row>
    <row r="933" spans="3:11" x14ac:dyDescent="0.2">
      <c r="C933" t="s">
        <v>2268</v>
      </c>
      <c r="D933" t="b">
        <f ca="1">IF(CELL("format",F933)="G",IF(ABS(F933-G933) &lt;= ABS(F933*B$3),TRUE,FALSE),IF(F933=G933,TRUE,FALSE))</f>
        <v>1</v>
      </c>
      <c r="E933" s="5">
        <f>ABS(F933-G933)/ABS(F933)</f>
        <v>0</v>
      </c>
      <c r="F933">
        <v>14.78</v>
      </c>
      <c r="G933">
        <v>14.78</v>
      </c>
      <c r="H933">
        <v>14.78</v>
      </c>
      <c r="J933" s="5">
        <f>ABS(F933-G933)/ABS(F933)</f>
        <v>0</v>
      </c>
      <c r="K933" s="5">
        <f>ABS(G933-H933)/ABS(G933)</f>
        <v>0</v>
      </c>
    </row>
    <row r="934" spans="3:11" x14ac:dyDescent="0.2">
      <c r="C934" t="s">
        <v>2269</v>
      </c>
      <c r="D934" t="b">
        <f ca="1">IF(CELL("format",F934)="G",IF(ABS(F934-G934) &lt;= ABS(F934*B$3),TRUE,FALSE),IF(F934=G934,TRUE,FALSE))</f>
        <v>1</v>
      </c>
      <c r="E934" s="5">
        <f>ABS(F934-G934)/ABS(F934)</f>
        <v>0</v>
      </c>
      <c r="F934">
        <v>14.47</v>
      </c>
      <c r="G934">
        <v>14.47</v>
      </c>
      <c r="H934">
        <v>14.47</v>
      </c>
      <c r="J934" s="5">
        <f>ABS(F934-G934)/ABS(F934)</f>
        <v>0</v>
      </c>
      <c r="K934" s="5">
        <f>ABS(G934-H934)/ABS(G934)</f>
        <v>0</v>
      </c>
    </row>
    <row r="935" spans="3:11" x14ac:dyDescent="0.2">
      <c r="C935" t="s">
        <v>2270</v>
      </c>
      <c r="D935" t="b">
        <f ca="1">IF(CELL("format",F935)="G",IF(ABS(F935-G935) &lt;= ABS(F935*B$3),TRUE,FALSE),IF(F935=G935,TRUE,FALSE))</f>
        <v>1</v>
      </c>
      <c r="E935" s="5">
        <f>ABS(F935-G935)/ABS(F935)</f>
        <v>0</v>
      </c>
      <c r="F935">
        <v>13.6</v>
      </c>
      <c r="G935">
        <v>13.6</v>
      </c>
      <c r="H935">
        <v>13.6</v>
      </c>
      <c r="J935" s="5">
        <f>ABS(F935-G935)/ABS(F935)</f>
        <v>0</v>
      </c>
      <c r="K935" s="5">
        <f>ABS(G935-H935)/ABS(G935)</f>
        <v>0</v>
      </c>
    </row>
    <row r="936" spans="3:11" x14ac:dyDescent="0.2">
      <c r="C936" t="s">
        <v>2271</v>
      </c>
      <c r="D936" t="b">
        <f ca="1">IF(CELL("format",F936)="G",IF(ABS(F936-G936) &lt;= ABS(F936*B$3),TRUE,FALSE),IF(F936=G936,TRUE,FALSE))</f>
        <v>1</v>
      </c>
      <c r="E936" s="5">
        <f>ABS(F936-G936)/ABS(F936)</f>
        <v>0</v>
      </c>
      <c r="F936">
        <v>12.31</v>
      </c>
      <c r="G936">
        <v>12.31</v>
      </c>
      <c r="H936">
        <v>12.31</v>
      </c>
      <c r="J936" s="5">
        <f>ABS(F936-G936)/ABS(F936)</f>
        <v>0</v>
      </c>
      <c r="K936" s="5">
        <f>ABS(G936-H936)/ABS(G936)</f>
        <v>0</v>
      </c>
    </row>
    <row r="937" spans="3:11" x14ac:dyDescent="0.2">
      <c r="C937" t="s">
        <v>2272</v>
      </c>
      <c r="D937" t="b">
        <f ca="1">IF(CELL("format",F937)="G",IF(ABS(F937-G937) &lt;= ABS(F937*B$3),TRUE,FALSE),IF(F937=G937,TRUE,FALSE))</f>
        <v>1</v>
      </c>
      <c r="E937" s="5">
        <f>ABS(F937-G937)/ABS(F937)</f>
        <v>0</v>
      </c>
      <c r="F937">
        <v>11.5</v>
      </c>
      <c r="G937">
        <v>11.5</v>
      </c>
      <c r="H937">
        <v>11.5</v>
      </c>
      <c r="J937" s="5">
        <f>ABS(F937-G937)/ABS(F937)</f>
        <v>0</v>
      </c>
      <c r="K937" s="5">
        <f>ABS(G937-H937)/ABS(G937)</f>
        <v>0</v>
      </c>
    </row>
    <row r="938" spans="3:11" x14ac:dyDescent="0.2">
      <c r="C938" t="s">
        <v>2273</v>
      </c>
      <c r="D938" t="b">
        <f ca="1">IF(CELL("format",F938)="G",IF(ABS(F938-G938) &lt;= ABS(F938*B$3),TRUE,FALSE),IF(F938=G938,TRUE,FALSE))</f>
        <v>1</v>
      </c>
      <c r="E938" s="5">
        <f>ABS(F938-G938)/ABS(F938)</f>
        <v>0</v>
      </c>
      <c r="F938">
        <v>9.4600000000000009</v>
      </c>
      <c r="G938">
        <v>9.4600000000000009</v>
      </c>
      <c r="H938">
        <v>9.4600000000000009</v>
      </c>
      <c r="J938" s="5">
        <f>ABS(F938-G938)/ABS(F938)</f>
        <v>0</v>
      </c>
      <c r="K938" s="5">
        <f>ABS(G938-H938)/ABS(G938)</f>
        <v>0</v>
      </c>
    </row>
    <row r="939" spans="3:11" x14ac:dyDescent="0.2">
      <c r="C939" t="s">
        <v>2274</v>
      </c>
      <c r="D939" t="b">
        <f ca="1">IF(CELL("format",F939)="G",IF(ABS(F939-G939) &lt;= ABS(F939*B$3),TRUE,FALSE),IF(F939=G939,TRUE,FALSE))</f>
        <v>1</v>
      </c>
      <c r="E939" s="5">
        <f>ABS(F939-G939)/ABS(F939)</f>
        <v>0</v>
      </c>
      <c r="F939">
        <v>7.92</v>
      </c>
      <c r="G939">
        <v>7.92</v>
      </c>
      <c r="H939">
        <v>7.92</v>
      </c>
      <c r="J939" s="5">
        <f>ABS(F939-G939)/ABS(F939)</f>
        <v>0</v>
      </c>
      <c r="K939" s="5">
        <f>ABS(G939-H939)/ABS(G939)</f>
        <v>0</v>
      </c>
    </row>
    <row r="940" spans="3:11" x14ac:dyDescent="0.2">
      <c r="C940" t="s">
        <v>2275</v>
      </c>
      <c r="D940" t="b">
        <f ca="1">IF(CELL("format",F940)="G",IF(ABS(F940-G940) &lt;= ABS(F940*B$3),TRUE,FALSE),IF(F940=G940,TRUE,FALSE))</f>
        <v>1</v>
      </c>
      <c r="E940" s="5">
        <f>ABS(F940-G940)/ABS(F940)</f>
        <v>0</v>
      </c>
      <c r="F940">
        <v>7.17</v>
      </c>
      <c r="G940">
        <v>7.17</v>
      </c>
      <c r="H940">
        <v>7.17</v>
      </c>
      <c r="J940" s="5">
        <f>ABS(F940-G940)/ABS(F940)</f>
        <v>0</v>
      </c>
      <c r="K940" s="5">
        <f>ABS(G940-H940)/ABS(G940)</f>
        <v>0</v>
      </c>
    </row>
    <row r="941" spans="3:11" x14ac:dyDescent="0.2">
      <c r="C941" t="s">
        <v>2276</v>
      </c>
      <c r="D941" t="b">
        <f ca="1">IF(CELL("format",F941)="G",IF(ABS(F941-G941) &lt;= ABS(F941*B$3),TRUE,FALSE),IF(F941=G941,TRUE,FALSE))</f>
        <v>1</v>
      </c>
      <c r="E941" s="5">
        <f>ABS(F941-G941)/ABS(F941)</f>
        <v>0</v>
      </c>
      <c r="F941">
        <v>5.93</v>
      </c>
      <c r="G941">
        <v>5.93</v>
      </c>
      <c r="H941">
        <v>5.93</v>
      </c>
      <c r="J941" s="5">
        <f>ABS(F941-G941)/ABS(F941)</f>
        <v>0</v>
      </c>
      <c r="K941" s="5">
        <f>ABS(G941-H941)/ABS(G941)</f>
        <v>0</v>
      </c>
    </row>
    <row r="942" spans="3:11" x14ac:dyDescent="0.2">
      <c r="C942" t="s">
        <v>2277</v>
      </c>
      <c r="D942" t="b">
        <f ca="1">IF(CELL("format",F942)="G",IF(ABS(F942-G942) &lt;= ABS(F942*B$3),TRUE,FALSE),IF(F942=G942,TRUE,FALSE))</f>
        <v>1</v>
      </c>
      <c r="E942" s="5" t="e">
        <f>ABS(F942-G942)/ABS(F942)</f>
        <v>#DIV/0!</v>
      </c>
      <c r="F942">
        <v>0</v>
      </c>
      <c r="G942">
        <v>0</v>
      </c>
      <c r="H942">
        <v>0</v>
      </c>
      <c r="J942" s="5" t="e">
        <f>ABS(F942-G942)/ABS(F942)</f>
        <v>#DIV/0!</v>
      </c>
      <c r="K942" s="5" t="e">
        <f>ABS(G942-H942)/ABS(G942)</f>
        <v>#DIV/0!</v>
      </c>
    </row>
    <row r="943" spans="3:11" x14ac:dyDescent="0.2">
      <c r="C943" t="s">
        <v>2278</v>
      </c>
      <c r="D943" t="b">
        <f ca="1">IF(CELL("format",F943)="G",IF(ABS(F943-G943) &lt;= ABS(F943*B$3),TRUE,FALSE),IF(F943=G943,TRUE,FALSE))</f>
        <v>1</v>
      </c>
      <c r="E943" s="5" t="e">
        <f>ABS(F943-G943)/ABS(F943)</f>
        <v>#DIV/0!</v>
      </c>
      <c r="F943">
        <v>0</v>
      </c>
      <c r="G943">
        <v>0</v>
      </c>
      <c r="H943">
        <v>0</v>
      </c>
      <c r="J943" s="5" t="e">
        <f>ABS(F943-G943)/ABS(F943)</f>
        <v>#DIV/0!</v>
      </c>
      <c r="K943" s="5" t="e">
        <f>ABS(G943-H943)/ABS(G943)</f>
        <v>#DIV/0!</v>
      </c>
    </row>
    <row r="944" spans="3:11" x14ac:dyDescent="0.2">
      <c r="C944" t="s">
        <v>2279</v>
      </c>
      <c r="D944" t="b">
        <f ca="1">IF(CELL("format",F944)="G",IF(ABS(F944-G944) &lt;= ABS(F944*B$3),TRUE,FALSE),IF(F944=G944,TRUE,FALSE))</f>
        <v>1</v>
      </c>
      <c r="E944" s="5" t="e">
        <f>ABS(F944-G944)/ABS(F944)</f>
        <v>#DIV/0!</v>
      </c>
      <c r="F944">
        <v>0</v>
      </c>
      <c r="G944">
        <v>0</v>
      </c>
      <c r="H944">
        <v>0</v>
      </c>
      <c r="J944" s="5" t="e">
        <f>ABS(F944-G944)/ABS(F944)</f>
        <v>#DIV/0!</v>
      </c>
      <c r="K944" s="5" t="e">
        <f>ABS(G944-H944)/ABS(G944)</f>
        <v>#DIV/0!</v>
      </c>
    </row>
    <row r="945" spans="3:11" x14ac:dyDescent="0.2">
      <c r="C945" t="s">
        <v>2280</v>
      </c>
      <c r="D945" t="b">
        <f ca="1">IF(CELL("format",F945)="G",IF(ABS(F945-G945) &lt;= ABS(F945*B$3),TRUE,FALSE),IF(F945=G945,TRUE,FALSE))</f>
        <v>1</v>
      </c>
      <c r="E945" s="5" t="e">
        <f>ABS(F945-G945)/ABS(F945)</f>
        <v>#DIV/0!</v>
      </c>
      <c r="F945">
        <v>0</v>
      </c>
      <c r="G945">
        <v>0</v>
      </c>
      <c r="H945">
        <v>0</v>
      </c>
      <c r="J945" s="5" t="e">
        <f>ABS(F945-G945)/ABS(F945)</f>
        <v>#DIV/0!</v>
      </c>
      <c r="K945" s="5" t="e">
        <f>ABS(G945-H945)/ABS(G945)</f>
        <v>#DIV/0!</v>
      </c>
    </row>
    <row r="946" spans="3:11" x14ac:dyDescent="0.2">
      <c r="C946" t="s">
        <v>2281</v>
      </c>
      <c r="D946" t="b">
        <f ca="1">IF(CELL("format",F946)="G",IF(ABS(F946-G946) &lt;= ABS(F946*B$3),TRUE,FALSE),IF(F946=G946,TRUE,FALSE))</f>
        <v>1</v>
      </c>
      <c r="E946" s="5" t="e">
        <f>ABS(F946-G946)/ABS(F946)</f>
        <v>#DIV/0!</v>
      </c>
      <c r="F946">
        <v>0</v>
      </c>
      <c r="G946">
        <v>0</v>
      </c>
      <c r="H946">
        <v>0</v>
      </c>
      <c r="J946" s="5" t="e">
        <f>ABS(F946-G946)/ABS(F946)</f>
        <v>#DIV/0!</v>
      </c>
      <c r="K946" s="5" t="e">
        <f>ABS(G946-H946)/ABS(G946)</f>
        <v>#DIV/0!</v>
      </c>
    </row>
    <row r="947" spans="3:11" x14ac:dyDescent="0.2">
      <c r="C947" t="s">
        <v>2282</v>
      </c>
      <c r="D947" t="b">
        <f ca="1">IF(CELL("format",F947)="G",IF(ABS(F947-G947) &lt;= ABS(F947*B$3),TRUE,FALSE),IF(F947=G947,TRUE,FALSE))</f>
        <v>1</v>
      </c>
      <c r="E947" s="5" t="e">
        <f>ABS(F947-G947)/ABS(F947)</f>
        <v>#DIV/0!</v>
      </c>
      <c r="F947">
        <v>0</v>
      </c>
      <c r="G947">
        <v>0</v>
      </c>
      <c r="H947">
        <v>0</v>
      </c>
      <c r="J947" s="5" t="e">
        <f>ABS(F947-G947)/ABS(F947)</f>
        <v>#DIV/0!</v>
      </c>
      <c r="K947" s="5" t="e">
        <f>ABS(G947-H947)/ABS(G947)</f>
        <v>#DIV/0!</v>
      </c>
    </row>
    <row r="948" spans="3:11" x14ac:dyDescent="0.2">
      <c r="C948" t="s">
        <v>2283</v>
      </c>
      <c r="D948" t="b">
        <f ca="1">IF(CELL("format",F948)="G",IF(ABS(F948-G948) &lt;= ABS(F948*B$3),TRUE,FALSE),IF(F948=G948,TRUE,FALSE))</f>
        <v>1</v>
      </c>
      <c r="E948" s="5" t="e">
        <f>ABS(F948-G948)/ABS(F948)</f>
        <v>#DIV/0!</v>
      </c>
      <c r="F948">
        <v>0</v>
      </c>
      <c r="G948">
        <v>0</v>
      </c>
      <c r="H948">
        <v>0</v>
      </c>
      <c r="J948" s="5" t="e">
        <f>ABS(F948-G948)/ABS(F948)</f>
        <v>#DIV/0!</v>
      </c>
      <c r="K948" s="5" t="e">
        <f>ABS(G948-H948)/ABS(G948)</f>
        <v>#DIV/0!</v>
      </c>
    </row>
    <row r="949" spans="3:11" x14ac:dyDescent="0.2">
      <c r="C949" t="s">
        <v>2284</v>
      </c>
      <c r="D949" t="b">
        <f ca="1">IF(CELL("format",F949)="G",IF(ABS(F949-G949) &lt;= ABS(F949*B$3),TRUE,FALSE),IF(F949=G949,TRUE,FALSE))</f>
        <v>1</v>
      </c>
      <c r="E949" s="5">
        <f>ABS(F949-G949)/ABS(F949)</f>
        <v>0</v>
      </c>
      <c r="F949">
        <v>109.56</v>
      </c>
      <c r="G949">
        <v>109.56</v>
      </c>
      <c r="H949">
        <v>109.56</v>
      </c>
      <c r="J949" s="5">
        <f>ABS(F949-G949)/ABS(F949)</f>
        <v>0</v>
      </c>
      <c r="K949" s="5">
        <f>ABS(G949-H949)/ABS(G949)</f>
        <v>0</v>
      </c>
    </row>
    <row r="950" spans="3:11" x14ac:dyDescent="0.2">
      <c r="C950" t="s">
        <v>2285</v>
      </c>
      <c r="D950" t="b">
        <f ca="1">IF(CELL("format",F950)="G",IF(ABS(F950-G950) &lt;= ABS(F950*B$3),TRUE,FALSE),IF(F950=G950,TRUE,FALSE))</f>
        <v>1</v>
      </c>
      <c r="E950" s="5">
        <f>ABS(F950-G950)/ABS(F950)</f>
        <v>0</v>
      </c>
      <c r="F950">
        <v>323.8</v>
      </c>
      <c r="G950">
        <v>323.8</v>
      </c>
      <c r="H950">
        <v>323.8</v>
      </c>
      <c r="J950" s="5">
        <f>ABS(F950-G950)/ABS(F950)</f>
        <v>0</v>
      </c>
      <c r="K950" s="5">
        <f>ABS(G950-H950)/ABS(G950)</f>
        <v>0</v>
      </c>
    </row>
    <row r="951" spans="3:11" x14ac:dyDescent="0.2">
      <c r="C951" t="s">
        <v>2286</v>
      </c>
      <c r="D951" t="b">
        <f ca="1">IF(CELL("format",F951)="G",IF(ABS(F951-G951) &lt;= ABS(F951*B$3),TRUE,FALSE),IF(F951=G951,TRUE,FALSE))</f>
        <v>1</v>
      </c>
      <c r="E951" s="5">
        <f>ABS(F951-G951)/ABS(F951)</f>
        <v>0</v>
      </c>
      <c r="F951">
        <v>484.08</v>
      </c>
      <c r="G951">
        <v>484.08</v>
      </c>
      <c r="H951">
        <v>484.08</v>
      </c>
      <c r="J951" s="5">
        <f>ABS(F951-G951)/ABS(F951)</f>
        <v>0</v>
      </c>
      <c r="K951" s="5">
        <f>ABS(G951-H951)/ABS(G951)</f>
        <v>0</v>
      </c>
    </row>
    <row r="952" spans="3:11" x14ac:dyDescent="0.2">
      <c r="C952" t="s">
        <v>2287</v>
      </c>
      <c r="D952" t="b">
        <f ca="1">IF(CELL("format",F952)="G",IF(ABS(F952-G952) &lt;= ABS(F952*B$3),TRUE,FALSE),IF(F952=G952,TRUE,FALSE))</f>
        <v>1</v>
      </c>
      <c r="E952" s="5">
        <f>ABS(F952-G952)/ABS(F952)</f>
        <v>0</v>
      </c>
      <c r="F952">
        <v>591.94000000000005</v>
      </c>
      <c r="G952">
        <v>591.94000000000005</v>
      </c>
      <c r="H952">
        <v>591.94000000000005</v>
      </c>
      <c r="J952" s="5">
        <f>ABS(F952-G952)/ABS(F952)</f>
        <v>0</v>
      </c>
      <c r="K952" s="5">
        <f>ABS(G952-H952)/ABS(G952)</f>
        <v>0</v>
      </c>
    </row>
    <row r="953" spans="3:11" x14ac:dyDescent="0.2">
      <c r="C953" t="s">
        <v>2288</v>
      </c>
      <c r="D953" t="b">
        <f ca="1">IF(CELL("format",F953)="G",IF(ABS(F953-G953) &lt;= ABS(F953*B$3),TRUE,FALSE),IF(F953=G953,TRUE,FALSE))</f>
        <v>1</v>
      </c>
      <c r="E953" s="5">
        <f>ABS(F953-G953)/ABS(F953)</f>
        <v>0</v>
      </c>
      <c r="F953">
        <v>648.74</v>
      </c>
      <c r="G953">
        <v>648.74</v>
      </c>
      <c r="H953">
        <v>648.74</v>
      </c>
      <c r="J953" s="5">
        <f>ABS(F953-G953)/ABS(F953)</f>
        <v>0</v>
      </c>
      <c r="K953" s="5">
        <f>ABS(G953-H953)/ABS(G953)</f>
        <v>0</v>
      </c>
    </row>
    <row r="954" spans="3:11" x14ac:dyDescent="0.2">
      <c r="C954" t="s">
        <v>2289</v>
      </c>
      <c r="D954" t="b">
        <f ca="1">IF(CELL("format",F954)="G",IF(ABS(F954-G954) &lt;= ABS(F954*B$3),TRUE,FALSE),IF(F954=G954,TRUE,FALSE))</f>
        <v>1</v>
      </c>
      <c r="E954" s="5">
        <f>ABS(F954-G954)/ABS(F954)</f>
        <v>0</v>
      </c>
      <c r="F954">
        <v>654.84</v>
      </c>
      <c r="G954">
        <v>654.84</v>
      </c>
      <c r="H954">
        <v>654.84</v>
      </c>
      <c r="J954" s="5">
        <f>ABS(F954-G954)/ABS(F954)</f>
        <v>0</v>
      </c>
      <c r="K954" s="5">
        <f>ABS(G954-H954)/ABS(G954)</f>
        <v>0</v>
      </c>
    </row>
    <row r="955" spans="3:11" x14ac:dyDescent="0.2">
      <c r="C955" t="s">
        <v>2290</v>
      </c>
      <c r="D955" t="b">
        <f ca="1">IF(CELL("format",F955)="G",IF(ABS(F955-G955) &lt;= ABS(F955*B$3),TRUE,FALSE),IF(F955=G955,TRUE,FALSE))</f>
        <v>1</v>
      </c>
      <c r="E955" s="5">
        <f>ABS(F955-G955)/ABS(F955)</f>
        <v>0</v>
      </c>
      <c r="F955">
        <v>609.27</v>
      </c>
      <c r="G955">
        <v>609.27</v>
      </c>
      <c r="H955">
        <v>609.27</v>
      </c>
      <c r="J955" s="5">
        <f>ABS(F955-G955)/ABS(F955)</f>
        <v>0</v>
      </c>
      <c r="K955" s="5">
        <f>ABS(G955-H955)/ABS(G955)</f>
        <v>0</v>
      </c>
    </row>
    <row r="956" spans="3:11" x14ac:dyDescent="0.2">
      <c r="C956" t="s">
        <v>2291</v>
      </c>
      <c r="D956" t="b">
        <f ca="1">IF(CELL("format",F956)="G",IF(ABS(F956-G956) &lt;= ABS(F956*B$3),TRUE,FALSE),IF(F956=G956,TRUE,FALSE))</f>
        <v>1</v>
      </c>
      <c r="E956" s="5">
        <f>ABS(F956-G956)/ABS(F956)</f>
        <v>0</v>
      </c>
      <c r="F956">
        <v>513.04</v>
      </c>
      <c r="G956">
        <v>513.04</v>
      </c>
      <c r="H956">
        <v>513.04</v>
      </c>
      <c r="J956" s="5">
        <f>ABS(F956-G956)/ABS(F956)</f>
        <v>0</v>
      </c>
      <c r="K956" s="5">
        <f>ABS(G956-H956)/ABS(G956)</f>
        <v>0</v>
      </c>
    </row>
    <row r="957" spans="3:11" x14ac:dyDescent="0.2">
      <c r="C957" t="s">
        <v>2292</v>
      </c>
      <c r="D957" t="b">
        <f ca="1">IF(CELL("format",F957)="G",IF(ABS(F957-G957) &lt;= ABS(F957*B$3),TRUE,FALSE),IF(F957=G957,TRUE,FALSE))</f>
        <v>1</v>
      </c>
      <c r="E957" s="5">
        <f>ABS(F957-G957)/ABS(F957)</f>
        <v>0</v>
      </c>
      <c r="F957">
        <v>366.66</v>
      </c>
      <c r="G957">
        <v>366.66</v>
      </c>
      <c r="H957">
        <v>366.66</v>
      </c>
      <c r="J957" s="5">
        <f>ABS(F957-G957)/ABS(F957)</f>
        <v>0</v>
      </c>
      <c r="K957" s="5">
        <f>ABS(G957-H957)/ABS(G957)</f>
        <v>0</v>
      </c>
    </row>
    <row r="958" spans="3:11" x14ac:dyDescent="0.2">
      <c r="C958" t="s">
        <v>2293</v>
      </c>
      <c r="D958" t="b">
        <f ca="1">IF(CELL("format",F958)="G",IF(ABS(F958-G958) &lt;= ABS(F958*B$3),TRUE,FALSE),IF(F958=G958,TRUE,FALSE))</f>
        <v>1</v>
      </c>
      <c r="E958" s="5">
        <f>ABS(F958-G958)/ABS(F958)</f>
        <v>0</v>
      </c>
      <c r="F958">
        <v>178.37</v>
      </c>
      <c r="G958">
        <v>178.37</v>
      </c>
      <c r="H958">
        <v>178.37</v>
      </c>
      <c r="J958" s="5">
        <f>ABS(F958-G958)/ABS(F958)</f>
        <v>0</v>
      </c>
      <c r="K958" s="5">
        <f>ABS(G958-H958)/ABS(G958)</f>
        <v>0</v>
      </c>
    </row>
    <row r="959" spans="3:11" x14ac:dyDescent="0.2">
      <c r="C959" t="s">
        <v>2294</v>
      </c>
      <c r="D959" t="b">
        <f ca="1">IF(CELL("format",F959)="G",IF(ABS(F959-G959) &lt;= ABS(F959*B$3),TRUE,FALSE),IF(F959=G959,TRUE,FALSE))</f>
        <v>1</v>
      </c>
      <c r="E959" s="5">
        <f>ABS(F959-G959)/ABS(F959)</f>
        <v>0</v>
      </c>
      <c r="F959">
        <v>9.7899999999999991</v>
      </c>
      <c r="G959">
        <v>9.7899999999999991</v>
      </c>
      <c r="H959">
        <v>9.7899999999999991</v>
      </c>
      <c r="J959" s="5">
        <f>ABS(F959-G959)/ABS(F959)</f>
        <v>0</v>
      </c>
      <c r="K959" s="5">
        <f>ABS(G959-H959)/ABS(G959)</f>
        <v>0</v>
      </c>
    </row>
    <row r="960" spans="3:11" x14ac:dyDescent="0.2">
      <c r="C960" t="s">
        <v>2295</v>
      </c>
      <c r="D960" t="b">
        <f ca="1">IF(CELL("format",F960)="G",IF(ABS(F960-G960) &lt;= ABS(F960*B$3),TRUE,FALSE),IF(F960=G960,TRUE,FALSE))</f>
        <v>1</v>
      </c>
      <c r="E960" s="5" t="e">
        <f>ABS(F960-G960)/ABS(F960)</f>
        <v>#DIV/0!</v>
      </c>
      <c r="F960">
        <v>0</v>
      </c>
      <c r="G960">
        <v>0</v>
      </c>
      <c r="H960">
        <v>0</v>
      </c>
      <c r="J960" s="5" t="e">
        <f>ABS(F960-G960)/ABS(F960)</f>
        <v>#DIV/0!</v>
      </c>
      <c r="K960" s="5" t="e">
        <f>ABS(G960-H960)/ABS(G960)</f>
        <v>#DIV/0!</v>
      </c>
    </row>
    <row r="961" spans="3:11" x14ac:dyDescent="0.2">
      <c r="C961" t="s">
        <v>2296</v>
      </c>
      <c r="D961" t="b">
        <f ca="1">IF(CELL("format",F961)="G",IF(ABS(F961-G961) &lt;= ABS(F961*B$3),TRUE,FALSE),IF(F961=G961,TRUE,FALSE))</f>
        <v>1</v>
      </c>
      <c r="E961" s="5" t="e">
        <f>ABS(F961-G961)/ABS(F961)</f>
        <v>#DIV/0!</v>
      </c>
      <c r="F961">
        <v>0</v>
      </c>
      <c r="G961">
        <v>0</v>
      </c>
      <c r="H961">
        <v>0</v>
      </c>
      <c r="J961" s="5" t="e">
        <f>ABS(F961-G961)/ABS(F961)</f>
        <v>#DIV/0!</v>
      </c>
      <c r="K961" s="5" t="e">
        <f>ABS(G961-H961)/ABS(G961)</f>
        <v>#DIV/0!</v>
      </c>
    </row>
    <row r="962" spans="3:11" x14ac:dyDescent="0.2">
      <c r="C962" t="s">
        <v>2297</v>
      </c>
      <c r="D962" t="b">
        <f ca="1">IF(CELL("format",F962)="G",IF(ABS(F962-G962) &lt;= ABS(F962*B$3),TRUE,FALSE),IF(F962=G962,TRUE,FALSE))</f>
        <v>1</v>
      </c>
      <c r="E962" s="5" t="e">
        <f>ABS(F962-G962)/ABS(F962)</f>
        <v>#DIV/0!</v>
      </c>
      <c r="F962">
        <v>0</v>
      </c>
      <c r="G962">
        <v>0</v>
      </c>
      <c r="H962">
        <v>0</v>
      </c>
      <c r="J962" s="5" t="e">
        <f>ABS(F962-G962)/ABS(F962)</f>
        <v>#DIV/0!</v>
      </c>
      <c r="K962" s="5" t="e">
        <f>ABS(G962-H962)/ABS(G962)</f>
        <v>#DIV/0!</v>
      </c>
    </row>
    <row r="963" spans="3:11" x14ac:dyDescent="0.2">
      <c r="C963" t="s">
        <v>2298</v>
      </c>
      <c r="D963" t="b">
        <f ca="1">IF(CELL("format",F963)="G",IF(ABS(F963-G963) &lt;= ABS(F963*B$3),TRUE,FALSE),IF(F963=G963,TRUE,FALSE))</f>
        <v>1</v>
      </c>
      <c r="E963" s="5" t="e">
        <f>ABS(F963-G963)/ABS(F963)</f>
        <v>#DIV/0!</v>
      </c>
      <c r="F963">
        <v>0</v>
      </c>
      <c r="G963">
        <v>0</v>
      </c>
      <c r="H963">
        <v>0</v>
      </c>
      <c r="J963" s="5" t="e">
        <f>ABS(F963-G963)/ABS(F963)</f>
        <v>#DIV/0!</v>
      </c>
      <c r="K963" s="5" t="e">
        <f>ABS(G963-H963)/ABS(G963)</f>
        <v>#DIV/0!</v>
      </c>
    </row>
    <row r="964" spans="3:11" x14ac:dyDescent="0.2">
      <c r="C964" t="s">
        <v>2299</v>
      </c>
      <c r="D964" t="b">
        <f ca="1">IF(CELL("format",F964)="G",IF(ABS(F964-G964) &lt;= ABS(F964*B$3),TRUE,FALSE),IF(F964=G964,TRUE,FALSE))</f>
        <v>1</v>
      </c>
      <c r="E964" s="5" t="e">
        <f>ABS(F964-G964)/ABS(F964)</f>
        <v>#DIV/0!</v>
      </c>
      <c r="F964">
        <v>0</v>
      </c>
      <c r="G964">
        <v>0</v>
      </c>
      <c r="H964">
        <v>0</v>
      </c>
      <c r="J964" s="5" t="e">
        <f>ABS(F964-G964)/ABS(F964)</f>
        <v>#DIV/0!</v>
      </c>
      <c r="K964" s="5" t="e">
        <f>ABS(G964-H964)/ABS(G964)</f>
        <v>#DIV/0!</v>
      </c>
    </row>
    <row r="965" spans="3:11" x14ac:dyDescent="0.2">
      <c r="C965" t="s">
        <v>2300</v>
      </c>
      <c r="D965" t="b">
        <f ca="1">IF(CELL("format",F965)="G",IF(ABS(F965-G965) &lt;= ABS(F965*B$3),TRUE,FALSE),IF(F965=G965,TRUE,FALSE))</f>
        <v>1</v>
      </c>
      <c r="E965" s="5" t="e">
        <f>ABS(F965-G965)/ABS(F965)</f>
        <v>#DIV/0!</v>
      </c>
      <c r="F965">
        <v>0</v>
      </c>
      <c r="G965">
        <v>0</v>
      </c>
      <c r="H965">
        <v>0</v>
      </c>
      <c r="J965" s="5" t="e">
        <f>ABS(F965-G965)/ABS(F965)</f>
        <v>#DIV/0!</v>
      </c>
      <c r="K965" s="5" t="e">
        <f>ABS(G965-H965)/ABS(G965)</f>
        <v>#DIV/0!</v>
      </c>
    </row>
    <row r="966" spans="3:11" x14ac:dyDescent="0.2">
      <c r="C966" t="s">
        <v>2277</v>
      </c>
      <c r="D966" t="b">
        <f ca="1">IF(CELL("format",F966)="G",IF(ABS(F966-G966) &lt;= ABS(F966*B$3),TRUE,FALSE),IF(F966=G966,TRUE,FALSE))</f>
        <v>1</v>
      </c>
      <c r="E966" s="5" t="e">
        <f>ABS(F966-G966)/ABS(F966)</f>
        <v>#DIV/0!</v>
      </c>
      <c r="F966">
        <v>0</v>
      </c>
      <c r="G966">
        <v>0</v>
      </c>
      <c r="H966">
        <v>0</v>
      </c>
      <c r="J966" s="5" t="e">
        <f>ABS(F966-G966)/ABS(F966)</f>
        <v>#DIV/0!</v>
      </c>
      <c r="K966" s="5" t="e">
        <f>ABS(G966-H966)/ABS(G966)</f>
        <v>#DIV/0!</v>
      </c>
    </row>
    <row r="967" spans="3:11" x14ac:dyDescent="0.2">
      <c r="C967" t="s">
        <v>2278</v>
      </c>
      <c r="D967" t="b">
        <f ca="1">IF(CELL("format",F967)="G",IF(ABS(F967-G967) &lt;= ABS(F967*B$3),TRUE,FALSE),IF(F967=G967,TRUE,FALSE))</f>
        <v>1</v>
      </c>
      <c r="E967" s="5" t="e">
        <f>ABS(F967-G967)/ABS(F967)</f>
        <v>#DIV/0!</v>
      </c>
      <c r="F967">
        <v>0</v>
      </c>
      <c r="G967">
        <v>0</v>
      </c>
      <c r="H967">
        <v>0</v>
      </c>
      <c r="J967" s="5" t="e">
        <f>ABS(F967-G967)/ABS(F967)</f>
        <v>#DIV/0!</v>
      </c>
      <c r="K967" s="5" t="e">
        <f>ABS(G967-H967)/ABS(G967)</f>
        <v>#DIV/0!</v>
      </c>
    </row>
    <row r="968" spans="3:11" x14ac:dyDescent="0.2">
      <c r="C968" t="s">
        <v>2279</v>
      </c>
      <c r="D968" t="b">
        <f ca="1">IF(CELL("format",F968)="G",IF(ABS(F968-G968) &lt;= ABS(F968*B$3),TRUE,FALSE),IF(F968=G968,TRUE,FALSE))</f>
        <v>1</v>
      </c>
      <c r="E968" s="5" t="e">
        <f>ABS(F968-G968)/ABS(F968)</f>
        <v>#DIV/0!</v>
      </c>
      <c r="F968">
        <v>0</v>
      </c>
      <c r="G968">
        <v>0</v>
      </c>
      <c r="H968">
        <v>0</v>
      </c>
      <c r="J968" s="5" t="e">
        <f>ABS(F968-G968)/ABS(F968)</f>
        <v>#DIV/0!</v>
      </c>
      <c r="K968" s="5" t="e">
        <f>ABS(G968-H968)/ABS(G968)</f>
        <v>#DIV/0!</v>
      </c>
    </row>
    <row r="969" spans="3:11" x14ac:dyDescent="0.2">
      <c r="C969" t="s">
        <v>2280</v>
      </c>
      <c r="D969" t="b">
        <f ca="1">IF(CELL("format",F969)="G",IF(ABS(F969-G969) &lt;= ABS(F969*B$3),TRUE,FALSE),IF(F969=G969,TRUE,FALSE))</f>
        <v>1</v>
      </c>
      <c r="E969" s="5" t="e">
        <f>ABS(F969-G969)/ABS(F969)</f>
        <v>#DIV/0!</v>
      </c>
      <c r="F969">
        <v>0</v>
      </c>
      <c r="G969">
        <v>0</v>
      </c>
      <c r="H969">
        <v>0</v>
      </c>
      <c r="J969" s="5" t="e">
        <f>ABS(F969-G969)/ABS(F969)</f>
        <v>#DIV/0!</v>
      </c>
      <c r="K969" s="5" t="e">
        <f>ABS(G969-H969)/ABS(G969)</f>
        <v>#DIV/0!</v>
      </c>
    </row>
    <row r="970" spans="3:11" x14ac:dyDescent="0.2">
      <c r="C970" t="s">
        <v>2281</v>
      </c>
      <c r="D970" t="b">
        <f ca="1">IF(CELL("format",F970)="G",IF(ABS(F970-G970) &lt;= ABS(F970*B$3),TRUE,FALSE),IF(F970=G970,TRUE,FALSE))</f>
        <v>1</v>
      </c>
      <c r="E970" s="5" t="e">
        <f>ABS(F970-G970)/ABS(F970)</f>
        <v>#DIV/0!</v>
      </c>
      <c r="F970">
        <v>0</v>
      </c>
      <c r="G970">
        <v>0</v>
      </c>
      <c r="H970">
        <v>0</v>
      </c>
      <c r="J970" s="5" t="e">
        <f>ABS(F970-G970)/ABS(F970)</f>
        <v>#DIV/0!</v>
      </c>
      <c r="K970" s="5" t="e">
        <f>ABS(G970-H970)/ABS(G970)</f>
        <v>#DIV/0!</v>
      </c>
    </row>
    <row r="971" spans="3:11" x14ac:dyDescent="0.2">
      <c r="C971" t="s">
        <v>2282</v>
      </c>
      <c r="D971" t="b">
        <f ca="1">IF(CELL("format",F971)="G",IF(ABS(F971-G971) &lt;= ABS(F971*B$3),TRUE,FALSE),IF(F971=G971,TRUE,FALSE))</f>
        <v>1</v>
      </c>
      <c r="E971" s="5" t="e">
        <f>ABS(F971-G971)/ABS(F971)</f>
        <v>#DIV/0!</v>
      </c>
      <c r="F971">
        <v>0</v>
      </c>
      <c r="G971">
        <v>0</v>
      </c>
      <c r="H971">
        <v>0</v>
      </c>
      <c r="J971" s="5" t="e">
        <f>ABS(F971-G971)/ABS(F971)</f>
        <v>#DIV/0!</v>
      </c>
      <c r="K971" s="5" t="e">
        <f>ABS(G971-H971)/ABS(G971)</f>
        <v>#DIV/0!</v>
      </c>
    </row>
    <row r="972" spans="3:11" x14ac:dyDescent="0.2">
      <c r="C972" t="s">
        <v>2283</v>
      </c>
      <c r="D972" t="b">
        <f ca="1">IF(CELL("format",F972)="G",IF(ABS(F972-G972) &lt;= ABS(F972*B$3),TRUE,FALSE),IF(F972=G972,TRUE,FALSE))</f>
        <v>1</v>
      </c>
      <c r="E972" s="5" t="e">
        <f>ABS(F972-G972)/ABS(F972)</f>
        <v>#DIV/0!</v>
      </c>
      <c r="F972">
        <v>0</v>
      </c>
      <c r="G972">
        <v>0</v>
      </c>
      <c r="H972">
        <v>0</v>
      </c>
      <c r="J972" s="5" t="e">
        <f>ABS(F972-G972)/ABS(F972)</f>
        <v>#DIV/0!</v>
      </c>
      <c r="K972" s="5" t="e">
        <f>ABS(G972-H972)/ABS(G972)</f>
        <v>#DIV/0!</v>
      </c>
    </row>
    <row r="973" spans="3:11" x14ac:dyDescent="0.2">
      <c r="C973" t="s">
        <v>2284</v>
      </c>
      <c r="D973" t="b">
        <f ca="1">IF(CELL("format",F973)="G",IF(ABS(F973-G973) &lt;= ABS(F973*B$3),TRUE,FALSE),IF(F973=G973,TRUE,FALSE))</f>
        <v>1</v>
      </c>
      <c r="E973" s="5">
        <f>ABS(F973-G973)/ABS(F973)</f>
        <v>0</v>
      </c>
      <c r="F973">
        <v>58.7</v>
      </c>
      <c r="G973">
        <v>58.7</v>
      </c>
      <c r="H973">
        <v>58.7</v>
      </c>
      <c r="J973" s="5">
        <f>ABS(F973-G973)/ABS(F973)</f>
        <v>0</v>
      </c>
      <c r="K973" s="5">
        <f>ABS(G973-H973)/ABS(G973)</f>
        <v>0</v>
      </c>
    </row>
    <row r="974" spans="3:11" x14ac:dyDescent="0.2">
      <c r="C974" t="s">
        <v>2285</v>
      </c>
      <c r="D974" t="b">
        <f ca="1">IF(CELL("format",F974)="G",IF(ABS(F974-G974) &lt;= ABS(F974*B$3),TRUE,FALSE),IF(F974=G974,TRUE,FALSE))</f>
        <v>1</v>
      </c>
      <c r="E974" s="5">
        <f>ABS(F974-G974)/ABS(F974)</f>
        <v>0</v>
      </c>
      <c r="F974">
        <v>175.19</v>
      </c>
      <c r="G974">
        <v>175.19</v>
      </c>
      <c r="H974">
        <v>175.19</v>
      </c>
      <c r="J974" s="5">
        <f>ABS(F974-G974)/ABS(F974)</f>
        <v>0</v>
      </c>
      <c r="K974" s="5">
        <f>ABS(G974-H974)/ABS(G974)</f>
        <v>0</v>
      </c>
    </row>
    <row r="975" spans="3:11" x14ac:dyDescent="0.2">
      <c r="C975" t="s">
        <v>2286</v>
      </c>
      <c r="D975" t="b">
        <f ca="1">IF(CELL("format",F975)="G",IF(ABS(F975-G975) &lt;= ABS(F975*B$3),TRUE,FALSE),IF(F975=G975,TRUE,FALSE))</f>
        <v>1</v>
      </c>
      <c r="E975" s="5">
        <f>ABS(F975-G975)/ABS(F975)</f>
        <v>0</v>
      </c>
      <c r="F975">
        <v>263.02</v>
      </c>
      <c r="G975">
        <v>263.02</v>
      </c>
      <c r="H975">
        <v>263.02</v>
      </c>
      <c r="J975" s="5">
        <f>ABS(F975-G975)/ABS(F975)</f>
        <v>0</v>
      </c>
      <c r="K975" s="5">
        <f>ABS(G975-H975)/ABS(G975)</f>
        <v>0</v>
      </c>
    </row>
    <row r="976" spans="3:11" x14ac:dyDescent="0.2">
      <c r="C976" t="s">
        <v>2287</v>
      </c>
      <c r="D976" t="b">
        <f ca="1">IF(CELL("format",F976)="G",IF(ABS(F976-G976) &lt;= ABS(F976*B$3),TRUE,FALSE),IF(F976=G976,TRUE,FALSE))</f>
        <v>1</v>
      </c>
      <c r="E976" s="5">
        <f>ABS(F976-G976)/ABS(F976)</f>
        <v>0</v>
      </c>
      <c r="F976">
        <v>322.57</v>
      </c>
      <c r="G976">
        <v>322.57</v>
      </c>
      <c r="H976">
        <v>322.57</v>
      </c>
      <c r="J976" s="5">
        <f>ABS(F976-G976)/ABS(F976)</f>
        <v>0</v>
      </c>
      <c r="K976" s="5">
        <f>ABS(G976-H976)/ABS(G976)</f>
        <v>0</v>
      </c>
    </row>
    <row r="977" spans="3:11" x14ac:dyDescent="0.2">
      <c r="C977" t="s">
        <v>2288</v>
      </c>
      <c r="D977" t="b">
        <f ca="1">IF(CELL("format",F977)="G",IF(ABS(F977-G977) &lt;= ABS(F977*B$3),TRUE,FALSE),IF(F977=G977,TRUE,FALSE))</f>
        <v>1</v>
      </c>
      <c r="E977" s="5">
        <f>ABS(F977-G977)/ABS(F977)</f>
        <v>0</v>
      </c>
      <c r="F977">
        <v>354.51</v>
      </c>
      <c r="G977">
        <v>354.51</v>
      </c>
      <c r="H977">
        <v>354.51</v>
      </c>
      <c r="J977" s="5">
        <f>ABS(F977-G977)/ABS(F977)</f>
        <v>0</v>
      </c>
      <c r="K977" s="5">
        <f>ABS(G977-H977)/ABS(G977)</f>
        <v>0</v>
      </c>
    </row>
    <row r="978" spans="3:11" x14ac:dyDescent="0.2">
      <c r="C978" t="s">
        <v>2289</v>
      </c>
      <c r="D978" t="b">
        <f ca="1">IF(CELL("format",F978)="G",IF(ABS(F978-G978) &lt;= ABS(F978*B$3),TRUE,FALSE),IF(F978=G978,TRUE,FALSE))</f>
        <v>1</v>
      </c>
      <c r="E978" s="5">
        <f>ABS(F978-G978)/ABS(F978)</f>
        <v>0</v>
      </c>
      <c r="F978">
        <v>357.98</v>
      </c>
      <c r="G978">
        <v>357.98</v>
      </c>
      <c r="H978">
        <v>357.98</v>
      </c>
      <c r="J978" s="5">
        <f>ABS(F978-G978)/ABS(F978)</f>
        <v>0</v>
      </c>
      <c r="K978" s="5">
        <f>ABS(G978-H978)/ABS(G978)</f>
        <v>0</v>
      </c>
    </row>
    <row r="979" spans="3:11" x14ac:dyDescent="0.2">
      <c r="C979" t="s">
        <v>2290</v>
      </c>
      <c r="D979" t="b">
        <f ca="1">IF(CELL("format",F979)="G",IF(ABS(F979-G979) &lt;= ABS(F979*B$3),TRUE,FALSE),IF(F979=G979,TRUE,FALSE))</f>
        <v>1</v>
      </c>
      <c r="E979" s="5">
        <f>ABS(F979-G979)/ABS(F979)</f>
        <v>0</v>
      </c>
      <c r="F979">
        <v>332.27</v>
      </c>
      <c r="G979">
        <v>332.27</v>
      </c>
      <c r="H979">
        <v>332.27</v>
      </c>
      <c r="J979" s="5">
        <f>ABS(F979-G979)/ABS(F979)</f>
        <v>0</v>
      </c>
      <c r="K979" s="5">
        <f>ABS(G979-H979)/ABS(G979)</f>
        <v>0</v>
      </c>
    </row>
    <row r="980" spans="3:11" x14ac:dyDescent="0.2">
      <c r="C980" t="s">
        <v>2291</v>
      </c>
      <c r="D980" t="b">
        <f ca="1">IF(CELL("format",F980)="G",IF(ABS(F980-G980) &lt;= ABS(F980*B$3),TRUE,FALSE),IF(F980=G980,TRUE,FALSE))</f>
        <v>1</v>
      </c>
      <c r="E980" s="5">
        <f>ABS(F980-G980)/ABS(F980)</f>
        <v>0</v>
      </c>
      <c r="F980">
        <v>278.94</v>
      </c>
      <c r="G980">
        <v>278.94</v>
      </c>
      <c r="H980">
        <v>278.94</v>
      </c>
      <c r="J980" s="5">
        <f>ABS(F980-G980)/ABS(F980)</f>
        <v>0</v>
      </c>
      <c r="K980" s="5">
        <f>ABS(G980-H980)/ABS(G980)</f>
        <v>0</v>
      </c>
    </row>
    <row r="981" spans="3:11" x14ac:dyDescent="0.2">
      <c r="C981" t="s">
        <v>2292</v>
      </c>
      <c r="D981" t="b">
        <f ca="1">IF(CELL("format",F981)="G",IF(ABS(F981-G981) &lt;= ABS(F981*B$3),TRUE,FALSE),IF(F981=G981,TRUE,FALSE))</f>
        <v>1</v>
      </c>
      <c r="E981" s="5">
        <f>ABS(F981-G981)/ABS(F981)</f>
        <v>0</v>
      </c>
      <c r="F981">
        <v>198.67</v>
      </c>
      <c r="G981">
        <v>198.67</v>
      </c>
      <c r="H981">
        <v>198.67</v>
      </c>
      <c r="J981" s="5">
        <f>ABS(F981-G981)/ABS(F981)</f>
        <v>0</v>
      </c>
      <c r="K981" s="5">
        <f>ABS(G981-H981)/ABS(G981)</f>
        <v>0</v>
      </c>
    </row>
    <row r="982" spans="3:11" x14ac:dyDescent="0.2">
      <c r="C982" t="s">
        <v>2293</v>
      </c>
      <c r="D982" t="b">
        <f ca="1">IF(CELL("format",F982)="G",IF(ABS(F982-G982) &lt;= ABS(F982*B$3),TRUE,FALSE),IF(F982=G982,TRUE,FALSE))</f>
        <v>1</v>
      </c>
      <c r="E982" s="5">
        <f>ABS(F982-G982)/ABS(F982)</f>
        <v>0</v>
      </c>
      <c r="F982">
        <v>95.79</v>
      </c>
      <c r="G982">
        <v>95.79</v>
      </c>
      <c r="H982">
        <v>95.79</v>
      </c>
      <c r="J982" s="5">
        <f>ABS(F982-G982)/ABS(F982)</f>
        <v>0</v>
      </c>
      <c r="K982" s="5">
        <f>ABS(G982-H982)/ABS(G982)</f>
        <v>0</v>
      </c>
    </row>
    <row r="983" spans="3:11" x14ac:dyDescent="0.2">
      <c r="C983" t="s">
        <v>2294</v>
      </c>
      <c r="D983" t="b">
        <f ca="1">IF(CELL("format",F983)="G",IF(ABS(F983-G983) &lt;= ABS(F983*B$3),TRUE,FALSE),IF(F983=G983,TRUE,FALSE))</f>
        <v>1</v>
      </c>
      <c r="E983" s="5">
        <f>ABS(F983-G983)/ABS(F983)</f>
        <v>0</v>
      </c>
      <c r="F983">
        <v>5.2</v>
      </c>
      <c r="G983">
        <v>5.2</v>
      </c>
      <c r="H983">
        <v>5.2</v>
      </c>
      <c r="J983" s="5">
        <f>ABS(F983-G983)/ABS(F983)</f>
        <v>0</v>
      </c>
      <c r="K983" s="5">
        <f>ABS(G983-H983)/ABS(G983)</f>
        <v>0</v>
      </c>
    </row>
    <row r="984" spans="3:11" x14ac:dyDescent="0.2">
      <c r="C984" t="s">
        <v>2295</v>
      </c>
      <c r="D984" t="b">
        <f ca="1">IF(CELL("format",F984)="G",IF(ABS(F984-G984) &lt;= ABS(F984*B$3),TRUE,FALSE),IF(F984=G984,TRUE,FALSE))</f>
        <v>1</v>
      </c>
      <c r="E984" s="5" t="e">
        <f>ABS(F984-G984)/ABS(F984)</f>
        <v>#DIV/0!</v>
      </c>
      <c r="F984">
        <v>0</v>
      </c>
      <c r="G984">
        <v>0</v>
      </c>
      <c r="H984">
        <v>0</v>
      </c>
      <c r="J984" s="5" t="e">
        <f>ABS(F984-G984)/ABS(F984)</f>
        <v>#DIV/0!</v>
      </c>
      <c r="K984" s="5" t="e">
        <f>ABS(G984-H984)/ABS(G984)</f>
        <v>#DIV/0!</v>
      </c>
    </row>
    <row r="985" spans="3:11" x14ac:dyDescent="0.2">
      <c r="C985" t="s">
        <v>2296</v>
      </c>
      <c r="D985" t="b">
        <f ca="1">IF(CELL("format",F985)="G",IF(ABS(F985-G985) &lt;= ABS(F985*B$3),TRUE,FALSE),IF(F985=G985,TRUE,FALSE))</f>
        <v>1</v>
      </c>
      <c r="E985" s="5" t="e">
        <f>ABS(F985-G985)/ABS(F985)</f>
        <v>#DIV/0!</v>
      </c>
      <c r="F985">
        <v>0</v>
      </c>
      <c r="G985">
        <v>0</v>
      </c>
      <c r="H985">
        <v>0</v>
      </c>
      <c r="J985" s="5" t="e">
        <f>ABS(F985-G985)/ABS(F985)</f>
        <v>#DIV/0!</v>
      </c>
      <c r="K985" s="5" t="e">
        <f>ABS(G985-H985)/ABS(G985)</f>
        <v>#DIV/0!</v>
      </c>
    </row>
    <row r="986" spans="3:11" x14ac:dyDescent="0.2">
      <c r="C986" t="s">
        <v>2297</v>
      </c>
      <c r="D986" t="b">
        <f ca="1">IF(CELL("format",F986)="G",IF(ABS(F986-G986) &lt;= ABS(F986*B$3),TRUE,FALSE),IF(F986=G986,TRUE,FALSE))</f>
        <v>1</v>
      </c>
      <c r="E986" s="5" t="e">
        <f>ABS(F986-G986)/ABS(F986)</f>
        <v>#DIV/0!</v>
      </c>
      <c r="F986">
        <v>0</v>
      </c>
      <c r="G986">
        <v>0</v>
      </c>
      <c r="H986">
        <v>0</v>
      </c>
      <c r="J986" s="5" t="e">
        <f>ABS(F986-G986)/ABS(F986)</f>
        <v>#DIV/0!</v>
      </c>
      <c r="K986" s="5" t="e">
        <f>ABS(G986-H986)/ABS(G986)</f>
        <v>#DIV/0!</v>
      </c>
    </row>
    <row r="987" spans="3:11" x14ac:dyDescent="0.2">
      <c r="C987" t="s">
        <v>2298</v>
      </c>
      <c r="D987" t="b">
        <f ca="1">IF(CELL("format",F987)="G",IF(ABS(F987-G987) &lt;= ABS(F987*B$3),TRUE,FALSE),IF(F987=G987,TRUE,FALSE))</f>
        <v>1</v>
      </c>
      <c r="E987" s="5" t="e">
        <f>ABS(F987-G987)/ABS(F987)</f>
        <v>#DIV/0!</v>
      </c>
      <c r="F987">
        <v>0</v>
      </c>
      <c r="G987">
        <v>0</v>
      </c>
      <c r="H987">
        <v>0</v>
      </c>
      <c r="J987" s="5" t="e">
        <f>ABS(F987-G987)/ABS(F987)</f>
        <v>#DIV/0!</v>
      </c>
      <c r="K987" s="5" t="e">
        <f>ABS(G987-H987)/ABS(G987)</f>
        <v>#DIV/0!</v>
      </c>
    </row>
    <row r="988" spans="3:11" x14ac:dyDescent="0.2">
      <c r="C988" t="s">
        <v>2299</v>
      </c>
      <c r="D988" t="b">
        <f ca="1">IF(CELL("format",F988)="G",IF(ABS(F988-G988) &lt;= ABS(F988*B$3),TRUE,FALSE),IF(F988=G988,TRUE,FALSE))</f>
        <v>1</v>
      </c>
      <c r="E988" s="5" t="e">
        <f>ABS(F988-G988)/ABS(F988)</f>
        <v>#DIV/0!</v>
      </c>
      <c r="F988">
        <v>0</v>
      </c>
      <c r="G988">
        <v>0</v>
      </c>
      <c r="H988">
        <v>0</v>
      </c>
      <c r="J988" s="5" t="e">
        <f>ABS(F988-G988)/ABS(F988)</f>
        <v>#DIV/0!</v>
      </c>
      <c r="K988" s="5" t="e">
        <f>ABS(G988-H988)/ABS(G988)</f>
        <v>#DIV/0!</v>
      </c>
    </row>
    <row r="989" spans="3:11" x14ac:dyDescent="0.2">
      <c r="C989" t="s">
        <v>2300</v>
      </c>
      <c r="D989" t="b">
        <f ca="1">IF(CELL("format",F989)="G",IF(ABS(F989-G989) &lt;= ABS(F989*B$3),TRUE,FALSE),IF(F989=G989,TRUE,FALSE))</f>
        <v>1</v>
      </c>
      <c r="E989" s="5" t="e">
        <f>ABS(F989-G989)/ABS(F989)</f>
        <v>#DIV/0!</v>
      </c>
      <c r="F989">
        <v>0</v>
      </c>
      <c r="G989">
        <v>0</v>
      </c>
      <c r="H989">
        <v>0</v>
      </c>
      <c r="J989" s="5" t="e">
        <f>ABS(F989-G989)/ABS(F989)</f>
        <v>#DIV/0!</v>
      </c>
      <c r="K989" s="5" t="e">
        <f>ABS(G989-H989)/ABS(G989)</f>
        <v>#DIV/0!</v>
      </c>
    </row>
    <row r="990" spans="3:11" x14ac:dyDescent="0.2">
      <c r="C990" t="s">
        <v>2277</v>
      </c>
      <c r="D990" t="b">
        <f ca="1">IF(CELL("format",F990)="G",IF(ABS(F990-G990) &lt;= ABS(F990*B$3),TRUE,FALSE),IF(F990=G990,TRUE,FALSE))</f>
        <v>1</v>
      </c>
      <c r="E990" s="5" t="e">
        <f>ABS(F990-G990)/ABS(F990)</f>
        <v>#DIV/0!</v>
      </c>
      <c r="F990">
        <v>0</v>
      </c>
      <c r="G990">
        <v>0</v>
      </c>
      <c r="H990">
        <v>0</v>
      </c>
      <c r="J990" s="5" t="e">
        <f>ABS(F990-G990)/ABS(F990)</f>
        <v>#DIV/0!</v>
      </c>
      <c r="K990" s="5" t="e">
        <f>ABS(G990-H990)/ABS(G990)</f>
        <v>#DIV/0!</v>
      </c>
    </row>
    <row r="991" spans="3:11" x14ac:dyDescent="0.2">
      <c r="C991" t="s">
        <v>2278</v>
      </c>
      <c r="D991" t="b">
        <f ca="1">IF(CELL("format",F991)="G",IF(ABS(F991-G991) &lt;= ABS(F991*B$3),TRUE,FALSE),IF(F991=G991,TRUE,FALSE))</f>
        <v>1</v>
      </c>
      <c r="E991" s="5" t="e">
        <f>ABS(F991-G991)/ABS(F991)</f>
        <v>#DIV/0!</v>
      </c>
      <c r="F991">
        <v>0</v>
      </c>
      <c r="G991">
        <v>0</v>
      </c>
      <c r="H991">
        <v>0</v>
      </c>
      <c r="J991" s="5" t="e">
        <f>ABS(F991-G991)/ABS(F991)</f>
        <v>#DIV/0!</v>
      </c>
      <c r="K991" s="5" t="e">
        <f>ABS(G991-H991)/ABS(G991)</f>
        <v>#DIV/0!</v>
      </c>
    </row>
    <row r="992" spans="3:11" x14ac:dyDescent="0.2">
      <c r="C992" t="s">
        <v>2279</v>
      </c>
      <c r="D992" t="b">
        <f ca="1">IF(CELL("format",F992)="G",IF(ABS(F992-G992) &lt;= ABS(F992*B$3),TRUE,FALSE),IF(F992=G992,TRUE,FALSE))</f>
        <v>1</v>
      </c>
      <c r="E992" s="5" t="e">
        <f>ABS(F992-G992)/ABS(F992)</f>
        <v>#DIV/0!</v>
      </c>
      <c r="F992">
        <v>0</v>
      </c>
      <c r="G992">
        <v>0</v>
      </c>
      <c r="H992">
        <v>0</v>
      </c>
      <c r="J992" s="5" t="e">
        <f>ABS(F992-G992)/ABS(F992)</f>
        <v>#DIV/0!</v>
      </c>
      <c r="K992" s="5" t="e">
        <f>ABS(G992-H992)/ABS(G992)</f>
        <v>#DIV/0!</v>
      </c>
    </row>
    <row r="993" spans="3:11" x14ac:dyDescent="0.2">
      <c r="C993" t="s">
        <v>2280</v>
      </c>
      <c r="D993" t="b">
        <f ca="1">IF(CELL("format",F993)="G",IF(ABS(F993-G993) &lt;= ABS(F993*B$3),TRUE,FALSE),IF(F993=G993,TRUE,FALSE))</f>
        <v>1</v>
      </c>
      <c r="E993" s="5" t="e">
        <f>ABS(F993-G993)/ABS(F993)</f>
        <v>#DIV/0!</v>
      </c>
      <c r="F993">
        <v>0</v>
      </c>
      <c r="G993">
        <v>0</v>
      </c>
      <c r="H993">
        <v>0</v>
      </c>
      <c r="J993" s="5" t="e">
        <f>ABS(F993-G993)/ABS(F993)</f>
        <v>#DIV/0!</v>
      </c>
      <c r="K993" s="5" t="e">
        <f>ABS(G993-H993)/ABS(G993)</f>
        <v>#DIV/0!</v>
      </c>
    </row>
    <row r="994" spans="3:11" x14ac:dyDescent="0.2">
      <c r="C994" t="s">
        <v>2281</v>
      </c>
      <c r="D994" t="b">
        <f ca="1">IF(CELL("format",F994)="G",IF(ABS(F994-G994) &lt;= ABS(F994*B$3),TRUE,FALSE),IF(F994=G994,TRUE,FALSE))</f>
        <v>1</v>
      </c>
      <c r="E994" s="5" t="e">
        <f>ABS(F994-G994)/ABS(F994)</f>
        <v>#DIV/0!</v>
      </c>
      <c r="F994">
        <v>0</v>
      </c>
      <c r="G994">
        <v>0</v>
      </c>
      <c r="H994">
        <v>0</v>
      </c>
      <c r="J994" s="5" t="e">
        <f>ABS(F994-G994)/ABS(F994)</f>
        <v>#DIV/0!</v>
      </c>
      <c r="K994" s="5" t="e">
        <f>ABS(G994-H994)/ABS(G994)</f>
        <v>#DIV/0!</v>
      </c>
    </row>
    <row r="995" spans="3:11" x14ac:dyDescent="0.2">
      <c r="C995" t="s">
        <v>2282</v>
      </c>
      <c r="D995" t="b">
        <f ca="1">IF(CELL("format",F995)="G",IF(ABS(F995-G995) &lt;= ABS(F995*B$3),TRUE,FALSE),IF(F995=G995,TRUE,FALSE))</f>
        <v>1</v>
      </c>
      <c r="E995" s="5" t="e">
        <f>ABS(F995-G995)/ABS(F995)</f>
        <v>#DIV/0!</v>
      </c>
      <c r="F995">
        <v>0</v>
      </c>
      <c r="G995">
        <v>0</v>
      </c>
      <c r="H995">
        <v>0</v>
      </c>
      <c r="J995" s="5" t="e">
        <f>ABS(F995-G995)/ABS(F995)</f>
        <v>#DIV/0!</v>
      </c>
      <c r="K995" s="5" t="e">
        <f>ABS(G995-H995)/ABS(G995)</f>
        <v>#DIV/0!</v>
      </c>
    </row>
    <row r="996" spans="3:11" x14ac:dyDescent="0.2">
      <c r="C996" t="s">
        <v>2283</v>
      </c>
      <c r="D996" t="b">
        <f ca="1">IF(CELL("format",F996)="G",IF(ABS(F996-G996) &lt;= ABS(F996*B$3),TRUE,FALSE),IF(F996=G996,TRUE,FALSE))</f>
        <v>1</v>
      </c>
      <c r="E996" s="5" t="e">
        <f>ABS(F996-G996)/ABS(F996)</f>
        <v>#DIV/0!</v>
      </c>
      <c r="F996">
        <v>0</v>
      </c>
      <c r="G996">
        <v>0</v>
      </c>
      <c r="H996">
        <v>0</v>
      </c>
      <c r="J996" s="5" t="e">
        <f>ABS(F996-G996)/ABS(F996)</f>
        <v>#DIV/0!</v>
      </c>
      <c r="K996" s="5" t="e">
        <f>ABS(G996-H996)/ABS(G996)</f>
        <v>#DIV/0!</v>
      </c>
    </row>
    <row r="997" spans="3:11" x14ac:dyDescent="0.2">
      <c r="C997" t="s">
        <v>2284</v>
      </c>
      <c r="D997" t="b">
        <f ca="1">IF(CELL("format",F997)="G",IF(ABS(F997-G997) &lt;= ABS(F997*B$3),TRUE,FALSE),IF(F997=G997,TRUE,FALSE))</f>
        <v>1</v>
      </c>
      <c r="E997" s="5">
        <f>ABS(F997-G997)/ABS(F997)</f>
        <v>0</v>
      </c>
      <c r="F997">
        <v>144.96</v>
      </c>
      <c r="G997">
        <v>144.96</v>
      </c>
      <c r="H997">
        <v>144.96</v>
      </c>
      <c r="J997" s="5">
        <f>ABS(F997-G997)/ABS(F997)</f>
        <v>0</v>
      </c>
      <c r="K997" s="5">
        <f>ABS(G997-H997)/ABS(G997)</f>
        <v>0</v>
      </c>
    </row>
    <row r="998" spans="3:11" x14ac:dyDescent="0.2">
      <c r="C998" t="s">
        <v>2285</v>
      </c>
      <c r="D998" t="b">
        <f ca="1">IF(CELL("format",F998)="G",IF(ABS(F998-G998) &lt;= ABS(F998*B$3),TRUE,FALSE),IF(F998=G998,TRUE,FALSE))</f>
        <v>1</v>
      </c>
      <c r="E998" s="5">
        <f>ABS(F998-G998)/ABS(F998)</f>
        <v>0</v>
      </c>
      <c r="F998">
        <v>408.87</v>
      </c>
      <c r="G998">
        <v>408.87</v>
      </c>
      <c r="H998">
        <v>408.87</v>
      </c>
      <c r="J998" s="5">
        <f>ABS(F998-G998)/ABS(F998)</f>
        <v>0</v>
      </c>
      <c r="K998" s="5">
        <f>ABS(G998-H998)/ABS(G998)</f>
        <v>0</v>
      </c>
    </row>
    <row r="999" spans="3:11" x14ac:dyDescent="0.2">
      <c r="C999" t="s">
        <v>2286</v>
      </c>
      <c r="D999" t="b">
        <f ca="1">IF(CELL("format",F999)="G",IF(ABS(F999-G999) &lt;= ABS(F999*B$3),TRUE,FALSE),IF(F999=G999,TRUE,FALSE))</f>
        <v>1</v>
      </c>
      <c r="E999" s="5">
        <f>ABS(F999-G999)/ABS(F999)</f>
        <v>0</v>
      </c>
      <c r="F999">
        <v>596.1</v>
      </c>
      <c r="G999">
        <v>596.1</v>
      </c>
      <c r="H999">
        <v>596.1</v>
      </c>
      <c r="J999" s="5">
        <f>ABS(F999-G999)/ABS(F999)</f>
        <v>0</v>
      </c>
      <c r="K999" s="5">
        <f>ABS(G999-H999)/ABS(G999)</f>
        <v>0</v>
      </c>
    </row>
    <row r="1000" spans="3:11" x14ac:dyDescent="0.2">
      <c r="C1000" t="s">
        <v>2287</v>
      </c>
      <c r="D1000" t="b">
        <f ca="1">IF(CELL("format",F1000)="G",IF(ABS(F1000-G1000) &lt;= ABS(F1000*B$3),TRUE,FALSE),IF(F1000=G1000,TRUE,FALSE))</f>
        <v>1</v>
      </c>
      <c r="E1000" s="5">
        <f>ABS(F1000-G1000)/ABS(F1000)</f>
        <v>0</v>
      </c>
      <c r="F1000">
        <v>720.94</v>
      </c>
      <c r="G1000">
        <v>720.94</v>
      </c>
      <c r="H1000">
        <v>720.94</v>
      </c>
      <c r="J1000" s="5">
        <f>ABS(F1000-G1000)/ABS(F1000)</f>
        <v>0</v>
      </c>
      <c r="K1000" s="5">
        <f>ABS(G1000-H1000)/ABS(G1000)</f>
        <v>0</v>
      </c>
    </row>
    <row r="1001" spans="3:11" x14ac:dyDescent="0.2">
      <c r="C1001" t="s">
        <v>2288</v>
      </c>
      <c r="D1001" t="b">
        <f ca="1">IF(CELL("format",F1001)="G",IF(ABS(F1001-G1001) &lt;= ABS(F1001*B$3),TRUE,FALSE),IF(F1001=G1001,TRUE,FALSE))</f>
        <v>1</v>
      </c>
      <c r="E1001" s="5">
        <f>ABS(F1001-G1001)/ABS(F1001)</f>
        <v>0</v>
      </c>
      <c r="F1001">
        <v>786.61</v>
      </c>
      <c r="G1001">
        <v>786.61</v>
      </c>
      <c r="H1001">
        <v>786.61</v>
      </c>
      <c r="J1001" s="5">
        <f>ABS(F1001-G1001)/ABS(F1001)</f>
        <v>0</v>
      </c>
      <c r="K1001" s="5">
        <f>ABS(G1001-H1001)/ABS(G1001)</f>
        <v>0</v>
      </c>
    </row>
    <row r="1002" spans="3:11" x14ac:dyDescent="0.2">
      <c r="C1002" t="s">
        <v>2289</v>
      </c>
      <c r="D1002" t="b">
        <f ca="1">IF(CELL("format",F1002)="G",IF(ABS(F1002-G1002) &lt;= ABS(F1002*B$3),TRUE,FALSE),IF(F1002=G1002,TRUE,FALSE))</f>
        <v>1</v>
      </c>
      <c r="E1002" s="5">
        <f>ABS(F1002-G1002)/ABS(F1002)</f>
        <v>0</v>
      </c>
      <c r="F1002">
        <v>793.67</v>
      </c>
      <c r="G1002">
        <v>793.67</v>
      </c>
      <c r="H1002">
        <v>793.67</v>
      </c>
      <c r="J1002" s="5">
        <f>ABS(F1002-G1002)/ABS(F1002)</f>
        <v>0</v>
      </c>
      <c r="K1002" s="5">
        <f>ABS(G1002-H1002)/ABS(G1002)</f>
        <v>0</v>
      </c>
    </row>
    <row r="1003" spans="3:11" x14ac:dyDescent="0.2">
      <c r="C1003" t="s">
        <v>2290</v>
      </c>
      <c r="D1003" t="b">
        <f ca="1">IF(CELL("format",F1003)="G",IF(ABS(F1003-G1003) &lt;= ABS(F1003*B$3),TRUE,FALSE),IF(F1003=G1003,TRUE,FALSE))</f>
        <v>1</v>
      </c>
      <c r="E1003" s="5">
        <f>ABS(F1003-G1003)/ABS(F1003)</f>
        <v>0</v>
      </c>
      <c r="F1003">
        <v>740.93</v>
      </c>
      <c r="G1003">
        <v>740.93</v>
      </c>
      <c r="H1003">
        <v>740.93</v>
      </c>
      <c r="J1003" s="5">
        <f>ABS(F1003-G1003)/ABS(F1003)</f>
        <v>0</v>
      </c>
      <c r="K1003" s="5">
        <f>ABS(G1003-H1003)/ABS(G1003)</f>
        <v>0</v>
      </c>
    </row>
    <row r="1004" spans="3:11" x14ac:dyDescent="0.2">
      <c r="C1004" t="s">
        <v>2291</v>
      </c>
      <c r="D1004" t="b">
        <f ca="1">IF(CELL("format",F1004)="G",IF(ABS(F1004-G1004) &lt;= ABS(F1004*B$3),TRUE,FALSE),IF(F1004=G1004,TRUE,FALSE))</f>
        <v>1</v>
      </c>
      <c r="E1004" s="5">
        <f>ABS(F1004-G1004)/ABS(F1004)</f>
        <v>0</v>
      </c>
      <c r="F1004">
        <v>629.54</v>
      </c>
      <c r="G1004">
        <v>629.54</v>
      </c>
      <c r="H1004">
        <v>629.54</v>
      </c>
      <c r="J1004" s="5">
        <f>ABS(F1004-G1004)/ABS(F1004)</f>
        <v>0</v>
      </c>
      <c r="K1004" s="5">
        <f>ABS(G1004-H1004)/ABS(G1004)</f>
        <v>0</v>
      </c>
    </row>
    <row r="1005" spans="3:11" x14ac:dyDescent="0.2">
      <c r="C1005" t="s">
        <v>2292</v>
      </c>
      <c r="D1005" t="b">
        <f ca="1">IF(CELL("format",F1005)="G",IF(ABS(F1005-G1005) &lt;= ABS(F1005*B$3),TRUE,FALSE),IF(F1005=G1005,TRUE,FALSE))</f>
        <v>1</v>
      </c>
      <c r="E1005" s="5">
        <f>ABS(F1005-G1005)/ABS(F1005)</f>
        <v>0</v>
      </c>
      <c r="F1005">
        <v>459.36</v>
      </c>
      <c r="G1005">
        <v>459.36</v>
      </c>
      <c r="H1005">
        <v>459.36</v>
      </c>
      <c r="J1005" s="5">
        <f>ABS(F1005-G1005)/ABS(F1005)</f>
        <v>0</v>
      </c>
      <c r="K1005" s="5">
        <f>ABS(G1005-H1005)/ABS(G1005)</f>
        <v>0</v>
      </c>
    </row>
    <row r="1006" spans="3:11" x14ac:dyDescent="0.2">
      <c r="C1006" t="s">
        <v>2293</v>
      </c>
      <c r="D1006" t="b">
        <f ca="1">IF(CELL("format",F1006)="G",IF(ABS(F1006-G1006) &lt;= ABS(F1006*B$3),TRUE,FALSE),IF(F1006=G1006,TRUE,FALSE))</f>
        <v>1</v>
      </c>
      <c r="E1006" s="5">
        <f>ABS(F1006-G1006)/ABS(F1006)</f>
        <v>0</v>
      </c>
      <c r="F1006">
        <v>233.51</v>
      </c>
      <c r="G1006">
        <v>233.51</v>
      </c>
      <c r="H1006">
        <v>233.51</v>
      </c>
      <c r="J1006" s="5">
        <f>ABS(F1006-G1006)/ABS(F1006)</f>
        <v>0</v>
      </c>
      <c r="K1006" s="5">
        <f>ABS(G1006-H1006)/ABS(G1006)</f>
        <v>0</v>
      </c>
    </row>
    <row r="1007" spans="3:11" x14ac:dyDescent="0.2">
      <c r="C1007" t="s">
        <v>2294</v>
      </c>
      <c r="D1007" t="b">
        <f ca="1">IF(CELL("format",F1007)="G",IF(ABS(F1007-G1007) &lt;= ABS(F1007*B$3),TRUE,FALSE),IF(F1007=G1007,TRUE,FALSE))</f>
        <v>1</v>
      </c>
      <c r="E1007" s="5">
        <f>ABS(F1007-G1007)/ABS(F1007)</f>
        <v>0</v>
      </c>
      <c r="F1007">
        <v>13.56</v>
      </c>
      <c r="G1007">
        <v>13.56</v>
      </c>
      <c r="H1007">
        <v>13.56</v>
      </c>
      <c r="J1007" s="5">
        <f>ABS(F1007-G1007)/ABS(F1007)</f>
        <v>0</v>
      </c>
      <c r="K1007" s="5">
        <f>ABS(G1007-H1007)/ABS(G1007)</f>
        <v>0</v>
      </c>
    </row>
    <row r="1008" spans="3:11" x14ac:dyDescent="0.2">
      <c r="C1008" t="s">
        <v>2295</v>
      </c>
      <c r="D1008" t="b">
        <f ca="1">IF(CELL("format",F1008)="G",IF(ABS(F1008-G1008) &lt;= ABS(F1008*B$3),TRUE,FALSE),IF(F1008=G1008,TRUE,FALSE))</f>
        <v>1</v>
      </c>
      <c r="E1008" s="5" t="e">
        <f>ABS(F1008-G1008)/ABS(F1008)</f>
        <v>#DIV/0!</v>
      </c>
      <c r="F1008">
        <v>0</v>
      </c>
      <c r="G1008">
        <v>0</v>
      </c>
      <c r="H1008">
        <v>0</v>
      </c>
      <c r="J1008" s="5" t="e">
        <f>ABS(F1008-G1008)/ABS(F1008)</f>
        <v>#DIV/0!</v>
      </c>
      <c r="K1008" s="5" t="e">
        <f>ABS(G1008-H1008)/ABS(G1008)</f>
        <v>#DIV/0!</v>
      </c>
    </row>
    <row r="1009" spans="3:11" x14ac:dyDescent="0.2">
      <c r="C1009" t="s">
        <v>2296</v>
      </c>
      <c r="D1009" t="b">
        <f ca="1">IF(CELL("format",F1009)="G",IF(ABS(F1009-G1009) &lt;= ABS(F1009*B$3),TRUE,FALSE),IF(F1009=G1009,TRUE,FALSE))</f>
        <v>1</v>
      </c>
      <c r="E1009" s="5" t="e">
        <f>ABS(F1009-G1009)/ABS(F1009)</f>
        <v>#DIV/0!</v>
      </c>
      <c r="F1009">
        <v>0</v>
      </c>
      <c r="G1009">
        <v>0</v>
      </c>
      <c r="H1009">
        <v>0</v>
      </c>
      <c r="J1009" s="5" t="e">
        <f>ABS(F1009-G1009)/ABS(F1009)</f>
        <v>#DIV/0!</v>
      </c>
      <c r="K1009" s="5" t="e">
        <f>ABS(G1009-H1009)/ABS(G1009)</f>
        <v>#DIV/0!</v>
      </c>
    </row>
    <row r="1010" spans="3:11" x14ac:dyDescent="0.2">
      <c r="C1010" t="s">
        <v>2297</v>
      </c>
      <c r="D1010" t="b">
        <f ca="1">IF(CELL("format",F1010)="G",IF(ABS(F1010-G1010) &lt;= ABS(F1010*B$3),TRUE,FALSE),IF(F1010=G1010,TRUE,FALSE))</f>
        <v>1</v>
      </c>
      <c r="E1010" s="5" t="e">
        <f>ABS(F1010-G1010)/ABS(F1010)</f>
        <v>#DIV/0!</v>
      </c>
      <c r="F1010">
        <v>0</v>
      </c>
      <c r="G1010">
        <v>0</v>
      </c>
      <c r="H1010">
        <v>0</v>
      </c>
      <c r="J1010" s="5" t="e">
        <f>ABS(F1010-G1010)/ABS(F1010)</f>
        <v>#DIV/0!</v>
      </c>
      <c r="K1010" s="5" t="e">
        <f>ABS(G1010-H1010)/ABS(G1010)</f>
        <v>#DIV/0!</v>
      </c>
    </row>
    <row r="1011" spans="3:11" x14ac:dyDescent="0.2">
      <c r="C1011" t="s">
        <v>2298</v>
      </c>
      <c r="D1011" t="b">
        <f ca="1">IF(CELL("format",F1011)="G",IF(ABS(F1011-G1011) &lt;= ABS(F1011*B$3),TRUE,FALSE),IF(F1011=G1011,TRUE,FALSE))</f>
        <v>1</v>
      </c>
      <c r="E1011" s="5" t="e">
        <f>ABS(F1011-G1011)/ABS(F1011)</f>
        <v>#DIV/0!</v>
      </c>
      <c r="F1011">
        <v>0</v>
      </c>
      <c r="G1011">
        <v>0</v>
      </c>
      <c r="H1011">
        <v>0</v>
      </c>
      <c r="J1011" s="5" t="e">
        <f>ABS(F1011-G1011)/ABS(F1011)</f>
        <v>#DIV/0!</v>
      </c>
      <c r="K1011" s="5" t="e">
        <f>ABS(G1011-H1011)/ABS(G1011)</f>
        <v>#DIV/0!</v>
      </c>
    </row>
    <row r="1012" spans="3:11" x14ac:dyDescent="0.2">
      <c r="C1012" t="s">
        <v>2299</v>
      </c>
      <c r="D1012" t="b">
        <f ca="1">IF(CELL("format",F1012)="G",IF(ABS(F1012-G1012) &lt;= ABS(F1012*B$3),TRUE,FALSE),IF(F1012=G1012,TRUE,FALSE))</f>
        <v>1</v>
      </c>
      <c r="E1012" s="5" t="e">
        <f>ABS(F1012-G1012)/ABS(F1012)</f>
        <v>#DIV/0!</v>
      </c>
      <c r="F1012">
        <v>0</v>
      </c>
      <c r="G1012">
        <v>0</v>
      </c>
      <c r="H1012">
        <v>0</v>
      </c>
      <c r="J1012" s="5" t="e">
        <f>ABS(F1012-G1012)/ABS(F1012)</f>
        <v>#DIV/0!</v>
      </c>
      <c r="K1012" s="5" t="e">
        <f>ABS(G1012-H1012)/ABS(G1012)</f>
        <v>#DIV/0!</v>
      </c>
    </row>
    <row r="1013" spans="3:11" x14ac:dyDescent="0.2">
      <c r="C1013" t="s">
        <v>2300</v>
      </c>
      <c r="D1013" t="b">
        <f ca="1">IF(CELL("format",F1013)="G",IF(ABS(F1013-G1013) &lt;= ABS(F1013*B$3),TRUE,FALSE),IF(F1013=G1013,TRUE,FALSE))</f>
        <v>1</v>
      </c>
      <c r="E1013" s="5" t="e">
        <f>ABS(F1013-G1013)/ABS(F1013)</f>
        <v>#DIV/0!</v>
      </c>
      <c r="F1013">
        <v>0</v>
      </c>
      <c r="G1013">
        <v>0</v>
      </c>
      <c r="H1013">
        <v>0</v>
      </c>
      <c r="J1013" s="5" t="e">
        <f>ABS(F1013-G1013)/ABS(F1013)</f>
        <v>#DIV/0!</v>
      </c>
      <c r="K1013" s="5" t="e">
        <f>ABS(G1013-H1013)/ABS(G1013)</f>
        <v>#DIV/0!</v>
      </c>
    </row>
    <row r="1014" spans="3:11" x14ac:dyDescent="0.2">
      <c r="C1014" t="s">
        <v>2277</v>
      </c>
      <c r="D1014" t="b">
        <f ca="1">IF(CELL("format",F1014)="G",IF(ABS(F1014-G1014) &lt;= ABS(F1014*B$3),TRUE,FALSE),IF(F1014=G1014,TRUE,FALSE))</f>
        <v>1</v>
      </c>
      <c r="E1014" s="5" t="e">
        <f>ABS(F1014-G1014)/ABS(F1014)</f>
        <v>#DIV/0!</v>
      </c>
      <c r="F1014">
        <v>0</v>
      </c>
      <c r="G1014">
        <v>0</v>
      </c>
      <c r="H1014">
        <v>0</v>
      </c>
      <c r="J1014" s="5" t="e">
        <f>ABS(F1014-G1014)/ABS(F1014)</f>
        <v>#DIV/0!</v>
      </c>
      <c r="K1014" s="5" t="e">
        <f>ABS(G1014-H1014)/ABS(G1014)</f>
        <v>#DIV/0!</v>
      </c>
    </row>
    <row r="1015" spans="3:11" x14ac:dyDescent="0.2">
      <c r="C1015" t="s">
        <v>2278</v>
      </c>
      <c r="D1015" t="b">
        <f ca="1">IF(CELL("format",F1015)="G",IF(ABS(F1015-G1015) &lt;= ABS(F1015*B$3),TRUE,FALSE),IF(F1015=G1015,TRUE,FALSE))</f>
        <v>1</v>
      </c>
      <c r="E1015" s="5" t="e">
        <f>ABS(F1015-G1015)/ABS(F1015)</f>
        <v>#DIV/0!</v>
      </c>
      <c r="F1015">
        <v>0</v>
      </c>
      <c r="G1015">
        <v>0</v>
      </c>
      <c r="H1015">
        <v>0</v>
      </c>
      <c r="J1015" s="5" t="e">
        <f>ABS(F1015-G1015)/ABS(F1015)</f>
        <v>#DIV/0!</v>
      </c>
      <c r="K1015" s="5" t="e">
        <f>ABS(G1015-H1015)/ABS(G1015)</f>
        <v>#DIV/0!</v>
      </c>
    </row>
    <row r="1016" spans="3:11" x14ac:dyDescent="0.2">
      <c r="C1016" t="s">
        <v>2279</v>
      </c>
      <c r="D1016" t="b">
        <f ca="1">IF(CELL("format",F1016)="G",IF(ABS(F1016-G1016) &lt;= ABS(F1016*B$3),TRUE,FALSE),IF(F1016=G1016,TRUE,FALSE))</f>
        <v>1</v>
      </c>
      <c r="E1016" s="5" t="e">
        <f>ABS(F1016-G1016)/ABS(F1016)</f>
        <v>#DIV/0!</v>
      </c>
      <c r="F1016">
        <v>0</v>
      </c>
      <c r="G1016">
        <v>0</v>
      </c>
      <c r="H1016">
        <v>0</v>
      </c>
      <c r="J1016" s="5" t="e">
        <f>ABS(F1016-G1016)/ABS(F1016)</f>
        <v>#DIV/0!</v>
      </c>
      <c r="K1016" s="5" t="e">
        <f>ABS(G1016-H1016)/ABS(G1016)</f>
        <v>#DIV/0!</v>
      </c>
    </row>
    <row r="1017" spans="3:11" x14ac:dyDescent="0.2">
      <c r="C1017" t="s">
        <v>2280</v>
      </c>
      <c r="D1017" t="b">
        <f ca="1">IF(CELL("format",F1017)="G",IF(ABS(F1017-G1017) &lt;= ABS(F1017*B$3),TRUE,FALSE),IF(F1017=G1017,TRUE,FALSE))</f>
        <v>1</v>
      </c>
      <c r="E1017" s="5" t="e">
        <f>ABS(F1017-G1017)/ABS(F1017)</f>
        <v>#DIV/0!</v>
      </c>
      <c r="F1017">
        <v>0</v>
      </c>
      <c r="G1017">
        <v>0</v>
      </c>
      <c r="H1017">
        <v>0</v>
      </c>
      <c r="J1017" s="5" t="e">
        <f>ABS(F1017-G1017)/ABS(F1017)</f>
        <v>#DIV/0!</v>
      </c>
      <c r="K1017" s="5" t="e">
        <f>ABS(G1017-H1017)/ABS(G1017)</f>
        <v>#DIV/0!</v>
      </c>
    </row>
    <row r="1018" spans="3:11" x14ac:dyDescent="0.2">
      <c r="C1018" t="s">
        <v>2281</v>
      </c>
      <c r="D1018" t="b">
        <f ca="1">IF(CELL("format",F1018)="G",IF(ABS(F1018-G1018) &lt;= ABS(F1018*B$3),TRUE,FALSE),IF(F1018=G1018,TRUE,FALSE))</f>
        <v>1</v>
      </c>
      <c r="E1018" s="5" t="e">
        <f>ABS(F1018-G1018)/ABS(F1018)</f>
        <v>#DIV/0!</v>
      </c>
      <c r="F1018">
        <v>0</v>
      </c>
      <c r="G1018">
        <v>0</v>
      </c>
      <c r="H1018">
        <v>0</v>
      </c>
      <c r="J1018" s="5" t="e">
        <f>ABS(F1018-G1018)/ABS(F1018)</f>
        <v>#DIV/0!</v>
      </c>
      <c r="K1018" s="5" t="e">
        <f>ABS(G1018-H1018)/ABS(G1018)</f>
        <v>#DIV/0!</v>
      </c>
    </row>
    <row r="1019" spans="3:11" x14ac:dyDescent="0.2">
      <c r="C1019" t="s">
        <v>2282</v>
      </c>
      <c r="D1019" t="b">
        <f ca="1">IF(CELL("format",F1019)="G",IF(ABS(F1019-G1019) &lt;= ABS(F1019*B$3),TRUE,FALSE),IF(F1019=G1019,TRUE,FALSE))</f>
        <v>1</v>
      </c>
      <c r="E1019" s="5">
        <f>ABS(F1019-G1019)/ABS(F1019)</f>
        <v>0</v>
      </c>
      <c r="F1019">
        <v>6.55</v>
      </c>
      <c r="G1019">
        <v>6.55</v>
      </c>
      <c r="H1019">
        <v>6.55</v>
      </c>
      <c r="J1019" s="5">
        <f>ABS(F1019-G1019)/ABS(F1019)</f>
        <v>0</v>
      </c>
      <c r="K1019" s="5">
        <f>ABS(G1019-H1019)/ABS(G1019)</f>
        <v>0</v>
      </c>
    </row>
    <row r="1020" spans="3:11" x14ac:dyDescent="0.2">
      <c r="C1020" t="s">
        <v>2283</v>
      </c>
      <c r="D1020" t="b">
        <f ca="1">IF(CELL("format",F1020)="G",IF(ABS(F1020-G1020) &lt;= ABS(F1020*B$3),TRUE,FALSE),IF(F1020=G1020,TRUE,FALSE))</f>
        <v>1</v>
      </c>
      <c r="E1020" s="5">
        <f>ABS(F1020-G1020)/ABS(F1020)</f>
        <v>0</v>
      </c>
      <c r="F1020">
        <v>20.170000000000002</v>
      </c>
      <c r="G1020">
        <v>20.170000000000002</v>
      </c>
      <c r="H1020">
        <v>20.170000000000002</v>
      </c>
      <c r="J1020" s="5">
        <f>ABS(F1020-G1020)/ABS(F1020)</f>
        <v>0</v>
      </c>
      <c r="K1020" s="5">
        <f>ABS(G1020-H1020)/ABS(G1020)</f>
        <v>0</v>
      </c>
    </row>
    <row r="1021" spans="3:11" x14ac:dyDescent="0.2">
      <c r="C1021" t="s">
        <v>2284</v>
      </c>
      <c r="D1021" t="b">
        <f ca="1">IF(CELL("format",F1021)="G",IF(ABS(F1021-G1021) &lt;= ABS(F1021*B$3),TRUE,FALSE),IF(F1021=G1021,TRUE,FALSE))</f>
        <v>1</v>
      </c>
      <c r="E1021" s="5">
        <f>ABS(F1021-G1021)/ABS(F1021)</f>
        <v>0</v>
      </c>
      <c r="F1021">
        <v>35.76</v>
      </c>
      <c r="G1021">
        <v>35.76</v>
      </c>
      <c r="H1021">
        <v>35.76</v>
      </c>
      <c r="J1021" s="5">
        <f>ABS(F1021-G1021)/ABS(F1021)</f>
        <v>0</v>
      </c>
      <c r="K1021" s="5">
        <f>ABS(G1021-H1021)/ABS(G1021)</f>
        <v>0</v>
      </c>
    </row>
    <row r="1022" spans="3:11" x14ac:dyDescent="0.2">
      <c r="C1022" t="s">
        <v>2285</v>
      </c>
      <c r="D1022" t="b">
        <f ca="1">IF(CELL("format",F1022)="G",IF(ABS(F1022-G1022) &lt;= ABS(F1022*B$3),TRUE,FALSE),IF(F1022=G1022,TRUE,FALSE))</f>
        <v>1</v>
      </c>
      <c r="E1022" s="5">
        <f>ABS(F1022-G1022)/ABS(F1022)</f>
        <v>0</v>
      </c>
      <c r="F1022">
        <v>50.33</v>
      </c>
      <c r="G1022">
        <v>50.33</v>
      </c>
      <c r="H1022">
        <v>50.33</v>
      </c>
      <c r="J1022" s="5">
        <f>ABS(F1022-G1022)/ABS(F1022)</f>
        <v>0</v>
      </c>
      <c r="K1022" s="5">
        <f>ABS(G1022-H1022)/ABS(G1022)</f>
        <v>0</v>
      </c>
    </row>
    <row r="1023" spans="3:11" x14ac:dyDescent="0.2">
      <c r="C1023" t="s">
        <v>2286</v>
      </c>
      <c r="D1023" t="b">
        <f ca="1">IF(CELL("format",F1023)="G",IF(ABS(F1023-G1023) &lt;= ABS(F1023*B$3),TRUE,FALSE),IF(F1023=G1023,TRUE,FALSE))</f>
        <v>1</v>
      </c>
      <c r="E1023" s="5">
        <f>ABS(F1023-G1023)/ABS(F1023)</f>
        <v>0</v>
      </c>
      <c r="F1023">
        <v>64.48</v>
      </c>
      <c r="G1023">
        <v>64.48</v>
      </c>
      <c r="H1023">
        <v>64.48</v>
      </c>
      <c r="J1023" s="5">
        <f>ABS(F1023-G1023)/ABS(F1023)</f>
        <v>0</v>
      </c>
      <c r="K1023" s="5">
        <f>ABS(G1023-H1023)/ABS(G1023)</f>
        <v>0</v>
      </c>
    </row>
    <row r="1024" spans="3:11" x14ac:dyDescent="0.2">
      <c r="C1024" t="s">
        <v>2287</v>
      </c>
      <c r="D1024" t="b">
        <f ca="1">IF(CELL("format",F1024)="G",IF(ABS(F1024-G1024) &lt;= ABS(F1024*B$3),TRUE,FALSE),IF(F1024=G1024,TRUE,FALSE))</f>
        <v>1</v>
      </c>
      <c r="E1024" s="5">
        <f>ABS(F1024-G1024)/ABS(F1024)</f>
        <v>0</v>
      </c>
      <c r="F1024">
        <v>83.26</v>
      </c>
      <c r="G1024">
        <v>83.26</v>
      </c>
      <c r="H1024">
        <v>83.26</v>
      </c>
      <c r="J1024" s="5">
        <f>ABS(F1024-G1024)/ABS(F1024)</f>
        <v>0</v>
      </c>
      <c r="K1024" s="5">
        <f>ABS(G1024-H1024)/ABS(G1024)</f>
        <v>0</v>
      </c>
    </row>
    <row r="1025" spans="3:11" x14ac:dyDescent="0.2">
      <c r="C1025" t="s">
        <v>2288</v>
      </c>
      <c r="D1025" t="b">
        <f ca="1">IF(CELL("format",F1025)="G",IF(ABS(F1025-G1025) &lt;= ABS(F1025*B$3),TRUE,FALSE),IF(F1025=G1025,TRUE,FALSE))</f>
        <v>1</v>
      </c>
      <c r="E1025" s="5">
        <f>ABS(F1025-G1025)/ABS(F1025)</f>
        <v>0</v>
      </c>
      <c r="F1025">
        <v>89.13</v>
      </c>
      <c r="G1025">
        <v>89.13</v>
      </c>
      <c r="H1025">
        <v>89.13</v>
      </c>
      <c r="J1025" s="5">
        <f>ABS(F1025-G1025)/ABS(F1025)</f>
        <v>0</v>
      </c>
      <c r="K1025" s="5">
        <f>ABS(G1025-H1025)/ABS(G1025)</f>
        <v>0</v>
      </c>
    </row>
    <row r="1026" spans="3:11" x14ac:dyDescent="0.2">
      <c r="C1026" t="s">
        <v>2289</v>
      </c>
      <c r="D1026" t="b">
        <f ca="1">IF(CELL("format",F1026)="G",IF(ABS(F1026-G1026) &lt;= ABS(F1026*B$3),TRUE,FALSE),IF(F1026=G1026,TRUE,FALSE))</f>
        <v>1</v>
      </c>
      <c r="E1026" s="5">
        <f>ABS(F1026-G1026)/ABS(F1026)</f>
        <v>0</v>
      </c>
      <c r="F1026">
        <v>88.22</v>
      </c>
      <c r="G1026">
        <v>88.22</v>
      </c>
      <c r="H1026">
        <v>88.22</v>
      </c>
      <c r="J1026" s="5">
        <f>ABS(F1026-G1026)/ABS(F1026)</f>
        <v>0</v>
      </c>
      <c r="K1026" s="5">
        <f>ABS(G1026-H1026)/ABS(G1026)</f>
        <v>0</v>
      </c>
    </row>
    <row r="1027" spans="3:11" x14ac:dyDescent="0.2">
      <c r="C1027" t="s">
        <v>2290</v>
      </c>
      <c r="D1027" t="b">
        <f ca="1">IF(CELL("format",F1027)="G",IF(ABS(F1027-G1027) &lt;= ABS(F1027*B$3),TRUE,FALSE),IF(F1027=G1027,TRUE,FALSE))</f>
        <v>1</v>
      </c>
      <c r="E1027" s="5">
        <f>ABS(F1027-G1027)/ABS(F1027)</f>
        <v>0</v>
      </c>
      <c r="F1027">
        <v>81.540000000000006</v>
      </c>
      <c r="G1027">
        <v>81.540000000000006</v>
      </c>
      <c r="H1027">
        <v>81.540000000000006</v>
      </c>
      <c r="J1027" s="5">
        <f>ABS(F1027-G1027)/ABS(F1027)</f>
        <v>0</v>
      </c>
      <c r="K1027" s="5">
        <f>ABS(G1027-H1027)/ABS(G1027)</f>
        <v>0</v>
      </c>
    </row>
    <row r="1028" spans="3:11" x14ac:dyDescent="0.2">
      <c r="C1028" t="s">
        <v>2291</v>
      </c>
      <c r="D1028" t="b">
        <f ca="1">IF(CELL("format",F1028)="G",IF(ABS(F1028-G1028) &lt;= ABS(F1028*B$3),TRUE,FALSE),IF(F1028=G1028,TRUE,FALSE))</f>
        <v>1</v>
      </c>
      <c r="E1028" s="5">
        <f>ABS(F1028-G1028)/ABS(F1028)</f>
        <v>0</v>
      </c>
      <c r="F1028">
        <v>70.14</v>
      </c>
      <c r="G1028">
        <v>70.14</v>
      </c>
      <c r="H1028">
        <v>70.14</v>
      </c>
      <c r="J1028" s="5">
        <f>ABS(F1028-G1028)/ABS(F1028)</f>
        <v>0</v>
      </c>
      <c r="K1028" s="5">
        <f>ABS(G1028-H1028)/ABS(G1028)</f>
        <v>0</v>
      </c>
    </row>
    <row r="1029" spans="3:11" x14ac:dyDescent="0.2">
      <c r="C1029" t="s">
        <v>2292</v>
      </c>
      <c r="D1029" t="b">
        <f ca="1">IF(CELL("format",F1029)="G",IF(ABS(F1029-G1029) &lt;= ABS(F1029*B$3),TRUE,FALSE),IF(F1029=G1029,TRUE,FALSE))</f>
        <v>1</v>
      </c>
      <c r="E1029" s="5">
        <f>ABS(F1029-G1029)/ABS(F1029)</f>
        <v>0</v>
      </c>
      <c r="F1029">
        <v>53.68</v>
      </c>
      <c r="G1029">
        <v>53.68</v>
      </c>
      <c r="H1029">
        <v>53.68</v>
      </c>
      <c r="J1029" s="5">
        <f>ABS(F1029-G1029)/ABS(F1029)</f>
        <v>0</v>
      </c>
      <c r="K1029" s="5">
        <f>ABS(G1029-H1029)/ABS(G1029)</f>
        <v>0</v>
      </c>
    </row>
    <row r="1030" spans="3:11" x14ac:dyDescent="0.2">
      <c r="C1030" t="s">
        <v>2293</v>
      </c>
      <c r="D1030" t="b">
        <f ca="1">IF(CELL("format",F1030)="G",IF(ABS(F1030-G1030) &lt;= ABS(F1030*B$3),TRUE,FALSE),IF(F1030=G1030,TRUE,FALSE))</f>
        <v>1</v>
      </c>
      <c r="E1030" s="5">
        <f>ABS(F1030-G1030)/ABS(F1030)</f>
        <v>0</v>
      </c>
      <c r="F1030">
        <v>31.77</v>
      </c>
      <c r="G1030">
        <v>31.77</v>
      </c>
      <c r="H1030">
        <v>31.77</v>
      </c>
      <c r="J1030" s="5">
        <f>ABS(F1030-G1030)/ABS(F1030)</f>
        <v>0</v>
      </c>
      <c r="K1030" s="5">
        <f>ABS(G1030-H1030)/ABS(G1030)</f>
        <v>0</v>
      </c>
    </row>
    <row r="1031" spans="3:11" x14ac:dyDescent="0.2">
      <c r="C1031" t="s">
        <v>2294</v>
      </c>
      <c r="D1031" t="b">
        <f ca="1">IF(CELL("format",F1031)="G",IF(ABS(F1031-G1031) &lt;= ABS(F1031*B$3),TRUE,FALSE),IF(F1031=G1031,TRUE,FALSE))</f>
        <v>1</v>
      </c>
      <c r="E1031" s="5">
        <f>ABS(F1031-G1031)/ABS(F1031)</f>
        <v>0</v>
      </c>
      <c r="F1031">
        <v>15.61</v>
      </c>
      <c r="G1031">
        <v>15.61</v>
      </c>
      <c r="H1031">
        <v>15.61</v>
      </c>
      <c r="J1031" s="5">
        <f>ABS(F1031-G1031)/ABS(F1031)</f>
        <v>0</v>
      </c>
      <c r="K1031" s="5">
        <f>ABS(G1031-H1031)/ABS(G1031)</f>
        <v>0</v>
      </c>
    </row>
    <row r="1032" spans="3:11" x14ac:dyDescent="0.2">
      <c r="C1032" t="s">
        <v>2295</v>
      </c>
      <c r="D1032" t="b">
        <f ca="1">IF(CELL("format",F1032)="G",IF(ABS(F1032-G1032) &lt;= ABS(F1032*B$3),TRUE,FALSE),IF(F1032=G1032,TRUE,FALSE))</f>
        <v>1</v>
      </c>
      <c r="E1032" s="5">
        <f>ABS(F1032-G1032)/ABS(F1032)</f>
        <v>0</v>
      </c>
      <c r="F1032">
        <v>3.24</v>
      </c>
      <c r="G1032">
        <v>3.24</v>
      </c>
      <c r="H1032">
        <v>3.24</v>
      </c>
      <c r="J1032" s="5">
        <f>ABS(F1032-G1032)/ABS(F1032)</f>
        <v>0</v>
      </c>
      <c r="K1032" s="5">
        <f>ABS(G1032-H1032)/ABS(G1032)</f>
        <v>0</v>
      </c>
    </row>
    <row r="1033" spans="3:11" x14ac:dyDescent="0.2">
      <c r="C1033" t="s">
        <v>2296</v>
      </c>
      <c r="D1033" t="b">
        <f ca="1">IF(CELL("format",F1033)="G",IF(ABS(F1033-G1033) &lt;= ABS(F1033*B$3),TRUE,FALSE),IF(F1033=G1033,TRUE,FALSE))</f>
        <v>1</v>
      </c>
      <c r="E1033" s="5" t="e">
        <f>ABS(F1033-G1033)/ABS(F1033)</f>
        <v>#DIV/0!</v>
      </c>
      <c r="F1033">
        <v>0</v>
      </c>
      <c r="G1033">
        <v>0</v>
      </c>
      <c r="H1033">
        <v>0</v>
      </c>
      <c r="J1033" s="5" t="e">
        <f>ABS(F1033-G1033)/ABS(F1033)</f>
        <v>#DIV/0!</v>
      </c>
      <c r="K1033" s="5" t="e">
        <f>ABS(G1033-H1033)/ABS(G1033)</f>
        <v>#DIV/0!</v>
      </c>
    </row>
    <row r="1034" spans="3:11" x14ac:dyDescent="0.2">
      <c r="C1034" t="s">
        <v>2297</v>
      </c>
      <c r="D1034" t="b">
        <f ca="1">IF(CELL("format",F1034)="G",IF(ABS(F1034-G1034) &lt;= ABS(F1034*B$3),TRUE,FALSE),IF(F1034=G1034,TRUE,FALSE))</f>
        <v>1</v>
      </c>
      <c r="E1034" s="5" t="e">
        <f>ABS(F1034-G1034)/ABS(F1034)</f>
        <v>#DIV/0!</v>
      </c>
      <c r="F1034">
        <v>0</v>
      </c>
      <c r="G1034">
        <v>0</v>
      </c>
      <c r="H1034">
        <v>0</v>
      </c>
      <c r="J1034" s="5" t="e">
        <f>ABS(F1034-G1034)/ABS(F1034)</f>
        <v>#DIV/0!</v>
      </c>
      <c r="K1034" s="5" t="e">
        <f>ABS(G1034-H1034)/ABS(G1034)</f>
        <v>#DIV/0!</v>
      </c>
    </row>
    <row r="1035" spans="3:11" x14ac:dyDescent="0.2">
      <c r="C1035" t="s">
        <v>2298</v>
      </c>
      <c r="D1035" t="b">
        <f ca="1">IF(CELL("format",F1035)="G",IF(ABS(F1035-G1035) &lt;= ABS(F1035*B$3),TRUE,FALSE),IF(F1035=G1035,TRUE,FALSE))</f>
        <v>1</v>
      </c>
      <c r="E1035" s="5" t="e">
        <f>ABS(F1035-G1035)/ABS(F1035)</f>
        <v>#DIV/0!</v>
      </c>
      <c r="F1035">
        <v>0</v>
      </c>
      <c r="G1035">
        <v>0</v>
      </c>
      <c r="H1035">
        <v>0</v>
      </c>
      <c r="J1035" s="5" t="e">
        <f>ABS(F1035-G1035)/ABS(F1035)</f>
        <v>#DIV/0!</v>
      </c>
      <c r="K1035" s="5" t="e">
        <f>ABS(G1035-H1035)/ABS(G1035)</f>
        <v>#DIV/0!</v>
      </c>
    </row>
    <row r="1036" spans="3:11" x14ac:dyDescent="0.2">
      <c r="C1036" t="s">
        <v>2299</v>
      </c>
      <c r="D1036" t="b">
        <f ca="1">IF(CELL("format",F1036)="G",IF(ABS(F1036-G1036) &lt;= ABS(F1036*B$3),TRUE,FALSE),IF(F1036=G1036,TRUE,FALSE))</f>
        <v>1</v>
      </c>
      <c r="E1036" s="5" t="e">
        <f>ABS(F1036-G1036)/ABS(F1036)</f>
        <v>#DIV/0!</v>
      </c>
      <c r="F1036">
        <v>0</v>
      </c>
      <c r="G1036">
        <v>0</v>
      </c>
      <c r="H1036">
        <v>0</v>
      </c>
      <c r="J1036" s="5" t="e">
        <f>ABS(F1036-G1036)/ABS(F1036)</f>
        <v>#DIV/0!</v>
      </c>
      <c r="K1036" s="5" t="e">
        <f>ABS(G1036-H1036)/ABS(G1036)</f>
        <v>#DIV/0!</v>
      </c>
    </row>
    <row r="1037" spans="3:11" x14ac:dyDescent="0.2">
      <c r="C1037" t="s">
        <v>2300</v>
      </c>
      <c r="D1037" t="b">
        <f ca="1">IF(CELL("format",F1037)="G",IF(ABS(F1037-G1037) &lt;= ABS(F1037*B$3),TRUE,FALSE),IF(F1037=G1037,TRUE,FALSE))</f>
        <v>1</v>
      </c>
      <c r="E1037" s="5" t="e">
        <f>ABS(F1037-G1037)/ABS(F1037)</f>
        <v>#DIV/0!</v>
      </c>
      <c r="F1037">
        <v>0</v>
      </c>
      <c r="G1037">
        <v>0</v>
      </c>
      <c r="H1037">
        <v>0</v>
      </c>
      <c r="J1037" s="5" t="e">
        <f>ABS(F1037-G1037)/ABS(F1037)</f>
        <v>#DIV/0!</v>
      </c>
      <c r="K1037" s="5" t="e">
        <f>ABS(G1037-H1037)/ABS(G1037)</f>
        <v>#DIV/0!</v>
      </c>
    </row>
    <row r="1038" spans="3:11" x14ac:dyDescent="0.2">
      <c r="C1038" t="s">
        <v>2277</v>
      </c>
      <c r="D1038" t="b">
        <f ca="1">IF(CELL("format",F1038)="G",IF(ABS(F1038-G1038) &lt;= ABS(F1038*B$3),TRUE,FALSE),IF(F1038=G1038,TRUE,FALSE))</f>
        <v>1</v>
      </c>
      <c r="E1038" s="5" t="e">
        <f>ABS(F1038-G1038)/ABS(F1038)</f>
        <v>#DIV/0!</v>
      </c>
      <c r="F1038">
        <v>0</v>
      </c>
      <c r="G1038">
        <v>0</v>
      </c>
      <c r="H1038">
        <v>0</v>
      </c>
      <c r="J1038" s="5" t="e">
        <f>ABS(F1038-G1038)/ABS(F1038)</f>
        <v>#DIV/0!</v>
      </c>
      <c r="K1038" s="5" t="e">
        <f>ABS(G1038-H1038)/ABS(G1038)</f>
        <v>#DIV/0!</v>
      </c>
    </row>
    <row r="1039" spans="3:11" x14ac:dyDescent="0.2">
      <c r="C1039" t="s">
        <v>2278</v>
      </c>
      <c r="D1039" t="b">
        <f ca="1">IF(CELL("format",F1039)="G",IF(ABS(F1039-G1039) &lt;= ABS(F1039*B$3),TRUE,FALSE),IF(F1039=G1039,TRUE,FALSE))</f>
        <v>1</v>
      </c>
      <c r="E1039" s="5" t="e">
        <f>ABS(F1039-G1039)/ABS(F1039)</f>
        <v>#DIV/0!</v>
      </c>
      <c r="F1039">
        <v>0</v>
      </c>
      <c r="G1039">
        <v>0</v>
      </c>
      <c r="H1039">
        <v>0</v>
      </c>
      <c r="J1039" s="5" t="e">
        <f>ABS(F1039-G1039)/ABS(F1039)</f>
        <v>#DIV/0!</v>
      </c>
      <c r="K1039" s="5" t="e">
        <f>ABS(G1039-H1039)/ABS(G1039)</f>
        <v>#DIV/0!</v>
      </c>
    </row>
    <row r="1040" spans="3:11" x14ac:dyDescent="0.2">
      <c r="C1040" t="s">
        <v>2279</v>
      </c>
      <c r="D1040" t="b">
        <f ca="1">IF(CELL("format",F1040)="G",IF(ABS(F1040-G1040) &lt;= ABS(F1040*B$3),TRUE,FALSE),IF(F1040=G1040,TRUE,FALSE))</f>
        <v>1</v>
      </c>
      <c r="E1040" s="5" t="e">
        <f>ABS(F1040-G1040)/ABS(F1040)</f>
        <v>#DIV/0!</v>
      </c>
      <c r="F1040">
        <v>0</v>
      </c>
      <c r="G1040">
        <v>0</v>
      </c>
      <c r="H1040">
        <v>0</v>
      </c>
      <c r="J1040" s="5" t="e">
        <f>ABS(F1040-G1040)/ABS(F1040)</f>
        <v>#DIV/0!</v>
      </c>
      <c r="K1040" s="5" t="e">
        <f>ABS(G1040-H1040)/ABS(G1040)</f>
        <v>#DIV/0!</v>
      </c>
    </row>
    <row r="1041" spans="3:11" x14ac:dyDescent="0.2">
      <c r="C1041" t="s">
        <v>2280</v>
      </c>
      <c r="D1041" t="b">
        <f ca="1">IF(CELL("format",F1041)="G",IF(ABS(F1041-G1041) &lt;= ABS(F1041*B$3),TRUE,FALSE),IF(F1041=G1041,TRUE,FALSE))</f>
        <v>1</v>
      </c>
      <c r="E1041" s="5" t="e">
        <f>ABS(F1041-G1041)/ABS(F1041)</f>
        <v>#DIV/0!</v>
      </c>
      <c r="F1041">
        <v>0</v>
      </c>
      <c r="G1041">
        <v>0</v>
      </c>
      <c r="H1041">
        <v>0</v>
      </c>
      <c r="J1041" s="5" t="e">
        <f>ABS(F1041-G1041)/ABS(F1041)</f>
        <v>#DIV/0!</v>
      </c>
      <c r="K1041" s="5" t="e">
        <f>ABS(G1041-H1041)/ABS(G1041)</f>
        <v>#DIV/0!</v>
      </c>
    </row>
    <row r="1042" spans="3:11" x14ac:dyDescent="0.2">
      <c r="C1042" t="s">
        <v>2281</v>
      </c>
      <c r="D1042" t="b">
        <f ca="1">IF(CELL("format",F1042)="G",IF(ABS(F1042-G1042) &lt;= ABS(F1042*B$3),TRUE,FALSE),IF(F1042=G1042,TRUE,FALSE))</f>
        <v>1</v>
      </c>
      <c r="E1042" s="5" t="e">
        <f>ABS(F1042-G1042)/ABS(F1042)</f>
        <v>#DIV/0!</v>
      </c>
      <c r="F1042">
        <v>0</v>
      </c>
      <c r="G1042">
        <v>0</v>
      </c>
      <c r="H1042">
        <v>0</v>
      </c>
      <c r="J1042" s="5" t="e">
        <f>ABS(F1042-G1042)/ABS(F1042)</f>
        <v>#DIV/0!</v>
      </c>
      <c r="K1042" s="5" t="e">
        <f>ABS(G1042-H1042)/ABS(G1042)</f>
        <v>#DIV/0!</v>
      </c>
    </row>
    <row r="1043" spans="3:11" x14ac:dyDescent="0.2">
      <c r="C1043" t="s">
        <v>2282</v>
      </c>
      <c r="D1043" t="b">
        <f ca="1">IF(CELL("format",F1043)="G",IF(ABS(F1043-G1043) &lt;= ABS(F1043*B$3),TRUE,FALSE),IF(F1043=G1043,TRUE,FALSE))</f>
        <v>1</v>
      </c>
      <c r="E1043" s="5">
        <f>ABS(F1043-G1043)/ABS(F1043)</f>
        <v>0</v>
      </c>
      <c r="F1043">
        <v>3.56</v>
      </c>
      <c r="G1043">
        <v>3.56</v>
      </c>
      <c r="H1043">
        <v>3.56</v>
      </c>
      <c r="J1043" s="5">
        <f>ABS(F1043-G1043)/ABS(F1043)</f>
        <v>0</v>
      </c>
      <c r="K1043" s="5">
        <f>ABS(G1043-H1043)/ABS(G1043)</f>
        <v>0</v>
      </c>
    </row>
    <row r="1044" spans="3:11" x14ac:dyDescent="0.2">
      <c r="C1044" t="s">
        <v>2283</v>
      </c>
      <c r="D1044" t="b">
        <f ca="1">IF(CELL("format",F1044)="G",IF(ABS(F1044-G1044) &lt;= ABS(F1044*B$3),TRUE,FALSE),IF(F1044=G1044,TRUE,FALSE))</f>
        <v>1</v>
      </c>
      <c r="E1044" s="5">
        <f>ABS(F1044-G1044)/ABS(F1044)</f>
        <v>0</v>
      </c>
      <c r="F1044">
        <v>10.98</v>
      </c>
      <c r="G1044">
        <v>10.98</v>
      </c>
      <c r="H1044">
        <v>10.98</v>
      </c>
      <c r="J1044" s="5">
        <f>ABS(F1044-G1044)/ABS(F1044)</f>
        <v>0</v>
      </c>
      <c r="K1044" s="5">
        <f>ABS(G1044-H1044)/ABS(G1044)</f>
        <v>0</v>
      </c>
    </row>
    <row r="1045" spans="3:11" x14ac:dyDescent="0.2">
      <c r="C1045" t="s">
        <v>2284</v>
      </c>
      <c r="D1045" t="b">
        <f ca="1">IF(CELL("format",F1045)="G",IF(ABS(F1045-G1045) &lt;= ABS(F1045*B$3),TRUE,FALSE),IF(F1045=G1045,TRUE,FALSE))</f>
        <v>1</v>
      </c>
      <c r="E1045" s="5">
        <f>ABS(F1045-G1045)/ABS(F1045)</f>
        <v>0</v>
      </c>
      <c r="F1045">
        <v>19.46</v>
      </c>
      <c r="G1045">
        <v>19.46</v>
      </c>
      <c r="H1045">
        <v>19.46</v>
      </c>
      <c r="J1045" s="5">
        <f>ABS(F1045-G1045)/ABS(F1045)</f>
        <v>0</v>
      </c>
      <c r="K1045" s="5">
        <f>ABS(G1045-H1045)/ABS(G1045)</f>
        <v>0</v>
      </c>
    </row>
    <row r="1046" spans="3:11" x14ac:dyDescent="0.2">
      <c r="C1046" t="s">
        <v>2285</v>
      </c>
      <c r="D1046" t="b">
        <f ca="1">IF(CELL("format",F1046)="G",IF(ABS(F1046-G1046) &lt;= ABS(F1046*B$3),TRUE,FALSE),IF(F1046=G1046,TRUE,FALSE))</f>
        <v>1</v>
      </c>
      <c r="E1046" s="5">
        <f>ABS(F1046-G1046)/ABS(F1046)</f>
        <v>0</v>
      </c>
      <c r="F1046">
        <v>27.39</v>
      </c>
      <c r="G1046">
        <v>27.39</v>
      </c>
      <c r="H1046">
        <v>27.39</v>
      </c>
      <c r="J1046" s="5">
        <f>ABS(F1046-G1046)/ABS(F1046)</f>
        <v>0</v>
      </c>
      <c r="K1046" s="5">
        <f>ABS(G1046-H1046)/ABS(G1046)</f>
        <v>0</v>
      </c>
    </row>
    <row r="1047" spans="3:11" x14ac:dyDescent="0.2">
      <c r="C1047" t="s">
        <v>2286</v>
      </c>
      <c r="D1047" t="b">
        <f ca="1">IF(CELL("format",F1047)="G",IF(ABS(F1047-G1047) &lt;= ABS(F1047*B$3),TRUE,FALSE),IF(F1047=G1047,TRUE,FALSE))</f>
        <v>1</v>
      </c>
      <c r="E1047" s="5">
        <f>ABS(F1047-G1047)/ABS(F1047)</f>
        <v>0</v>
      </c>
      <c r="F1047">
        <v>35.08</v>
      </c>
      <c r="G1047">
        <v>35.08</v>
      </c>
      <c r="H1047">
        <v>35.08</v>
      </c>
      <c r="J1047" s="5">
        <f>ABS(F1047-G1047)/ABS(F1047)</f>
        <v>0</v>
      </c>
      <c r="K1047" s="5">
        <f>ABS(G1047-H1047)/ABS(G1047)</f>
        <v>0</v>
      </c>
    </row>
    <row r="1048" spans="3:11" x14ac:dyDescent="0.2">
      <c r="C1048" t="s">
        <v>2287</v>
      </c>
      <c r="D1048" t="b">
        <f ca="1">IF(CELL("format",F1048)="G",IF(ABS(F1048-G1048) &lt;= ABS(F1048*B$3),TRUE,FALSE),IF(F1048=G1048,TRUE,FALSE))</f>
        <v>1</v>
      </c>
      <c r="E1048" s="5">
        <f>ABS(F1048-G1048)/ABS(F1048)</f>
        <v>0</v>
      </c>
      <c r="F1048">
        <v>45.3</v>
      </c>
      <c r="G1048">
        <v>45.3</v>
      </c>
      <c r="H1048">
        <v>45.3</v>
      </c>
      <c r="J1048" s="5">
        <f>ABS(F1048-G1048)/ABS(F1048)</f>
        <v>0</v>
      </c>
      <c r="K1048" s="5">
        <f>ABS(G1048-H1048)/ABS(G1048)</f>
        <v>0</v>
      </c>
    </row>
    <row r="1049" spans="3:11" x14ac:dyDescent="0.2">
      <c r="C1049" t="s">
        <v>2288</v>
      </c>
      <c r="D1049" t="b">
        <f ca="1">IF(CELL("format",F1049)="G",IF(ABS(F1049-G1049) &lt;= ABS(F1049*B$3),TRUE,FALSE),IF(F1049=G1049,TRUE,FALSE))</f>
        <v>1</v>
      </c>
      <c r="E1049" s="5">
        <f>ABS(F1049-G1049)/ABS(F1049)</f>
        <v>0</v>
      </c>
      <c r="F1049">
        <v>48.49</v>
      </c>
      <c r="G1049">
        <v>48.49</v>
      </c>
      <c r="H1049">
        <v>48.49</v>
      </c>
      <c r="J1049" s="5">
        <f>ABS(F1049-G1049)/ABS(F1049)</f>
        <v>0</v>
      </c>
      <c r="K1049" s="5">
        <f>ABS(G1049-H1049)/ABS(G1049)</f>
        <v>0</v>
      </c>
    </row>
    <row r="1050" spans="3:11" x14ac:dyDescent="0.2">
      <c r="C1050" t="s">
        <v>2289</v>
      </c>
      <c r="D1050" t="b">
        <f ca="1">IF(CELL("format",F1050)="G",IF(ABS(F1050-G1050) &lt;= ABS(F1050*B$3),TRUE,FALSE),IF(F1050=G1050,TRUE,FALSE))</f>
        <v>1</v>
      </c>
      <c r="E1050" s="5">
        <f>ABS(F1050-G1050)/ABS(F1050)</f>
        <v>0</v>
      </c>
      <c r="F1050">
        <v>48</v>
      </c>
      <c r="G1050">
        <v>48</v>
      </c>
      <c r="H1050">
        <v>48</v>
      </c>
      <c r="J1050" s="5">
        <f>ABS(F1050-G1050)/ABS(F1050)</f>
        <v>0</v>
      </c>
      <c r="K1050" s="5">
        <f>ABS(G1050-H1050)/ABS(G1050)</f>
        <v>0</v>
      </c>
    </row>
    <row r="1051" spans="3:11" x14ac:dyDescent="0.2">
      <c r="C1051" t="s">
        <v>2290</v>
      </c>
      <c r="D1051" t="b">
        <f ca="1">IF(CELL("format",F1051)="G",IF(ABS(F1051-G1051) &lt;= ABS(F1051*B$3),TRUE,FALSE),IF(F1051=G1051,TRUE,FALSE))</f>
        <v>1</v>
      </c>
      <c r="E1051" s="5">
        <f>ABS(F1051-G1051)/ABS(F1051)</f>
        <v>0</v>
      </c>
      <c r="F1051">
        <v>44.36</v>
      </c>
      <c r="G1051">
        <v>44.36</v>
      </c>
      <c r="H1051">
        <v>44.36</v>
      </c>
      <c r="J1051" s="5">
        <f>ABS(F1051-G1051)/ABS(F1051)</f>
        <v>0</v>
      </c>
      <c r="K1051" s="5">
        <f>ABS(G1051-H1051)/ABS(G1051)</f>
        <v>0</v>
      </c>
    </row>
    <row r="1052" spans="3:11" x14ac:dyDescent="0.2">
      <c r="C1052" t="s">
        <v>2291</v>
      </c>
      <c r="D1052" t="b">
        <f ca="1">IF(CELL("format",F1052)="G",IF(ABS(F1052-G1052) &lt;= ABS(F1052*B$3),TRUE,FALSE),IF(F1052=G1052,TRUE,FALSE))</f>
        <v>1</v>
      </c>
      <c r="E1052" s="5">
        <f>ABS(F1052-G1052)/ABS(F1052)</f>
        <v>0</v>
      </c>
      <c r="F1052">
        <v>38.159999999999997</v>
      </c>
      <c r="G1052">
        <v>38.159999999999997</v>
      </c>
      <c r="H1052">
        <v>38.159999999999997</v>
      </c>
      <c r="J1052" s="5">
        <f>ABS(F1052-G1052)/ABS(F1052)</f>
        <v>0</v>
      </c>
      <c r="K1052" s="5">
        <f>ABS(G1052-H1052)/ABS(G1052)</f>
        <v>0</v>
      </c>
    </row>
    <row r="1053" spans="3:11" x14ac:dyDescent="0.2">
      <c r="C1053" t="s">
        <v>2292</v>
      </c>
      <c r="D1053" t="b">
        <f ca="1">IF(CELL("format",F1053)="G",IF(ABS(F1053-G1053) &lt;= ABS(F1053*B$3),TRUE,FALSE),IF(F1053=G1053,TRUE,FALSE))</f>
        <v>1</v>
      </c>
      <c r="E1053" s="5">
        <f>ABS(F1053-G1053)/ABS(F1053)</f>
        <v>0</v>
      </c>
      <c r="F1053">
        <v>29.21</v>
      </c>
      <c r="G1053">
        <v>29.21</v>
      </c>
      <c r="H1053">
        <v>29.21</v>
      </c>
      <c r="J1053" s="5">
        <f>ABS(F1053-G1053)/ABS(F1053)</f>
        <v>0</v>
      </c>
      <c r="K1053" s="5">
        <f>ABS(G1053-H1053)/ABS(G1053)</f>
        <v>0</v>
      </c>
    </row>
    <row r="1054" spans="3:11" x14ac:dyDescent="0.2">
      <c r="C1054" t="s">
        <v>2293</v>
      </c>
      <c r="D1054" t="b">
        <f ca="1">IF(CELL("format",F1054)="G",IF(ABS(F1054-G1054) &lt;= ABS(F1054*B$3),TRUE,FALSE),IF(F1054=G1054,TRUE,FALSE))</f>
        <v>1</v>
      </c>
      <c r="E1054" s="5">
        <f>ABS(F1054-G1054)/ABS(F1054)</f>
        <v>0</v>
      </c>
      <c r="F1054">
        <v>17.28</v>
      </c>
      <c r="G1054">
        <v>17.28</v>
      </c>
      <c r="H1054">
        <v>17.28</v>
      </c>
      <c r="J1054" s="5">
        <f>ABS(F1054-G1054)/ABS(F1054)</f>
        <v>0</v>
      </c>
      <c r="K1054" s="5">
        <f>ABS(G1054-H1054)/ABS(G1054)</f>
        <v>0</v>
      </c>
    </row>
    <row r="1055" spans="3:11" x14ac:dyDescent="0.2">
      <c r="C1055" t="s">
        <v>2294</v>
      </c>
      <c r="D1055" t="b">
        <f ca="1">IF(CELL("format",F1055)="G",IF(ABS(F1055-G1055) &lt;= ABS(F1055*B$3),TRUE,FALSE),IF(F1055=G1055,TRUE,FALSE))</f>
        <v>1</v>
      </c>
      <c r="E1055" s="5">
        <f>ABS(F1055-G1055)/ABS(F1055)</f>
        <v>0</v>
      </c>
      <c r="F1055">
        <v>8.49</v>
      </c>
      <c r="G1055">
        <v>8.49</v>
      </c>
      <c r="H1055">
        <v>8.49</v>
      </c>
      <c r="J1055" s="5">
        <f>ABS(F1055-G1055)/ABS(F1055)</f>
        <v>0</v>
      </c>
      <c r="K1055" s="5">
        <f>ABS(G1055-H1055)/ABS(G1055)</f>
        <v>0</v>
      </c>
    </row>
    <row r="1056" spans="3:11" x14ac:dyDescent="0.2">
      <c r="C1056" t="s">
        <v>2295</v>
      </c>
      <c r="D1056" t="b">
        <f ca="1">IF(CELL("format",F1056)="G",IF(ABS(F1056-G1056) &lt;= ABS(F1056*B$3),TRUE,FALSE),IF(F1056=G1056,TRUE,FALSE))</f>
        <v>1</v>
      </c>
      <c r="E1056" s="5">
        <f>ABS(F1056-G1056)/ABS(F1056)</f>
        <v>0</v>
      </c>
      <c r="F1056">
        <v>1.76</v>
      </c>
      <c r="G1056">
        <v>1.76</v>
      </c>
      <c r="H1056">
        <v>1.76</v>
      </c>
      <c r="J1056" s="5">
        <f>ABS(F1056-G1056)/ABS(F1056)</f>
        <v>0</v>
      </c>
      <c r="K1056" s="5">
        <f>ABS(G1056-H1056)/ABS(G1056)</f>
        <v>0</v>
      </c>
    </row>
    <row r="1057" spans="3:11" x14ac:dyDescent="0.2">
      <c r="C1057" t="s">
        <v>2296</v>
      </c>
      <c r="D1057" t="b">
        <f ca="1">IF(CELL("format",F1057)="G",IF(ABS(F1057-G1057) &lt;= ABS(F1057*B$3),TRUE,FALSE),IF(F1057=G1057,TRUE,FALSE))</f>
        <v>1</v>
      </c>
      <c r="E1057" s="5" t="e">
        <f>ABS(F1057-G1057)/ABS(F1057)</f>
        <v>#DIV/0!</v>
      </c>
      <c r="F1057">
        <v>0</v>
      </c>
      <c r="G1057">
        <v>0</v>
      </c>
      <c r="H1057">
        <v>0</v>
      </c>
      <c r="J1057" s="5" t="e">
        <f>ABS(F1057-G1057)/ABS(F1057)</f>
        <v>#DIV/0!</v>
      </c>
      <c r="K1057" s="5" t="e">
        <f>ABS(G1057-H1057)/ABS(G1057)</f>
        <v>#DIV/0!</v>
      </c>
    </row>
    <row r="1058" spans="3:11" x14ac:dyDescent="0.2">
      <c r="C1058" t="s">
        <v>2297</v>
      </c>
      <c r="D1058" t="b">
        <f ca="1">IF(CELL("format",F1058)="G",IF(ABS(F1058-G1058) &lt;= ABS(F1058*B$3),TRUE,FALSE),IF(F1058=G1058,TRUE,FALSE))</f>
        <v>1</v>
      </c>
      <c r="E1058" s="5" t="e">
        <f>ABS(F1058-G1058)/ABS(F1058)</f>
        <v>#DIV/0!</v>
      </c>
      <c r="F1058">
        <v>0</v>
      </c>
      <c r="G1058">
        <v>0</v>
      </c>
      <c r="H1058">
        <v>0</v>
      </c>
      <c r="J1058" s="5" t="e">
        <f>ABS(F1058-G1058)/ABS(F1058)</f>
        <v>#DIV/0!</v>
      </c>
      <c r="K1058" s="5" t="e">
        <f>ABS(G1058-H1058)/ABS(G1058)</f>
        <v>#DIV/0!</v>
      </c>
    </row>
    <row r="1059" spans="3:11" x14ac:dyDescent="0.2">
      <c r="C1059" t="s">
        <v>2298</v>
      </c>
      <c r="D1059" t="b">
        <f ca="1">IF(CELL("format",F1059)="G",IF(ABS(F1059-G1059) &lt;= ABS(F1059*B$3),TRUE,FALSE),IF(F1059=G1059,TRUE,FALSE))</f>
        <v>1</v>
      </c>
      <c r="E1059" s="5" t="e">
        <f>ABS(F1059-G1059)/ABS(F1059)</f>
        <v>#DIV/0!</v>
      </c>
      <c r="F1059">
        <v>0</v>
      </c>
      <c r="G1059">
        <v>0</v>
      </c>
      <c r="H1059">
        <v>0</v>
      </c>
      <c r="J1059" s="5" t="e">
        <f>ABS(F1059-G1059)/ABS(F1059)</f>
        <v>#DIV/0!</v>
      </c>
      <c r="K1059" s="5" t="e">
        <f>ABS(G1059-H1059)/ABS(G1059)</f>
        <v>#DIV/0!</v>
      </c>
    </row>
    <row r="1060" spans="3:11" x14ac:dyDescent="0.2">
      <c r="C1060" t="s">
        <v>2299</v>
      </c>
      <c r="D1060" t="b">
        <f ca="1">IF(CELL("format",F1060)="G",IF(ABS(F1060-G1060) &lt;= ABS(F1060*B$3),TRUE,FALSE),IF(F1060=G1060,TRUE,FALSE))</f>
        <v>1</v>
      </c>
      <c r="E1060" s="5" t="e">
        <f>ABS(F1060-G1060)/ABS(F1060)</f>
        <v>#DIV/0!</v>
      </c>
      <c r="F1060">
        <v>0</v>
      </c>
      <c r="G1060">
        <v>0</v>
      </c>
      <c r="H1060">
        <v>0</v>
      </c>
      <c r="J1060" s="5" t="e">
        <f>ABS(F1060-G1060)/ABS(F1060)</f>
        <v>#DIV/0!</v>
      </c>
      <c r="K1060" s="5" t="e">
        <f>ABS(G1060-H1060)/ABS(G1060)</f>
        <v>#DIV/0!</v>
      </c>
    </row>
    <row r="1061" spans="3:11" x14ac:dyDescent="0.2">
      <c r="C1061" t="s">
        <v>2300</v>
      </c>
      <c r="D1061" t="b">
        <f ca="1">IF(CELL("format",F1061)="G",IF(ABS(F1061-G1061) &lt;= ABS(F1061*B$3),TRUE,FALSE),IF(F1061=G1061,TRUE,FALSE))</f>
        <v>1</v>
      </c>
      <c r="E1061" s="5" t="e">
        <f>ABS(F1061-G1061)/ABS(F1061)</f>
        <v>#DIV/0!</v>
      </c>
      <c r="F1061">
        <v>0</v>
      </c>
      <c r="G1061">
        <v>0</v>
      </c>
      <c r="H1061">
        <v>0</v>
      </c>
      <c r="J1061" s="5" t="e">
        <f>ABS(F1061-G1061)/ABS(F1061)</f>
        <v>#DIV/0!</v>
      </c>
      <c r="K1061" s="5" t="e">
        <f>ABS(G1061-H1061)/ABS(G1061)</f>
        <v>#DIV/0!</v>
      </c>
    </row>
    <row r="1062" spans="3:11" x14ac:dyDescent="0.2">
      <c r="C1062" t="s">
        <v>2277</v>
      </c>
      <c r="D1062" t="b">
        <f ca="1">IF(CELL("format",F1062)="G",IF(ABS(F1062-G1062) &lt;= ABS(F1062*B$3),TRUE,FALSE),IF(F1062=G1062,TRUE,FALSE))</f>
        <v>1</v>
      </c>
      <c r="E1062" s="5" t="e">
        <f>ABS(F1062-G1062)/ABS(F1062)</f>
        <v>#DIV/0!</v>
      </c>
      <c r="F1062">
        <v>0</v>
      </c>
      <c r="G1062">
        <v>0</v>
      </c>
      <c r="H1062">
        <v>0</v>
      </c>
      <c r="J1062" s="5" t="e">
        <f>ABS(F1062-G1062)/ABS(F1062)</f>
        <v>#DIV/0!</v>
      </c>
      <c r="K1062" s="5" t="e">
        <f>ABS(G1062-H1062)/ABS(G1062)</f>
        <v>#DIV/0!</v>
      </c>
    </row>
    <row r="1063" spans="3:11" x14ac:dyDescent="0.2">
      <c r="C1063" t="s">
        <v>2278</v>
      </c>
      <c r="D1063" t="b">
        <f ca="1">IF(CELL("format",F1063)="G",IF(ABS(F1063-G1063) &lt;= ABS(F1063*B$3),TRUE,FALSE),IF(F1063=G1063,TRUE,FALSE))</f>
        <v>1</v>
      </c>
      <c r="E1063" s="5" t="e">
        <f>ABS(F1063-G1063)/ABS(F1063)</f>
        <v>#DIV/0!</v>
      </c>
      <c r="F1063">
        <v>0</v>
      </c>
      <c r="G1063">
        <v>0</v>
      </c>
      <c r="H1063">
        <v>0</v>
      </c>
      <c r="J1063" s="5" t="e">
        <f>ABS(F1063-G1063)/ABS(F1063)</f>
        <v>#DIV/0!</v>
      </c>
      <c r="K1063" s="5" t="e">
        <f>ABS(G1063-H1063)/ABS(G1063)</f>
        <v>#DIV/0!</v>
      </c>
    </row>
    <row r="1064" spans="3:11" x14ac:dyDescent="0.2">
      <c r="C1064" t="s">
        <v>2279</v>
      </c>
      <c r="D1064" t="b">
        <f ca="1">IF(CELL("format",F1064)="G",IF(ABS(F1064-G1064) &lt;= ABS(F1064*B$3),TRUE,FALSE),IF(F1064=G1064,TRUE,FALSE))</f>
        <v>1</v>
      </c>
      <c r="E1064" s="5" t="e">
        <f>ABS(F1064-G1064)/ABS(F1064)</f>
        <v>#DIV/0!</v>
      </c>
      <c r="F1064">
        <v>0</v>
      </c>
      <c r="G1064">
        <v>0</v>
      </c>
      <c r="H1064">
        <v>0</v>
      </c>
      <c r="J1064" s="5" t="e">
        <f>ABS(F1064-G1064)/ABS(F1064)</f>
        <v>#DIV/0!</v>
      </c>
      <c r="K1064" s="5" t="e">
        <f>ABS(G1064-H1064)/ABS(G1064)</f>
        <v>#DIV/0!</v>
      </c>
    </row>
    <row r="1065" spans="3:11" x14ac:dyDescent="0.2">
      <c r="C1065" t="s">
        <v>2280</v>
      </c>
      <c r="D1065" t="b">
        <f ca="1">IF(CELL("format",F1065)="G",IF(ABS(F1065-G1065) &lt;= ABS(F1065*B$3),TRUE,FALSE),IF(F1065=G1065,TRUE,FALSE))</f>
        <v>1</v>
      </c>
      <c r="E1065" s="5" t="e">
        <f>ABS(F1065-G1065)/ABS(F1065)</f>
        <v>#DIV/0!</v>
      </c>
      <c r="F1065">
        <v>0</v>
      </c>
      <c r="G1065">
        <v>0</v>
      </c>
      <c r="H1065">
        <v>0</v>
      </c>
      <c r="J1065" s="5" t="e">
        <f>ABS(F1065-G1065)/ABS(F1065)</f>
        <v>#DIV/0!</v>
      </c>
      <c r="K1065" s="5" t="e">
        <f>ABS(G1065-H1065)/ABS(G1065)</f>
        <v>#DIV/0!</v>
      </c>
    </row>
    <row r="1066" spans="3:11" x14ac:dyDescent="0.2">
      <c r="C1066" t="s">
        <v>2281</v>
      </c>
      <c r="D1066" t="b">
        <f ca="1">IF(CELL("format",F1066)="G",IF(ABS(F1066-G1066) &lt;= ABS(F1066*B$3),TRUE,FALSE),IF(F1066=G1066,TRUE,FALSE))</f>
        <v>1</v>
      </c>
      <c r="E1066" s="5" t="e">
        <f>ABS(F1066-G1066)/ABS(F1066)</f>
        <v>#DIV/0!</v>
      </c>
      <c r="F1066">
        <v>0</v>
      </c>
      <c r="G1066">
        <v>0</v>
      </c>
      <c r="H1066">
        <v>0</v>
      </c>
      <c r="J1066" s="5" t="e">
        <f>ABS(F1066-G1066)/ABS(F1066)</f>
        <v>#DIV/0!</v>
      </c>
      <c r="K1066" s="5" t="e">
        <f>ABS(G1066-H1066)/ABS(G1066)</f>
        <v>#DIV/0!</v>
      </c>
    </row>
    <row r="1067" spans="3:11" x14ac:dyDescent="0.2">
      <c r="C1067" t="s">
        <v>2282</v>
      </c>
      <c r="D1067" t="b">
        <f ca="1">IF(CELL("format",F1067)="G",IF(ABS(F1067-G1067) &lt;= ABS(F1067*B$3),TRUE,FALSE),IF(F1067=G1067,TRUE,FALSE))</f>
        <v>1</v>
      </c>
      <c r="E1067" s="5">
        <f>ABS(F1067-G1067)/ABS(F1067)</f>
        <v>0</v>
      </c>
      <c r="F1067">
        <v>8.27</v>
      </c>
      <c r="G1067">
        <v>8.27</v>
      </c>
      <c r="H1067">
        <v>8.27</v>
      </c>
      <c r="J1067" s="5">
        <f>ABS(F1067-G1067)/ABS(F1067)</f>
        <v>0</v>
      </c>
      <c r="K1067" s="5">
        <f>ABS(G1067-H1067)/ABS(G1067)</f>
        <v>0</v>
      </c>
    </row>
    <row r="1068" spans="3:11" x14ac:dyDescent="0.2">
      <c r="C1068" t="s">
        <v>2283</v>
      </c>
      <c r="D1068" t="b">
        <f ca="1">IF(CELL("format",F1068)="G",IF(ABS(F1068-G1068) &lt;= ABS(F1068*B$3),TRUE,FALSE),IF(F1068=G1068,TRUE,FALSE))</f>
        <v>1</v>
      </c>
      <c r="E1068" s="5">
        <f>ABS(F1068-G1068)/ABS(F1068)</f>
        <v>0</v>
      </c>
      <c r="F1068">
        <v>25.47</v>
      </c>
      <c r="G1068">
        <v>25.47</v>
      </c>
      <c r="H1068">
        <v>25.47</v>
      </c>
      <c r="J1068" s="5">
        <f>ABS(F1068-G1068)/ABS(F1068)</f>
        <v>0</v>
      </c>
      <c r="K1068" s="5">
        <f>ABS(G1068-H1068)/ABS(G1068)</f>
        <v>0</v>
      </c>
    </row>
    <row r="1069" spans="3:11" x14ac:dyDescent="0.2">
      <c r="C1069" t="s">
        <v>2284</v>
      </c>
      <c r="D1069" t="b">
        <f ca="1">IF(CELL("format",F1069)="G",IF(ABS(F1069-G1069) &lt;= ABS(F1069*B$3),TRUE,FALSE),IF(F1069=G1069,TRUE,FALSE))</f>
        <v>1</v>
      </c>
      <c r="E1069" s="5">
        <f>ABS(F1069-G1069)/ABS(F1069)</f>
        <v>0</v>
      </c>
      <c r="F1069">
        <v>45.16</v>
      </c>
      <c r="G1069">
        <v>45.16</v>
      </c>
      <c r="H1069">
        <v>45.16</v>
      </c>
      <c r="J1069" s="5">
        <f>ABS(F1069-G1069)/ABS(F1069)</f>
        <v>0</v>
      </c>
      <c r="K1069" s="5">
        <f>ABS(G1069-H1069)/ABS(G1069)</f>
        <v>0</v>
      </c>
    </row>
    <row r="1070" spans="3:11" x14ac:dyDescent="0.2">
      <c r="C1070" t="s">
        <v>2285</v>
      </c>
      <c r="D1070" t="b">
        <f ca="1">IF(CELL("format",F1070)="G",IF(ABS(F1070-G1070) &lt;= ABS(F1070*B$3),TRUE,FALSE),IF(F1070=G1070,TRUE,FALSE))</f>
        <v>1</v>
      </c>
      <c r="E1070" s="5">
        <f>ABS(F1070-G1070)/ABS(F1070)</f>
        <v>0</v>
      </c>
      <c r="F1070">
        <v>63.55</v>
      </c>
      <c r="G1070">
        <v>63.55</v>
      </c>
      <c r="H1070">
        <v>63.55</v>
      </c>
      <c r="J1070" s="5">
        <f>ABS(F1070-G1070)/ABS(F1070)</f>
        <v>0</v>
      </c>
      <c r="K1070" s="5">
        <f>ABS(G1070-H1070)/ABS(G1070)</f>
        <v>0</v>
      </c>
    </row>
    <row r="1071" spans="3:11" x14ac:dyDescent="0.2">
      <c r="C1071" t="s">
        <v>2286</v>
      </c>
      <c r="D1071" t="b">
        <f ca="1">IF(CELL("format",F1071)="G",IF(ABS(F1071-G1071) &lt;= ABS(F1071*B$3),TRUE,FALSE),IF(F1071=G1071,TRUE,FALSE))</f>
        <v>1</v>
      </c>
      <c r="E1071" s="5">
        <f>ABS(F1071-G1071)/ABS(F1071)</f>
        <v>0</v>
      </c>
      <c r="F1071">
        <v>81.42</v>
      </c>
      <c r="G1071">
        <v>81.42</v>
      </c>
      <c r="H1071">
        <v>81.42</v>
      </c>
      <c r="J1071" s="5">
        <f>ABS(F1071-G1071)/ABS(F1071)</f>
        <v>0</v>
      </c>
      <c r="K1071" s="5">
        <f>ABS(G1071-H1071)/ABS(G1071)</f>
        <v>0</v>
      </c>
    </row>
    <row r="1072" spans="3:11" x14ac:dyDescent="0.2">
      <c r="C1072" t="s">
        <v>2287</v>
      </c>
      <c r="D1072" t="b">
        <f ca="1">IF(CELL("format",F1072)="G",IF(ABS(F1072-G1072) &lt;= ABS(F1072*B$3),TRUE,FALSE),IF(F1072=G1072,TRUE,FALSE))</f>
        <v>1</v>
      </c>
      <c r="E1072" s="5">
        <f>ABS(F1072-G1072)/ABS(F1072)</f>
        <v>0</v>
      </c>
      <c r="F1072">
        <v>105.13</v>
      </c>
      <c r="G1072">
        <v>105.13</v>
      </c>
      <c r="H1072">
        <v>105.13</v>
      </c>
      <c r="J1072" s="5">
        <f>ABS(F1072-G1072)/ABS(F1072)</f>
        <v>0</v>
      </c>
      <c r="K1072" s="5">
        <f>ABS(G1072-H1072)/ABS(G1072)</f>
        <v>0</v>
      </c>
    </row>
    <row r="1073" spans="3:11" x14ac:dyDescent="0.2">
      <c r="C1073" t="s">
        <v>2288</v>
      </c>
      <c r="D1073" t="b">
        <f ca="1">IF(CELL("format",F1073)="G",IF(ABS(F1073-G1073) &lt;= ABS(F1073*B$3),TRUE,FALSE),IF(F1073=G1073,TRUE,FALSE))</f>
        <v>1</v>
      </c>
      <c r="E1073" s="5">
        <f>ABS(F1073-G1073)/ABS(F1073)</f>
        <v>0</v>
      </c>
      <c r="F1073">
        <v>112.54</v>
      </c>
      <c r="G1073">
        <v>112.54</v>
      </c>
      <c r="H1073">
        <v>112.54</v>
      </c>
      <c r="J1073" s="5">
        <f>ABS(F1073-G1073)/ABS(F1073)</f>
        <v>0</v>
      </c>
      <c r="K1073" s="5">
        <f>ABS(G1073-H1073)/ABS(G1073)</f>
        <v>0</v>
      </c>
    </row>
    <row r="1074" spans="3:11" x14ac:dyDescent="0.2">
      <c r="C1074" t="s">
        <v>2289</v>
      </c>
      <c r="D1074" t="b">
        <f ca="1">IF(CELL("format",F1074)="G",IF(ABS(F1074-G1074) &lt;= ABS(F1074*B$3),TRUE,FALSE),IF(F1074=G1074,TRUE,FALSE))</f>
        <v>1</v>
      </c>
      <c r="E1074" s="5">
        <f>ABS(F1074-G1074)/ABS(F1074)</f>
        <v>0</v>
      </c>
      <c r="F1074">
        <v>111.4</v>
      </c>
      <c r="G1074">
        <v>111.4</v>
      </c>
      <c r="H1074">
        <v>111.4</v>
      </c>
      <c r="J1074" s="5">
        <f>ABS(F1074-G1074)/ABS(F1074)</f>
        <v>0</v>
      </c>
      <c r="K1074" s="5">
        <f>ABS(G1074-H1074)/ABS(G1074)</f>
        <v>0</v>
      </c>
    </row>
    <row r="1075" spans="3:11" x14ac:dyDescent="0.2">
      <c r="C1075" t="s">
        <v>2290</v>
      </c>
      <c r="D1075" t="b">
        <f ca="1">IF(CELL("format",F1075)="G",IF(ABS(F1075-G1075) &lt;= ABS(F1075*B$3),TRUE,FALSE),IF(F1075=G1075,TRUE,FALSE))</f>
        <v>1</v>
      </c>
      <c r="E1075" s="5">
        <f>ABS(F1075-G1075)/ABS(F1075)</f>
        <v>0</v>
      </c>
      <c r="F1075">
        <v>102.95</v>
      </c>
      <c r="G1075">
        <v>102.95</v>
      </c>
      <c r="H1075">
        <v>102.95</v>
      </c>
      <c r="J1075" s="5">
        <f>ABS(F1075-G1075)/ABS(F1075)</f>
        <v>0</v>
      </c>
      <c r="K1075" s="5">
        <f>ABS(G1075-H1075)/ABS(G1075)</f>
        <v>0</v>
      </c>
    </row>
    <row r="1076" spans="3:11" x14ac:dyDescent="0.2">
      <c r="C1076" t="s">
        <v>2291</v>
      </c>
      <c r="D1076" t="b">
        <f ca="1">IF(CELL("format",F1076)="G",IF(ABS(F1076-G1076) &lt;= ABS(F1076*B$3),TRUE,FALSE),IF(F1076=G1076,TRUE,FALSE))</f>
        <v>1</v>
      </c>
      <c r="E1076" s="5">
        <f>ABS(F1076-G1076)/ABS(F1076)</f>
        <v>0</v>
      </c>
      <c r="F1076">
        <v>88.57</v>
      </c>
      <c r="G1076">
        <v>88.57</v>
      </c>
      <c r="H1076">
        <v>88.57</v>
      </c>
      <c r="J1076" s="5">
        <f>ABS(F1076-G1076)/ABS(F1076)</f>
        <v>0</v>
      </c>
      <c r="K1076" s="5">
        <f>ABS(G1076-H1076)/ABS(G1076)</f>
        <v>0</v>
      </c>
    </row>
    <row r="1077" spans="3:11" x14ac:dyDescent="0.2">
      <c r="C1077" t="s">
        <v>2292</v>
      </c>
      <c r="D1077" t="b">
        <f ca="1">IF(CELL("format",F1077)="G",IF(ABS(F1077-G1077) &lt;= ABS(F1077*B$3),TRUE,FALSE),IF(F1077=G1077,TRUE,FALSE))</f>
        <v>1</v>
      </c>
      <c r="E1077" s="5">
        <f>ABS(F1077-G1077)/ABS(F1077)</f>
        <v>0</v>
      </c>
      <c r="F1077">
        <v>67.78</v>
      </c>
      <c r="G1077">
        <v>67.78</v>
      </c>
      <c r="H1077">
        <v>67.78</v>
      </c>
      <c r="J1077" s="5">
        <f>ABS(F1077-G1077)/ABS(F1077)</f>
        <v>0</v>
      </c>
      <c r="K1077" s="5">
        <f>ABS(G1077-H1077)/ABS(G1077)</f>
        <v>0</v>
      </c>
    </row>
    <row r="1078" spans="3:11" x14ac:dyDescent="0.2">
      <c r="C1078" t="s">
        <v>2293</v>
      </c>
      <c r="D1078" t="b">
        <f ca="1">IF(CELL("format",F1078)="G",IF(ABS(F1078-G1078) &lt;= ABS(F1078*B$3),TRUE,FALSE),IF(F1078=G1078,TRUE,FALSE))</f>
        <v>1</v>
      </c>
      <c r="E1078" s="5">
        <f>ABS(F1078-G1078)/ABS(F1078)</f>
        <v>0</v>
      </c>
      <c r="F1078">
        <v>40.11</v>
      </c>
      <c r="G1078">
        <v>40.11</v>
      </c>
      <c r="H1078">
        <v>40.11</v>
      </c>
      <c r="J1078" s="5">
        <f>ABS(F1078-G1078)/ABS(F1078)</f>
        <v>0</v>
      </c>
      <c r="K1078" s="5">
        <f>ABS(G1078-H1078)/ABS(G1078)</f>
        <v>0</v>
      </c>
    </row>
    <row r="1079" spans="3:11" x14ac:dyDescent="0.2">
      <c r="C1079" t="s">
        <v>2294</v>
      </c>
      <c r="D1079" t="b">
        <f ca="1">IF(CELL("format",F1079)="G",IF(ABS(F1079-G1079) &lt;= ABS(F1079*B$3),TRUE,FALSE),IF(F1079=G1079,TRUE,FALSE))</f>
        <v>1</v>
      </c>
      <c r="E1079" s="5">
        <f>ABS(F1079-G1079)/ABS(F1079)</f>
        <v>0</v>
      </c>
      <c r="F1079">
        <v>19.7</v>
      </c>
      <c r="G1079">
        <v>19.7</v>
      </c>
      <c r="H1079">
        <v>19.7</v>
      </c>
      <c r="J1079" s="5">
        <f>ABS(F1079-G1079)/ABS(F1079)</f>
        <v>0</v>
      </c>
      <c r="K1079" s="5">
        <f>ABS(G1079-H1079)/ABS(G1079)</f>
        <v>0</v>
      </c>
    </row>
    <row r="1080" spans="3:11" x14ac:dyDescent="0.2">
      <c r="C1080" t="s">
        <v>2295</v>
      </c>
      <c r="D1080" t="b">
        <f ca="1">IF(CELL("format",F1080)="G",IF(ABS(F1080-G1080) &lt;= ABS(F1080*B$3),TRUE,FALSE),IF(F1080=G1080,TRUE,FALSE))</f>
        <v>1</v>
      </c>
      <c r="E1080" s="5">
        <f>ABS(F1080-G1080)/ABS(F1080)</f>
        <v>0</v>
      </c>
      <c r="F1080">
        <v>4.09</v>
      </c>
      <c r="G1080">
        <v>4.09</v>
      </c>
      <c r="H1080">
        <v>4.09</v>
      </c>
      <c r="J1080" s="5">
        <f>ABS(F1080-G1080)/ABS(F1080)</f>
        <v>0</v>
      </c>
      <c r="K1080" s="5">
        <f>ABS(G1080-H1080)/ABS(G1080)</f>
        <v>0</v>
      </c>
    </row>
    <row r="1081" spans="3:11" x14ac:dyDescent="0.2">
      <c r="C1081" t="s">
        <v>2296</v>
      </c>
      <c r="D1081" t="b">
        <f ca="1">IF(CELL("format",F1081)="G",IF(ABS(F1081-G1081) &lt;= ABS(F1081*B$3),TRUE,FALSE),IF(F1081=G1081,TRUE,FALSE))</f>
        <v>1</v>
      </c>
      <c r="E1081" s="5" t="e">
        <f>ABS(F1081-G1081)/ABS(F1081)</f>
        <v>#DIV/0!</v>
      </c>
      <c r="F1081">
        <v>0</v>
      </c>
      <c r="G1081">
        <v>0</v>
      </c>
      <c r="H1081">
        <v>0</v>
      </c>
      <c r="J1081" s="5" t="e">
        <f>ABS(F1081-G1081)/ABS(F1081)</f>
        <v>#DIV/0!</v>
      </c>
      <c r="K1081" s="5" t="e">
        <f>ABS(G1081-H1081)/ABS(G1081)</f>
        <v>#DIV/0!</v>
      </c>
    </row>
    <row r="1082" spans="3:11" x14ac:dyDescent="0.2">
      <c r="C1082" t="s">
        <v>2297</v>
      </c>
      <c r="D1082" t="b">
        <f ca="1">IF(CELL("format",F1082)="G",IF(ABS(F1082-G1082) &lt;= ABS(F1082*B$3),TRUE,FALSE),IF(F1082=G1082,TRUE,FALSE))</f>
        <v>1</v>
      </c>
      <c r="E1082" s="5" t="e">
        <f>ABS(F1082-G1082)/ABS(F1082)</f>
        <v>#DIV/0!</v>
      </c>
      <c r="F1082">
        <v>0</v>
      </c>
      <c r="G1082">
        <v>0</v>
      </c>
      <c r="H1082">
        <v>0</v>
      </c>
      <c r="J1082" s="5" t="e">
        <f>ABS(F1082-G1082)/ABS(F1082)</f>
        <v>#DIV/0!</v>
      </c>
      <c r="K1082" s="5" t="e">
        <f>ABS(G1082-H1082)/ABS(G1082)</f>
        <v>#DIV/0!</v>
      </c>
    </row>
    <row r="1083" spans="3:11" x14ac:dyDescent="0.2">
      <c r="C1083" t="s">
        <v>2298</v>
      </c>
      <c r="D1083" t="b">
        <f ca="1">IF(CELL("format",F1083)="G",IF(ABS(F1083-G1083) &lt;= ABS(F1083*B$3),TRUE,FALSE),IF(F1083=G1083,TRUE,FALSE))</f>
        <v>1</v>
      </c>
      <c r="E1083" s="5" t="e">
        <f>ABS(F1083-G1083)/ABS(F1083)</f>
        <v>#DIV/0!</v>
      </c>
      <c r="F1083">
        <v>0</v>
      </c>
      <c r="G1083">
        <v>0</v>
      </c>
      <c r="H1083">
        <v>0</v>
      </c>
      <c r="J1083" s="5" t="e">
        <f>ABS(F1083-G1083)/ABS(F1083)</f>
        <v>#DIV/0!</v>
      </c>
      <c r="K1083" s="5" t="e">
        <f>ABS(G1083-H1083)/ABS(G1083)</f>
        <v>#DIV/0!</v>
      </c>
    </row>
    <row r="1084" spans="3:11" x14ac:dyDescent="0.2">
      <c r="C1084" t="s">
        <v>2299</v>
      </c>
      <c r="D1084" t="b">
        <f ca="1">IF(CELL("format",F1084)="G",IF(ABS(F1084-G1084) &lt;= ABS(F1084*B$3),TRUE,FALSE),IF(F1084=G1084,TRUE,FALSE))</f>
        <v>1</v>
      </c>
      <c r="E1084" s="5" t="e">
        <f>ABS(F1084-G1084)/ABS(F1084)</f>
        <v>#DIV/0!</v>
      </c>
      <c r="F1084">
        <v>0</v>
      </c>
      <c r="G1084">
        <v>0</v>
      </c>
      <c r="H1084">
        <v>0</v>
      </c>
      <c r="J1084" s="5" t="e">
        <f>ABS(F1084-G1084)/ABS(F1084)</f>
        <v>#DIV/0!</v>
      </c>
      <c r="K1084" s="5" t="e">
        <f>ABS(G1084-H1084)/ABS(G1084)</f>
        <v>#DIV/0!</v>
      </c>
    </row>
    <row r="1085" spans="3:11" x14ac:dyDescent="0.2">
      <c r="C1085" t="s">
        <v>2300</v>
      </c>
      <c r="D1085" t="b">
        <f ca="1">IF(CELL("format",F1085)="G",IF(ABS(F1085-G1085) &lt;= ABS(F1085*B$3),TRUE,FALSE),IF(F1085=G1085,TRUE,FALSE))</f>
        <v>1</v>
      </c>
      <c r="E1085" s="5" t="e">
        <f>ABS(F1085-G1085)/ABS(F1085)</f>
        <v>#DIV/0!</v>
      </c>
      <c r="F1085">
        <v>0</v>
      </c>
      <c r="G1085">
        <v>0</v>
      </c>
      <c r="H1085">
        <v>0</v>
      </c>
      <c r="J1085" s="5" t="e">
        <f>ABS(F1085-G1085)/ABS(F1085)</f>
        <v>#DIV/0!</v>
      </c>
      <c r="K1085" s="5" t="e">
        <f>ABS(G1085-H1085)/ABS(G1085)</f>
        <v>#DIV/0!</v>
      </c>
    </row>
    <row r="1086" spans="3:11" x14ac:dyDescent="0.2">
      <c r="C1086" t="s">
        <v>2277</v>
      </c>
      <c r="D1086" t="b">
        <f ca="1">IF(CELL("format",F1086)="G",IF(ABS(F1086-G1086) &lt;= ABS(F1086*B$3),TRUE,FALSE),IF(F1086=G1086,TRUE,FALSE))</f>
        <v>1</v>
      </c>
      <c r="E1086" s="5" t="e">
        <f>ABS(F1086-G1086)/ABS(F1086)</f>
        <v>#DIV/0!</v>
      </c>
      <c r="F1086">
        <v>0</v>
      </c>
      <c r="G1086">
        <v>0</v>
      </c>
      <c r="H1086">
        <v>0</v>
      </c>
      <c r="J1086" s="5" t="e">
        <f>ABS(F1086-G1086)/ABS(F1086)</f>
        <v>#DIV/0!</v>
      </c>
      <c r="K1086" s="5" t="e">
        <f>ABS(G1086-H1086)/ABS(G1086)</f>
        <v>#DIV/0!</v>
      </c>
    </row>
    <row r="1087" spans="3:11" x14ac:dyDescent="0.2">
      <c r="C1087" t="s">
        <v>2278</v>
      </c>
      <c r="D1087" t="b">
        <f ca="1">IF(CELL("format",F1087)="G",IF(ABS(F1087-G1087) &lt;= ABS(F1087*B$3),TRUE,FALSE),IF(F1087=G1087,TRUE,FALSE))</f>
        <v>1</v>
      </c>
      <c r="E1087" s="5" t="e">
        <f>ABS(F1087-G1087)/ABS(F1087)</f>
        <v>#DIV/0!</v>
      </c>
      <c r="F1087">
        <v>0</v>
      </c>
      <c r="G1087">
        <v>0</v>
      </c>
      <c r="H1087">
        <v>0</v>
      </c>
      <c r="J1087" s="5" t="e">
        <f>ABS(F1087-G1087)/ABS(F1087)</f>
        <v>#DIV/0!</v>
      </c>
      <c r="K1087" s="5" t="e">
        <f>ABS(G1087-H1087)/ABS(G1087)</f>
        <v>#DIV/0!</v>
      </c>
    </row>
    <row r="1088" spans="3:11" x14ac:dyDescent="0.2">
      <c r="C1088" t="s">
        <v>2279</v>
      </c>
      <c r="D1088" t="b">
        <f ca="1">IF(CELL("format",F1088)="G",IF(ABS(F1088-G1088) &lt;= ABS(F1088*B$3),TRUE,FALSE),IF(F1088=G1088,TRUE,FALSE))</f>
        <v>1</v>
      </c>
      <c r="E1088" s="5" t="e">
        <f>ABS(F1088-G1088)/ABS(F1088)</f>
        <v>#DIV/0!</v>
      </c>
      <c r="F1088">
        <v>0</v>
      </c>
      <c r="G1088">
        <v>0</v>
      </c>
      <c r="H1088">
        <v>0</v>
      </c>
      <c r="J1088" s="5" t="e">
        <f>ABS(F1088-G1088)/ABS(F1088)</f>
        <v>#DIV/0!</v>
      </c>
      <c r="K1088" s="5" t="e">
        <f>ABS(G1088-H1088)/ABS(G1088)</f>
        <v>#DIV/0!</v>
      </c>
    </row>
    <row r="1089" spans="3:11" x14ac:dyDescent="0.2">
      <c r="C1089" t="s">
        <v>2280</v>
      </c>
      <c r="D1089" t="b">
        <f ca="1">IF(CELL("format",F1089)="G",IF(ABS(F1089-G1089) &lt;= ABS(F1089*B$3),TRUE,FALSE),IF(F1089=G1089,TRUE,FALSE))</f>
        <v>1</v>
      </c>
      <c r="E1089" s="5" t="e">
        <f>ABS(F1089-G1089)/ABS(F1089)</f>
        <v>#DIV/0!</v>
      </c>
      <c r="F1089">
        <v>0</v>
      </c>
      <c r="G1089">
        <v>0</v>
      </c>
      <c r="H1089">
        <v>0</v>
      </c>
      <c r="J1089" s="5" t="e">
        <f>ABS(F1089-G1089)/ABS(F1089)</f>
        <v>#DIV/0!</v>
      </c>
      <c r="K1089" s="5" t="e">
        <f>ABS(G1089-H1089)/ABS(G1089)</f>
        <v>#DIV/0!</v>
      </c>
    </row>
    <row r="1090" spans="3:11" x14ac:dyDescent="0.2">
      <c r="C1090" t="s">
        <v>2281</v>
      </c>
      <c r="D1090" t="b">
        <f ca="1">IF(CELL("format",F1090)="G",IF(ABS(F1090-G1090) &lt;= ABS(F1090*B$3),TRUE,FALSE),IF(F1090=G1090,TRUE,FALSE))</f>
        <v>1</v>
      </c>
      <c r="E1090" s="5">
        <f>ABS(F1090-G1090)/ABS(F1090)</f>
        <v>0</v>
      </c>
      <c r="F1090">
        <v>1.68</v>
      </c>
      <c r="G1090">
        <v>1.68</v>
      </c>
      <c r="H1090">
        <v>1.68</v>
      </c>
      <c r="J1090" s="5">
        <f>ABS(F1090-G1090)/ABS(F1090)</f>
        <v>0</v>
      </c>
      <c r="K1090" s="5">
        <f>ABS(G1090-H1090)/ABS(G1090)</f>
        <v>0</v>
      </c>
    </row>
    <row r="1091" spans="3:11" x14ac:dyDescent="0.2">
      <c r="C1091" t="s">
        <v>2282</v>
      </c>
      <c r="D1091" t="b">
        <f ca="1">IF(CELL("format",F1091)="G",IF(ABS(F1091-G1091) &lt;= ABS(F1091*B$3),TRUE,FALSE),IF(F1091=G1091,TRUE,FALSE))</f>
        <v>1</v>
      </c>
      <c r="E1091" s="5">
        <f>ABS(F1091-G1091)/ABS(F1091)</f>
        <v>0</v>
      </c>
      <c r="F1091">
        <v>16.14</v>
      </c>
      <c r="G1091">
        <v>16.14</v>
      </c>
      <c r="H1091">
        <v>16.14</v>
      </c>
      <c r="J1091" s="5">
        <f>ABS(F1091-G1091)/ABS(F1091)</f>
        <v>0</v>
      </c>
      <c r="K1091" s="5">
        <f>ABS(G1091-H1091)/ABS(G1091)</f>
        <v>0</v>
      </c>
    </row>
    <row r="1092" spans="3:11" x14ac:dyDescent="0.2">
      <c r="C1092" t="s">
        <v>2283</v>
      </c>
      <c r="D1092" t="b">
        <f ca="1">IF(CELL("format",F1092)="G",IF(ABS(F1092-G1092) &lt;= ABS(F1092*B$3),TRUE,FALSE),IF(F1092=G1092,TRUE,FALSE))</f>
        <v>1</v>
      </c>
      <c r="E1092" s="5">
        <f>ABS(F1092-G1092)/ABS(F1092)</f>
        <v>0</v>
      </c>
      <c r="F1092">
        <v>33.03</v>
      </c>
      <c r="G1092">
        <v>33.03</v>
      </c>
      <c r="H1092">
        <v>33.03</v>
      </c>
      <c r="J1092" s="5">
        <f>ABS(F1092-G1092)/ABS(F1092)</f>
        <v>0</v>
      </c>
      <c r="K1092" s="5">
        <f>ABS(G1092-H1092)/ABS(G1092)</f>
        <v>0</v>
      </c>
    </row>
    <row r="1093" spans="3:11" x14ac:dyDescent="0.2">
      <c r="C1093" t="s">
        <v>2284</v>
      </c>
      <c r="D1093" t="b">
        <f ca="1">IF(CELL("format",F1093)="G",IF(ABS(F1093-G1093) &lt;= ABS(F1093*B$3),TRUE,FALSE),IF(F1093=G1093,TRUE,FALSE))</f>
        <v>1</v>
      </c>
      <c r="E1093" s="5">
        <f>ABS(F1093-G1093)/ABS(F1093)</f>
        <v>0</v>
      </c>
      <c r="F1093">
        <v>48.9</v>
      </c>
      <c r="G1093">
        <v>48.9</v>
      </c>
      <c r="H1093">
        <v>48.9</v>
      </c>
      <c r="J1093" s="5">
        <f>ABS(F1093-G1093)/ABS(F1093)</f>
        <v>0</v>
      </c>
      <c r="K1093" s="5">
        <f>ABS(G1093-H1093)/ABS(G1093)</f>
        <v>0</v>
      </c>
    </row>
    <row r="1094" spans="3:11" x14ac:dyDescent="0.2">
      <c r="C1094" t="s">
        <v>2285</v>
      </c>
      <c r="D1094" t="b">
        <f ca="1">IF(CELL("format",F1094)="G",IF(ABS(F1094-G1094) &lt;= ABS(F1094*B$3),TRUE,FALSE),IF(F1094=G1094,TRUE,FALSE))</f>
        <v>1</v>
      </c>
      <c r="E1094" s="5">
        <f>ABS(F1094-G1094)/ABS(F1094)</f>
        <v>0</v>
      </c>
      <c r="F1094">
        <v>70.5</v>
      </c>
      <c r="G1094">
        <v>70.5</v>
      </c>
      <c r="H1094">
        <v>70.5</v>
      </c>
      <c r="J1094" s="5">
        <f>ABS(F1094-G1094)/ABS(F1094)</f>
        <v>0</v>
      </c>
      <c r="K1094" s="5">
        <f>ABS(G1094-H1094)/ABS(G1094)</f>
        <v>0</v>
      </c>
    </row>
    <row r="1095" spans="3:11" x14ac:dyDescent="0.2">
      <c r="C1095" t="s">
        <v>2286</v>
      </c>
      <c r="D1095" t="b">
        <f ca="1">IF(CELL("format",F1095)="G",IF(ABS(F1095-G1095) &lt;= ABS(F1095*B$3),TRUE,FALSE),IF(F1095=G1095,TRUE,FALSE))</f>
        <v>1</v>
      </c>
      <c r="E1095" s="5">
        <f>ABS(F1095-G1095)/ABS(F1095)</f>
        <v>0</v>
      </c>
      <c r="F1095">
        <v>116.64</v>
      </c>
      <c r="G1095">
        <v>116.64</v>
      </c>
      <c r="H1095">
        <v>116.64</v>
      </c>
      <c r="J1095" s="5">
        <f>ABS(F1095-G1095)/ABS(F1095)</f>
        <v>0</v>
      </c>
      <c r="K1095" s="5">
        <f>ABS(G1095-H1095)/ABS(G1095)</f>
        <v>0</v>
      </c>
    </row>
    <row r="1096" spans="3:11" x14ac:dyDescent="0.2">
      <c r="C1096" t="s">
        <v>2287</v>
      </c>
      <c r="D1096" t="b">
        <f ca="1">IF(CELL("format",F1096)="G",IF(ABS(F1096-G1096) &lt;= ABS(F1096*B$3),TRUE,FALSE),IF(F1096=G1096,TRUE,FALSE))</f>
        <v>1</v>
      </c>
      <c r="E1096" s="5">
        <f>ABS(F1096-G1096)/ABS(F1096)</f>
        <v>0</v>
      </c>
      <c r="F1096">
        <v>169.45</v>
      </c>
      <c r="G1096">
        <v>169.45</v>
      </c>
      <c r="H1096">
        <v>169.45</v>
      </c>
      <c r="J1096" s="5">
        <f>ABS(F1096-G1096)/ABS(F1096)</f>
        <v>0</v>
      </c>
      <c r="K1096" s="5">
        <f>ABS(G1096-H1096)/ABS(G1096)</f>
        <v>0</v>
      </c>
    </row>
    <row r="1097" spans="3:11" x14ac:dyDescent="0.2">
      <c r="C1097" t="s">
        <v>2288</v>
      </c>
      <c r="D1097" t="b">
        <f ca="1">IF(CELL("format",F1097)="G",IF(ABS(F1097-G1097) &lt;= ABS(F1097*B$3),TRUE,FALSE),IF(F1097=G1097,TRUE,FALSE))</f>
        <v>1</v>
      </c>
      <c r="E1097" s="5">
        <f>ABS(F1097-G1097)/ABS(F1097)</f>
        <v>0</v>
      </c>
      <c r="F1097">
        <v>201.82</v>
      </c>
      <c r="G1097">
        <v>201.82</v>
      </c>
      <c r="H1097">
        <v>201.82</v>
      </c>
      <c r="J1097" s="5">
        <f>ABS(F1097-G1097)/ABS(F1097)</f>
        <v>0</v>
      </c>
      <c r="K1097" s="5">
        <f>ABS(G1097-H1097)/ABS(G1097)</f>
        <v>0</v>
      </c>
    </row>
    <row r="1098" spans="3:11" x14ac:dyDescent="0.2">
      <c r="C1098" t="s">
        <v>2289</v>
      </c>
      <c r="D1098" t="b">
        <f ca="1">IF(CELL("format",F1098)="G",IF(ABS(F1098-G1098) &lt;= ABS(F1098*B$3),TRUE,FALSE),IF(F1098=G1098,TRUE,FALSE))</f>
        <v>1</v>
      </c>
      <c r="E1098" s="5">
        <f>ABS(F1098-G1098)/ABS(F1098)</f>
        <v>0</v>
      </c>
      <c r="F1098">
        <v>201.24</v>
      </c>
      <c r="G1098">
        <v>201.24</v>
      </c>
      <c r="H1098">
        <v>201.24</v>
      </c>
      <c r="J1098" s="5">
        <f>ABS(F1098-G1098)/ABS(F1098)</f>
        <v>0</v>
      </c>
      <c r="K1098" s="5">
        <f>ABS(G1098-H1098)/ABS(G1098)</f>
        <v>0</v>
      </c>
    </row>
    <row r="1099" spans="3:11" x14ac:dyDescent="0.2">
      <c r="C1099" t="s">
        <v>2290</v>
      </c>
      <c r="D1099" t="b">
        <f ca="1">IF(CELL("format",F1099)="G",IF(ABS(F1099-G1099) &lt;= ABS(F1099*B$3),TRUE,FALSE),IF(F1099=G1099,TRUE,FALSE))</f>
        <v>1</v>
      </c>
      <c r="E1099" s="5">
        <f>ABS(F1099-G1099)/ABS(F1099)</f>
        <v>0</v>
      </c>
      <c r="F1099">
        <v>168.17</v>
      </c>
      <c r="G1099">
        <v>168.17</v>
      </c>
      <c r="H1099">
        <v>168.17</v>
      </c>
      <c r="J1099" s="5">
        <f>ABS(F1099-G1099)/ABS(F1099)</f>
        <v>0</v>
      </c>
      <c r="K1099" s="5">
        <f>ABS(G1099-H1099)/ABS(G1099)</f>
        <v>0</v>
      </c>
    </row>
    <row r="1100" spans="3:11" x14ac:dyDescent="0.2">
      <c r="C1100" t="s">
        <v>2291</v>
      </c>
      <c r="D1100" t="b">
        <f ca="1">IF(CELL("format",F1100)="G",IF(ABS(F1100-G1100) &lt;= ABS(F1100*B$3),TRUE,FALSE),IF(F1100=G1100,TRUE,FALSE))</f>
        <v>1</v>
      </c>
      <c r="E1100" s="5">
        <f>ABS(F1100-G1100)/ABS(F1100)</f>
        <v>0</v>
      </c>
      <c r="F1100">
        <v>115.27</v>
      </c>
      <c r="G1100">
        <v>115.27</v>
      </c>
      <c r="H1100">
        <v>115.27</v>
      </c>
      <c r="J1100" s="5">
        <f>ABS(F1100-G1100)/ABS(F1100)</f>
        <v>0</v>
      </c>
      <c r="K1100" s="5">
        <f>ABS(G1100-H1100)/ABS(G1100)</f>
        <v>0</v>
      </c>
    </row>
    <row r="1101" spans="3:11" x14ac:dyDescent="0.2">
      <c r="C1101" t="s">
        <v>2292</v>
      </c>
      <c r="D1101" t="b">
        <f ca="1">IF(CELL("format",F1101)="G",IF(ABS(F1101-G1101) &lt;= ABS(F1101*B$3),TRUE,FALSE),IF(F1101=G1101,TRUE,FALSE))</f>
        <v>1</v>
      </c>
      <c r="E1101" s="5">
        <f>ABS(F1101-G1101)/ABS(F1101)</f>
        <v>0</v>
      </c>
      <c r="F1101">
        <v>69.61</v>
      </c>
      <c r="G1101">
        <v>69.61</v>
      </c>
      <c r="H1101">
        <v>69.61</v>
      </c>
      <c r="J1101" s="5">
        <f>ABS(F1101-G1101)/ABS(F1101)</f>
        <v>0</v>
      </c>
      <c r="K1101" s="5">
        <f>ABS(G1101-H1101)/ABS(G1101)</f>
        <v>0</v>
      </c>
    </row>
    <row r="1102" spans="3:11" x14ac:dyDescent="0.2">
      <c r="C1102" t="s">
        <v>2293</v>
      </c>
      <c r="D1102" t="b">
        <f ca="1">IF(CELL("format",F1102)="G",IF(ABS(F1102-G1102) &lt;= ABS(F1102*B$3),TRUE,FALSE),IF(F1102=G1102,TRUE,FALSE))</f>
        <v>1</v>
      </c>
      <c r="E1102" s="5">
        <f>ABS(F1102-G1102)/ABS(F1102)</f>
        <v>0</v>
      </c>
      <c r="F1102">
        <v>48.62</v>
      </c>
      <c r="G1102">
        <v>48.62</v>
      </c>
      <c r="H1102">
        <v>48.62</v>
      </c>
      <c r="J1102" s="5">
        <f>ABS(F1102-G1102)/ABS(F1102)</f>
        <v>0</v>
      </c>
      <c r="K1102" s="5">
        <f>ABS(G1102-H1102)/ABS(G1102)</f>
        <v>0</v>
      </c>
    </row>
    <row r="1103" spans="3:11" x14ac:dyDescent="0.2">
      <c r="C1103" t="s">
        <v>2294</v>
      </c>
      <c r="D1103" t="b">
        <f ca="1">IF(CELL("format",F1103)="G",IF(ABS(F1103-G1103) &lt;= ABS(F1103*B$3),TRUE,FALSE),IF(F1103=G1103,TRUE,FALSE))</f>
        <v>1</v>
      </c>
      <c r="E1103" s="5">
        <f>ABS(F1103-G1103)/ABS(F1103)</f>
        <v>0</v>
      </c>
      <c r="F1103">
        <v>32.69</v>
      </c>
      <c r="G1103">
        <v>32.69</v>
      </c>
      <c r="H1103">
        <v>32.69</v>
      </c>
      <c r="J1103" s="5">
        <f>ABS(F1103-G1103)/ABS(F1103)</f>
        <v>0</v>
      </c>
      <c r="K1103" s="5">
        <f>ABS(G1103-H1103)/ABS(G1103)</f>
        <v>0</v>
      </c>
    </row>
    <row r="1104" spans="3:11" x14ac:dyDescent="0.2">
      <c r="C1104" t="s">
        <v>2295</v>
      </c>
      <c r="D1104" t="b">
        <f ca="1">IF(CELL("format",F1104)="G",IF(ABS(F1104-G1104) &lt;= ABS(F1104*B$3),TRUE,FALSE),IF(F1104=G1104,TRUE,FALSE))</f>
        <v>1</v>
      </c>
      <c r="E1104" s="5">
        <f>ABS(F1104-G1104)/ABS(F1104)</f>
        <v>0</v>
      </c>
      <c r="F1104">
        <v>15.66</v>
      </c>
      <c r="G1104">
        <v>15.66</v>
      </c>
      <c r="H1104">
        <v>15.66</v>
      </c>
      <c r="J1104" s="5">
        <f>ABS(F1104-G1104)/ABS(F1104)</f>
        <v>0</v>
      </c>
      <c r="K1104" s="5">
        <f>ABS(G1104-H1104)/ABS(G1104)</f>
        <v>0</v>
      </c>
    </row>
    <row r="1105" spans="3:11" x14ac:dyDescent="0.2">
      <c r="C1105" t="s">
        <v>2296</v>
      </c>
      <c r="D1105" t="b">
        <f ca="1">IF(CELL("format",F1105)="G",IF(ABS(F1105-G1105) &lt;= ABS(F1105*B$3),TRUE,FALSE),IF(F1105=G1105,TRUE,FALSE))</f>
        <v>1</v>
      </c>
      <c r="E1105" s="5">
        <f>ABS(F1105-G1105)/ABS(F1105)</f>
        <v>0</v>
      </c>
      <c r="F1105">
        <v>1.4</v>
      </c>
      <c r="G1105">
        <v>1.4</v>
      </c>
      <c r="H1105">
        <v>1.4</v>
      </c>
      <c r="J1105" s="5">
        <f>ABS(F1105-G1105)/ABS(F1105)</f>
        <v>0</v>
      </c>
      <c r="K1105" s="5">
        <f>ABS(G1105-H1105)/ABS(G1105)</f>
        <v>0</v>
      </c>
    </row>
    <row r="1106" spans="3:11" x14ac:dyDescent="0.2">
      <c r="C1106" t="s">
        <v>2297</v>
      </c>
      <c r="D1106" t="b">
        <f ca="1">IF(CELL("format",F1106)="G",IF(ABS(F1106-G1106) &lt;= ABS(F1106*B$3),TRUE,FALSE),IF(F1106=G1106,TRUE,FALSE))</f>
        <v>1</v>
      </c>
      <c r="E1106" s="5" t="e">
        <f>ABS(F1106-G1106)/ABS(F1106)</f>
        <v>#DIV/0!</v>
      </c>
      <c r="F1106">
        <v>0</v>
      </c>
      <c r="G1106">
        <v>0</v>
      </c>
      <c r="H1106">
        <v>0</v>
      </c>
      <c r="J1106" s="5" t="e">
        <f>ABS(F1106-G1106)/ABS(F1106)</f>
        <v>#DIV/0!</v>
      </c>
      <c r="K1106" s="5" t="e">
        <f>ABS(G1106-H1106)/ABS(G1106)</f>
        <v>#DIV/0!</v>
      </c>
    </row>
    <row r="1107" spans="3:11" x14ac:dyDescent="0.2">
      <c r="C1107" t="s">
        <v>2298</v>
      </c>
      <c r="D1107" t="b">
        <f ca="1">IF(CELL("format",F1107)="G",IF(ABS(F1107-G1107) &lt;= ABS(F1107*B$3),TRUE,FALSE),IF(F1107=G1107,TRUE,FALSE))</f>
        <v>1</v>
      </c>
      <c r="E1107" s="5" t="e">
        <f>ABS(F1107-G1107)/ABS(F1107)</f>
        <v>#DIV/0!</v>
      </c>
      <c r="F1107">
        <v>0</v>
      </c>
      <c r="G1107">
        <v>0</v>
      </c>
      <c r="H1107">
        <v>0</v>
      </c>
      <c r="J1107" s="5" t="e">
        <f>ABS(F1107-G1107)/ABS(F1107)</f>
        <v>#DIV/0!</v>
      </c>
      <c r="K1107" s="5" t="e">
        <f>ABS(G1107-H1107)/ABS(G1107)</f>
        <v>#DIV/0!</v>
      </c>
    </row>
    <row r="1108" spans="3:11" x14ac:dyDescent="0.2">
      <c r="C1108" t="s">
        <v>2299</v>
      </c>
      <c r="D1108" t="b">
        <f ca="1">IF(CELL("format",F1108)="G",IF(ABS(F1108-G1108) &lt;= ABS(F1108*B$3),TRUE,FALSE),IF(F1108=G1108,TRUE,FALSE))</f>
        <v>1</v>
      </c>
      <c r="E1108" s="5" t="e">
        <f>ABS(F1108-G1108)/ABS(F1108)</f>
        <v>#DIV/0!</v>
      </c>
      <c r="F1108">
        <v>0</v>
      </c>
      <c r="G1108">
        <v>0</v>
      </c>
      <c r="H1108">
        <v>0</v>
      </c>
      <c r="J1108" s="5" t="e">
        <f>ABS(F1108-G1108)/ABS(F1108)</f>
        <v>#DIV/0!</v>
      </c>
      <c r="K1108" s="5" t="e">
        <f>ABS(G1108-H1108)/ABS(G1108)</f>
        <v>#DIV/0!</v>
      </c>
    </row>
    <row r="1109" spans="3:11" x14ac:dyDescent="0.2">
      <c r="C1109" t="s">
        <v>2300</v>
      </c>
      <c r="D1109" t="b">
        <f ca="1">IF(CELL("format",F1109)="G",IF(ABS(F1109-G1109) &lt;= ABS(F1109*B$3),TRUE,FALSE),IF(F1109=G1109,TRUE,FALSE))</f>
        <v>1</v>
      </c>
      <c r="E1109" s="5" t="e">
        <f>ABS(F1109-G1109)/ABS(F1109)</f>
        <v>#DIV/0!</v>
      </c>
      <c r="F1109">
        <v>0</v>
      </c>
      <c r="G1109">
        <v>0</v>
      </c>
      <c r="H1109">
        <v>0</v>
      </c>
      <c r="J1109" s="5" t="e">
        <f>ABS(F1109-G1109)/ABS(F1109)</f>
        <v>#DIV/0!</v>
      </c>
      <c r="K1109" s="5" t="e">
        <f>ABS(G1109-H1109)/ABS(G1109)</f>
        <v>#DIV/0!</v>
      </c>
    </row>
    <row r="1110" spans="3:11" x14ac:dyDescent="0.2">
      <c r="C1110" t="s">
        <v>2277</v>
      </c>
      <c r="D1110" t="b">
        <f ca="1">IF(CELL("format",F1110)="G",IF(ABS(F1110-G1110) &lt;= ABS(F1110*B$3),TRUE,FALSE),IF(F1110=G1110,TRUE,FALSE))</f>
        <v>1</v>
      </c>
      <c r="E1110" s="5" t="e">
        <f>ABS(F1110-G1110)/ABS(F1110)</f>
        <v>#DIV/0!</v>
      </c>
      <c r="F1110">
        <v>0</v>
      </c>
      <c r="G1110">
        <v>0</v>
      </c>
      <c r="H1110">
        <v>0</v>
      </c>
      <c r="J1110" s="5" t="e">
        <f>ABS(F1110-G1110)/ABS(F1110)</f>
        <v>#DIV/0!</v>
      </c>
      <c r="K1110" s="5" t="e">
        <f>ABS(G1110-H1110)/ABS(G1110)</f>
        <v>#DIV/0!</v>
      </c>
    </row>
    <row r="1111" spans="3:11" x14ac:dyDescent="0.2">
      <c r="C1111" t="s">
        <v>2278</v>
      </c>
      <c r="D1111" t="b">
        <f ca="1">IF(CELL("format",F1111)="G",IF(ABS(F1111-G1111) &lt;= ABS(F1111*B$3),TRUE,FALSE),IF(F1111=G1111,TRUE,FALSE))</f>
        <v>1</v>
      </c>
      <c r="E1111" s="5" t="e">
        <f>ABS(F1111-G1111)/ABS(F1111)</f>
        <v>#DIV/0!</v>
      </c>
      <c r="F1111">
        <v>0</v>
      </c>
      <c r="G1111">
        <v>0</v>
      </c>
      <c r="H1111">
        <v>0</v>
      </c>
      <c r="J1111" s="5" t="e">
        <f>ABS(F1111-G1111)/ABS(F1111)</f>
        <v>#DIV/0!</v>
      </c>
      <c r="K1111" s="5" t="e">
        <f>ABS(G1111-H1111)/ABS(G1111)</f>
        <v>#DIV/0!</v>
      </c>
    </row>
    <row r="1112" spans="3:11" x14ac:dyDescent="0.2">
      <c r="C1112" t="s">
        <v>2279</v>
      </c>
      <c r="D1112" t="b">
        <f ca="1">IF(CELL("format",F1112)="G",IF(ABS(F1112-G1112) &lt;= ABS(F1112*B$3),TRUE,FALSE),IF(F1112=G1112,TRUE,FALSE))</f>
        <v>1</v>
      </c>
      <c r="E1112" s="5" t="e">
        <f>ABS(F1112-G1112)/ABS(F1112)</f>
        <v>#DIV/0!</v>
      </c>
      <c r="F1112">
        <v>0</v>
      </c>
      <c r="G1112">
        <v>0</v>
      </c>
      <c r="H1112">
        <v>0</v>
      </c>
      <c r="J1112" s="5" t="e">
        <f>ABS(F1112-G1112)/ABS(F1112)</f>
        <v>#DIV/0!</v>
      </c>
      <c r="K1112" s="5" t="e">
        <f>ABS(G1112-H1112)/ABS(G1112)</f>
        <v>#DIV/0!</v>
      </c>
    </row>
    <row r="1113" spans="3:11" x14ac:dyDescent="0.2">
      <c r="C1113" t="s">
        <v>2280</v>
      </c>
      <c r="D1113" t="b">
        <f ca="1">IF(CELL("format",F1113)="G",IF(ABS(F1113-G1113) &lt;= ABS(F1113*B$3),TRUE,FALSE),IF(F1113=G1113,TRUE,FALSE))</f>
        <v>1</v>
      </c>
      <c r="E1113" s="5" t="e">
        <f>ABS(F1113-G1113)/ABS(F1113)</f>
        <v>#DIV/0!</v>
      </c>
      <c r="F1113">
        <v>0</v>
      </c>
      <c r="G1113">
        <v>0</v>
      </c>
      <c r="H1113">
        <v>0</v>
      </c>
      <c r="J1113" s="5" t="e">
        <f>ABS(F1113-G1113)/ABS(F1113)</f>
        <v>#DIV/0!</v>
      </c>
      <c r="K1113" s="5" t="e">
        <f>ABS(G1113-H1113)/ABS(G1113)</f>
        <v>#DIV/0!</v>
      </c>
    </row>
    <row r="1114" spans="3:11" x14ac:dyDescent="0.2">
      <c r="C1114" t="s">
        <v>2281</v>
      </c>
      <c r="D1114" t="b">
        <f ca="1">IF(CELL("format",F1114)="G",IF(ABS(F1114-G1114) &lt;= ABS(F1114*B$3),TRUE,FALSE),IF(F1114=G1114,TRUE,FALSE))</f>
        <v>1</v>
      </c>
      <c r="E1114" s="5">
        <f>ABS(F1114-G1114)/ABS(F1114)</f>
        <v>0</v>
      </c>
      <c r="F1114">
        <v>0.92</v>
      </c>
      <c r="G1114">
        <v>0.92</v>
      </c>
      <c r="H1114">
        <v>0.92</v>
      </c>
      <c r="J1114" s="5">
        <f>ABS(F1114-G1114)/ABS(F1114)</f>
        <v>0</v>
      </c>
      <c r="K1114" s="5">
        <f>ABS(G1114-H1114)/ABS(G1114)</f>
        <v>0</v>
      </c>
    </row>
    <row r="1115" spans="3:11" x14ac:dyDescent="0.2">
      <c r="C1115" t="s">
        <v>2282</v>
      </c>
      <c r="D1115" t="b">
        <f ca="1">IF(CELL("format",F1115)="G",IF(ABS(F1115-G1115) &lt;= ABS(F1115*B$3),TRUE,FALSE),IF(F1115=G1115,TRUE,FALSE))</f>
        <v>1</v>
      </c>
      <c r="E1115" s="5">
        <f>ABS(F1115-G1115)/ABS(F1115)</f>
        <v>0</v>
      </c>
      <c r="F1115">
        <v>8.7799999999999994</v>
      </c>
      <c r="G1115">
        <v>8.7799999999999994</v>
      </c>
      <c r="H1115">
        <v>8.7799999999999994</v>
      </c>
      <c r="J1115" s="5">
        <f>ABS(F1115-G1115)/ABS(F1115)</f>
        <v>0</v>
      </c>
      <c r="K1115" s="5">
        <f>ABS(G1115-H1115)/ABS(G1115)</f>
        <v>0</v>
      </c>
    </row>
    <row r="1116" spans="3:11" x14ac:dyDescent="0.2">
      <c r="C1116" t="s">
        <v>2283</v>
      </c>
      <c r="D1116" t="b">
        <f ca="1">IF(CELL("format",F1116)="G",IF(ABS(F1116-G1116) &lt;= ABS(F1116*B$3),TRUE,FALSE),IF(F1116=G1116,TRUE,FALSE))</f>
        <v>1</v>
      </c>
      <c r="E1116" s="5">
        <f>ABS(F1116-G1116)/ABS(F1116)</f>
        <v>0</v>
      </c>
      <c r="F1116">
        <v>17.97</v>
      </c>
      <c r="G1116">
        <v>17.97</v>
      </c>
      <c r="H1116">
        <v>17.97</v>
      </c>
      <c r="J1116" s="5">
        <f>ABS(F1116-G1116)/ABS(F1116)</f>
        <v>0</v>
      </c>
      <c r="K1116" s="5">
        <f>ABS(G1116-H1116)/ABS(G1116)</f>
        <v>0</v>
      </c>
    </row>
    <row r="1117" spans="3:11" x14ac:dyDescent="0.2">
      <c r="C1117" t="s">
        <v>2284</v>
      </c>
      <c r="D1117" t="b">
        <f ca="1">IF(CELL("format",F1117)="G",IF(ABS(F1117-G1117) &lt;= ABS(F1117*B$3),TRUE,FALSE),IF(F1117=G1117,TRUE,FALSE))</f>
        <v>1</v>
      </c>
      <c r="E1117" s="5">
        <f>ABS(F1117-G1117)/ABS(F1117)</f>
        <v>0</v>
      </c>
      <c r="F1117">
        <v>26.61</v>
      </c>
      <c r="G1117">
        <v>26.61</v>
      </c>
      <c r="H1117">
        <v>26.61</v>
      </c>
      <c r="J1117" s="5">
        <f>ABS(F1117-G1117)/ABS(F1117)</f>
        <v>0</v>
      </c>
      <c r="K1117" s="5">
        <f>ABS(G1117-H1117)/ABS(G1117)</f>
        <v>0</v>
      </c>
    </row>
    <row r="1118" spans="3:11" x14ac:dyDescent="0.2">
      <c r="C1118" t="s">
        <v>2285</v>
      </c>
      <c r="D1118" t="b">
        <f ca="1">IF(CELL("format",F1118)="G",IF(ABS(F1118-G1118) &lt;= ABS(F1118*B$3),TRUE,FALSE),IF(F1118=G1118,TRUE,FALSE))</f>
        <v>1</v>
      </c>
      <c r="E1118" s="5">
        <f>ABS(F1118-G1118)/ABS(F1118)</f>
        <v>0</v>
      </c>
      <c r="F1118">
        <v>38.630000000000003</v>
      </c>
      <c r="G1118">
        <v>38.630000000000003</v>
      </c>
      <c r="H1118">
        <v>38.630000000000003</v>
      </c>
      <c r="J1118" s="5">
        <f>ABS(F1118-G1118)/ABS(F1118)</f>
        <v>0</v>
      </c>
      <c r="K1118" s="5">
        <f>ABS(G1118-H1118)/ABS(G1118)</f>
        <v>0</v>
      </c>
    </row>
    <row r="1119" spans="3:11" x14ac:dyDescent="0.2">
      <c r="C1119" t="s">
        <v>2286</v>
      </c>
      <c r="D1119" t="b">
        <f ca="1">IF(CELL("format",F1119)="G",IF(ABS(F1119-G1119) &lt;= ABS(F1119*B$3),TRUE,FALSE),IF(F1119=G1119,TRUE,FALSE))</f>
        <v>1</v>
      </c>
      <c r="E1119" s="5">
        <f>ABS(F1119-G1119)/ABS(F1119)</f>
        <v>0</v>
      </c>
      <c r="F1119">
        <v>63.03</v>
      </c>
      <c r="G1119">
        <v>63.03</v>
      </c>
      <c r="H1119">
        <v>63.03</v>
      </c>
      <c r="J1119" s="5">
        <f>ABS(F1119-G1119)/ABS(F1119)</f>
        <v>0</v>
      </c>
      <c r="K1119" s="5">
        <f>ABS(G1119-H1119)/ABS(G1119)</f>
        <v>0</v>
      </c>
    </row>
    <row r="1120" spans="3:11" x14ac:dyDescent="0.2">
      <c r="C1120" t="s">
        <v>2287</v>
      </c>
      <c r="D1120" t="b">
        <f ca="1">IF(CELL("format",F1120)="G",IF(ABS(F1120-G1120) &lt;= ABS(F1120*B$3),TRUE,FALSE),IF(F1120=G1120,TRUE,FALSE))</f>
        <v>1</v>
      </c>
      <c r="E1120" s="5">
        <f>ABS(F1120-G1120)/ABS(F1120)</f>
        <v>0</v>
      </c>
      <c r="F1120">
        <v>90.48</v>
      </c>
      <c r="G1120">
        <v>90.48</v>
      </c>
      <c r="H1120">
        <v>90.48</v>
      </c>
      <c r="J1120" s="5">
        <f>ABS(F1120-G1120)/ABS(F1120)</f>
        <v>0</v>
      </c>
      <c r="K1120" s="5">
        <f>ABS(G1120-H1120)/ABS(G1120)</f>
        <v>0</v>
      </c>
    </row>
    <row r="1121" spans="3:11" x14ac:dyDescent="0.2">
      <c r="C1121" t="s">
        <v>2288</v>
      </c>
      <c r="D1121" t="b">
        <f ca="1">IF(CELL("format",F1121)="G",IF(ABS(F1121-G1121) &lt;= ABS(F1121*B$3),TRUE,FALSE),IF(F1121=G1121,TRUE,FALSE))</f>
        <v>1</v>
      </c>
      <c r="E1121" s="5">
        <f>ABS(F1121-G1121)/ABS(F1121)</f>
        <v>0</v>
      </c>
      <c r="F1121">
        <v>107.48</v>
      </c>
      <c r="G1121">
        <v>107.48</v>
      </c>
      <c r="H1121">
        <v>107.48</v>
      </c>
      <c r="J1121" s="5">
        <f>ABS(F1121-G1121)/ABS(F1121)</f>
        <v>0</v>
      </c>
      <c r="K1121" s="5">
        <f>ABS(G1121-H1121)/ABS(G1121)</f>
        <v>0</v>
      </c>
    </row>
    <row r="1122" spans="3:11" x14ac:dyDescent="0.2">
      <c r="C1122" t="s">
        <v>2289</v>
      </c>
      <c r="D1122" t="b">
        <f ca="1">IF(CELL("format",F1122)="G",IF(ABS(F1122-G1122) &lt;= ABS(F1122*B$3),TRUE,FALSE),IF(F1122=G1122,TRUE,FALSE))</f>
        <v>1</v>
      </c>
      <c r="E1122" s="5">
        <f>ABS(F1122-G1122)/ABS(F1122)</f>
        <v>0</v>
      </c>
      <c r="F1122">
        <v>107.17</v>
      </c>
      <c r="G1122">
        <v>107.17</v>
      </c>
      <c r="H1122">
        <v>107.17</v>
      </c>
      <c r="J1122" s="5">
        <f>ABS(F1122-G1122)/ABS(F1122)</f>
        <v>0</v>
      </c>
      <c r="K1122" s="5">
        <f>ABS(G1122-H1122)/ABS(G1122)</f>
        <v>0</v>
      </c>
    </row>
    <row r="1123" spans="3:11" x14ac:dyDescent="0.2">
      <c r="C1123" t="s">
        <v>2290</v>
      </c>
      <c r="D1123" t="b">
        <f ca="1">IF(CELL("format",F1123)="G",IF(ABS(F1123-G1123) &lt;= ABS(F1123*B$3),TRUE,FALSE),IF(F1123=G1123,TRUE,FALSE))</f>
        <v>1</v>
      </c>
      <c r="E1123" s="5">
        <f>ABS(F1123-G1123)/ABS(F1123)</f>
        <v>0</v>
      </c>
      <c r="F1123">
        <v>89.81</v>
      </c>
      <c r="G1123">
        <v>89.81</v>
      </c>
      <c r="H1123">
        <v>89.81</v>
      </c>
      <c r="J1123" s="5">
        <f>ABS(F1123-G1123)/ABS(F1123)</f>
        <v>0</v>
      </c>
      <c r="K1123" s="5">
        <f>ABS(G1123-H1123)/ABS(G1123)</f>
        <v>0</v>
      </c>
    </row>
    <row r="1124" spans="3:11" x14ac:dyDescent="0.2">
      <c r="C1124" t="s">
        <v>2291</v>
      </c>
      <c r="D1124" t="b">
        <f ca="1">IF(CELL("format",F1124)="G",IF(ABS(F1124-G1124) &lt;= ABS(F1124*B$3),TRUE,FALSE),IF(F1124=G1124,TRUE,FALSE))</f>
        <v>1</v>
      </c>
      <c r="E1124" s="5">
        <f>ABS(F1124-G1124)/ABS(F1124)</f>
        <v>0</v>
      </c>
      <c r="F1124">
        <v>62.32</v>
      </c>
      <c r="G1124">
        <v>62.32</v>
      </c>
      <c r="H1124">
        <v>62.32</v>
      </c>
      <c r="J1124" s="5">
        <f>ABS(F1124-G1124)/ABS(F1124)</f>
        <v>0</v>
      </c>
      <c r="K1124" s="5">
        <f>ABS(G1124-H1124)/ABS(G1124)</f>
        <v>0</v>
      </c>
    </row>
    <row r="1125" spans="3:11" x14ac:dyDescent="0.2">
      <c r="C1125" t="s">
        <v>2292</v>
      </c>
      <c r="D1125" t="b">
        <f ca="1">IF(CELL("format",F1125)="G",IF(ABS(F1125-G1125) &lt;= ABS(F1125*B$3),TRUE,FALSE),IF(F1125=G1125,TRUE,FALSE))</f>
        <v>1</v>
      </c>
      <c r="E1125" s="5">
        <f>ABS(F1125-G1125)/ABS(F1125)</f>
        <v>0</v>
      </c>
      <c r="F1125">
        <v>38.14</v>
      </c>
      <c r="G1125">
        <v>38.14</v>
      </c>
      <c r="H1125">
        <v>38.14</v>
      </c>
      <c r="J1125" s="5">
        <f>ABS(F1125-G1125)/ABS(F1125)</f>
        <v>0</v>
      </c>
      <c r="K1125" s="5">
        <f>ABS(G1125-H1125)/ABS(G1125)</f>
        <v>0</v>
      </c>
    </row>
    <row r="1126" spans="3:11" x14ac:dyDescent="0.2">
      <c r="C1126" t="s">
        <v>2293</v>
      </c>
      <c r="D1126" t="b">
        <f ca="1">IF(CELL("format",F1126)="G",IF(ABS(F1126-G1126) &lt;= ABS(F1126*B$3),TRUE,FALSE),IF(F1126=G1126,TRUE,FALSE))</f>
        <v>1</v>
      </c>
      <c r="E1126" s="5">
        <f>ABS(F1126-G1126)/ABS(F1126)</f>
        <v>0</v>
      </c>
      <c r="F1126">
        <v>26.45</v>
      </c>
      <c r="G1126">
        <v>26.45</v>
      </c>
      <c r="H1126">
        <v>26.45</v>
      </c>
      <c r="J1126" s="5">
        <f>ABS(F1126-G1126)/ABS(F1126)</f>
        <v>0</v>
      </c>
      <c r="K1126" s="5">
        <f>ABS(G1126-H1126)/ABS(G1126)</f>
        <v>0</v>
      </c>
    </row>
    <row r="1127" spans="3:11" x14ac:dyDescent="0.2">
      <c r="C1127" t="s">
        <v>2294</v>
      </c>
      <c r="D1127" t="b">
        <f ca="1">IF(CELL("format",F1127)="G",IF(ABS(F1127-G1127) &lt;= ABS(F1127*B$3),TRUE,FALSE),IF(F1127=G1127,TRUE,FALSE))</f>
        <v>1</v>
      </c>
      <c r="E1127" s="5">
        <f>ABS(F1127-G1127)/ABS(F1127)</f>
        <v>0</v>
      </c>
      <c r="F1127">
        <v>17.79</v>
      </c>
      <c r="G1127">
        <v>17.79</v>
      </c>
      <c r="H1127">
        <v>17.79</v>
      </c>
      <c r="J1127" s="5">
        <f>ABS(F1127-G1127)/ABS(F1127)</f>
        <v>0</v>
      </c>
      <c r="K1127" s="5">
        <f>ABS(G1127-H1127)/ABS(G1127)</f>
        <v>0</v>
      </c>
    </row>
    <row r="1128" spans="3:11" x14ac:dyDescent="0.2">
      <c r="C1128" t="s">
        <v>2295</v>
      </c>
      <c r="D1128" t="b">
        <f ca="1">IF(CELL("format",F1128)="G",IF(ABS(F1128-G1128) &lt;= ABS(F1128*B$3),TRUE,FALSE),IF(F1128=G1128,TRUE,FALSE))</f>
        <v>1</v>
      </c>
      <c r="E1128" s="5">
        <f>ABS(F1128-G1128)/ABS(F1128)</f>
        <v>0</v>
      </c>
      <c r="F1128">
        <v>8.52</v>
      </c>
      <c r="G1128">
        <v>8.52</v>
      </c>
      <c r="H1128">
        <v>8.52</v>
      </c>
      <c r="J1128" s="5">
        <f>ABS(F1128-G1128)/ABS(F1128)</f>
        <v>0</v>
      </c>
      <c r="K1128" s="5">
        <f>ABS(G1128-H1128)/ABS(G1128)</f>
        <v>0</v>
      </c>
    </row>
    <row r="1129" spans="3:11" x14ac:dyDescent="0.2">
      <c r="C1129" t="s">
        <v>2296</v>
      </c>
      <c r="D1129" t="b">
        <f ca="1">IF(CELL("format",F1129)="G",IF(ABS(F1129-G1129) &lt;= ABS(F1129*B$3),TRUE,FALSE),IF(F1129=G1129,TRUE,FALSE))</f>
        <v>1</v>
      </c>
      <c r="E1129" s="5">
        <f>ABS(F1129-G1129)/ABS(F1129)</f>
        <v>0</v>
      </c>
      <c r="F1129">
        <v>0.76</v>
      </c>
      <c r="G1129">
        <v>0.76</v>
      </c>
      <c r="H1129">
        <v>0.76</v>
      </c>
      <c r="J1129" s="5">
        <f>ABS(F1129-G1129)/ABS(F1129)</f>
        <v>0</v>
      </c>
      <c r="K1129" s="5">
        <f>ABS(G1129-H1129)/ABS(G1129)</f>
        <v>0</v>
      </c>
    </row>
    <row r="1130" spans="3:11" x14ac:dyDescent="0.2">
      <c r="C1130" t="s">
        <v>2297</v>
      </c>
      <c r="D1130" t="b">
        <f ca="1">IF(CELL("format",F1130)="G",IF(ABS(F1130-G1130) &lt;= ABS(F1130*B$3),TRUE,FALSE),IF(F1130=G1130,TRUE,FALSE))</f>
        <v>1</v>
      </c>
      <c r="E1130" s="5" t="e">
        <f>ABS(F1130-G1130)/ABS(F1130)</f>
        <v>#DIV/0!</v>
      </c>
      <c r="F1130">
        <v>0</v>
      </c>
      <c r="G1130">
        <v>0</v>
      </c>
      <c r="H1130">
        <v>0</v>
      </c>
      <c r="J1130" s="5" t="e">
        <f>ABS(F1130-G1130)/ABS(F1130)</f>
        <v>#DIV/0!</v>
      </c>
      <c r="K1130" s="5" t="e">
        <f>ABS(G1130-H1130)/ABS(G1130)</f>
        <v>#DIV/0!</v>
      </c>
    </row>
    <row r="1131" spans="3:11" x14ac:dyDescent="0.2">
      <c r="C1131" t="s">
        <v>2298</v>
      </c>
      <c r="D1131" t="b">
        <f ca="1">IF(CELL("format",F1131)="G",IF(ABS(F1131-G1131) &lt;= ABS(F1131*B$3),TRUE,FALSE),IF(F1131=G1131,TRUE,FALSE))</f>
        <v>1</v>
      </c>
      <c r="E1131" s="5" t="e">
        <f>ABS(F1131-G1131)/ABS(F1131)</f>
        <v>#DIV/0!</v>
      </c>
      <c r="F1131">
        <v>0</v>
      </c>
      <c r="G1131">
        <v>0</v>
      </c>
      <c r="H1131">
        <v>0</v>
      </c>
      <c r="J1131" s="5" t="e">
        <f>ABS(F1131-G1131)/ABS(F1131)</f>
        <v>#DIV/0!</v>
      </c>
      <c r="K1131" s="5" t="e">
        <f>ABS(G1131-H1131)/ABS(G1131)</f>
        <v>#DIV/0!</v>
      </c>
    </row>
    <row r="1132" spans="3:11" x14ac:dyDescent="0.2">
      <c r="C1132" t="s">
        <v>2299</v>
      </c>
      <c r="D1132" t="b">
        <f ca="1">IF(CELL("format",F1132)="G",IF(ABS(F1132-G1132) &lt;= ABS(F1132*B$3),TRUE,FALSE),IF(F1132=G1132,TRUE,FALSE))</f>
        <v>1</v>
      </c>
      <c r="E1132" s="5" t="e">
        <f>ABS(F1132-G1132)/ABS(F1132)</f>
        <v>#DIV/0!</v>
      </c>
      <c r="F1132">
        <v>0</v>
      </c>
      <c r="G1132">
        <v>0</v>
      </c>
      <c r="H1132">
        <v>0</v>
      </c>
      <c r="J1132" s="5" t="e">
        <f>ABS(F1132-G1132)/ABS(F1132)</f>
        <v>#DIV/0!</v>
      </c>
      <c r="K1132" s="5" t="e">
        <f>ABS(G1132-H1132)/ABS(G1132)</f>
        <v>#DIV/0!</v>
      </c>
    </row>
    <row r="1133" spans="3:11" x14ac:dyDescent="0.2">
      <c r="C1133" t="s">
        <v>2300</v>
      </c>
      <c r="D1133" t="b">
        <f ca="1">IF(CELL("format",F1133)="G",IF(ABS(F1133-G1133) &lt;= ABS(F1133*B$3),TRUE,FALSE),IF(F1133=G1133,TRUE,FALSE))</f>
        <v>1</v>
      </c>
      <c r="E1133" s="5" t="e">
        <f>ABS(F1133-G1133)/ABS(F1133)</f>
        <v>#DIV/0!</v>
      </c>
      <c r="F1133">
        <v>0</v>
      </c>
      <c r="G1133">
        <v>0</v>
      </c>
      <c r="H1133">
        <v>0</v>
      </c>
      <c r="J1133" s="5" t="e">
        <f>ABS(F1133-G1133)/ABS(F1133)</f>
        <v>#DIV/0!</v>
      </c>
      <c r="K1133" s="5" t="e">
        <f>ABS(G1133-H1133)/ABS(G1133)</f>
        <v>#DIV/0!</v>
      </c>
    </row>
    <row r="1134" spans="3:11" x14ac:dyDescent="0.2">
      <c r="C1134" t="s">
        <v>2277</v>
      </c>
      <c r="D1134" t="b">
        <f ca="1">IF(CELL("format",F1134)="G",IF(ABS(F1134-G1134) &lt;= ABS(F1134*B$3),TRUE,FALSE),IF(F1134=G1134,TRUE,FALSE))</f>
        <v>1</v>
      </c>
      <c r="E1134" s="5" t="e">
        <f>ABS(F1134-G1134)/ABS(F1134)</f>
        <v>#DIV/0!</v>
      </c>
      <c r="F1134">
        <v>0</v>
      </c>
      <c r="G1134">
        <v>0</v>
      </c>
      <c r="H1134">
        <v>0</v>
      </c>
      <c r="J1134" s="5" t="e">
        <f>ABS(F1134-G1134)/ABS(F1134)</f>
        <v>#DIV/0!</v>
      </c>
      <c r="K1134" s="5" t="e">
        <f>ABS(G1134-H1134)/ABS(G1134)</f>
        <v>#DIV/0!</v>
      </c>
    </row>
    <row r="1135" spans="3:11" x14ac:dyDescent="0.2">
      <c r="C1135" t="s">
        <v>2278</v>
      </c>
      <c r="D1135" t="b">
        <f ca="1">IF(CELL("format",F1135)="G",IF(ABS(F1135-G1135) &lt;= ABS(F1135*B$3),TRUE,FALSE),IF(F1135=G1135,TRUE,FALSE))</f>
        <v>1</v>
      </c>
      <c r="E1135" s="5" t="e">
        <f>ABS(F1135-G1135)/ABS(F1135)</f>
        <v>#DIV/0!</v>
      </c>
      <c r="F1135">
        <v>0</v>
      </c>
      <c r="G1135">
        <v>0</v>
      </c>
      <c r="H1135">
        <v>0</v>
      </c>
      <c r="J1135" s="5" t="e">
        <f>ABS(F1135-G1135)/ABS(F1135)</f>
        <v>#DIV/0!</v>
      </c>
      <c r="K1135" s="5" t="e">
        <f>ABS(G1135-H1135)/ABS(G1135)</f>
        <v>#DIV/0!</v>
      </c>
    </row>
    <row r="1136" spans="3:11" x14ac:dyDescent="0.2">
      <c r="C1136" t="s">
        <v>2279</v>
      </c>
      <c r="D1136" t="b">
        <f ca="1">IF(CELL("format",F1136)="G",IF(ABS(F1136-G1136) &lt;= ABS(F1136*B$3),TRUE,FALSE),IF(F1136=G1136,TRUE,FALSE))</f>
        <v>1</v>
      </c>
      <c r="E1136" s="5" t="e">
        <f>ABS(F1136-G1136)/ABS(F1136)</f>
        <v>#DIV/0!</v>
      </c>
      <c r="F1136">
        <v>0</v>
      </c>
      <c r="G1136">
        <v>0</v>
      </c>
      <c r="H1136">
        <v>0</v>
      </c>
      <c r="J1136" s="5" t="e">
        <f>ABS(F1136-G1136)/ABS(F1136)</f>
        <v>#DIV/0!</v>
      </c>
      <c r="K1136" s="5" t="e">
        <f>ABS(G1136-H1136)/ABS(G1136)</f>
        <v>#DIV/0!</v>
      </c>
    </row>
    <row r="1137" spans="3:11" x14ac:dyDescent="0.2">
      <c r="C1137" t="s">
        <v>2280</v>
      </c>
      <c r="D1137" t="b">
        <f ca="1">IF(CELL("format",F1137)="G",IF(ABS(F1137-G1137) &lt;= ABS(F1137*B$3),TRUE,FALSE),IF(F1137=G1137,TRUE,FALSE))</f>
        <v>1</v>
      </c>
      <c r="E1137" s="5" t="e">
        <f>ABS(F1137-G1137)/ABS(F1137)</f>
        <v>#DIV/0!</v>
      </c>
      <c r="F1137">
        <v>0</v>
      </c>
      <c r="G1137">
        <v>0</v>
      </c>
      <c r="H1137">
        <v>0</v>
      </c>
      <c r="J1137" s="5" t="e">
        <f>ABS(F1137-G1137)/ABS(F1137)</f>
        <v>#DIV/0!</v>
      </c>
      <c r="K1137" s="5" t="e">
        <f>ABS(G1137-H1137)/ABS(G1137)</f>
        <v>#DIV/0!</v>
      </c>
    </row>
    <row r="1138" spans="3:11" x14ac:dyDescent="0.2">
      <c r="C1138" t="s">
        <v>2281</v>
      </c>
      <c r="D1138" t="b">
        <f ca="1">IF(CELL("format",F1138)="G",IF(ABS(F1138-G1138) &lt;= ABS(F1138*B$3),TRUE,FALSE),IF(F1138=G1138,TRUE,FALSE))</f>
        <v>1</v>
      </c>
      <c r="E1138" s="5">
        <f>ABS(F1138-G1138)/ABS(F1138)</f>
        <v>0</v>
      </c>
      <c r="F1138">
        <v>2.13</v>
      </c>
      <c r="G1138">
        <v>2.13</v>
      </c>
      <c r="H1138">
        <v>2.13</v>
      </c>
      <c r="J1138" s="5">
        <f>ABS(F1138-G1138)/ABS(F1138)</f>
        <v>0</v>
      </c>
      <c r="K1138" s="5">
        <f>ABS(G1138-H1138)/ABS(G1138)</f>
        <v>0</v>
      </c>
    </row>
    <row r="1139" spans="3:11" x14ac:dyDescent="0.2">
      <c r="C1139" t="s">
        <v>2282</v>
      </c>
      <c r="D1139" t="b">
        <f ca="1">IF(CELL("format",F1139)="G",IF(ABS(F1139-G1139) &lt;= ABS(F1139*B$3),TRUE,FALSE),IF(F1139=G1139,TRUE,FALSE))</f>
        <v>1</v>
      </c>
      <c r="E1139" s="5">
        <f>ABS(F1139-G1139)/ABS(F1139)</f>
        <v>0</v>
      </c>
      <c r="F1139">
        <v>20.38</v>
      </c>
      <c r="G1139">
        <v>20.38</v>
      </c>
      <c r="H1139">
        <v>20.38</v>
      </c>
      <c r="J1139" s="5">
        <f>ABS(F1139-G1139)/ABS(F1139)</f>
        <v>0</v>
      </c>
      <c r="K1139" s="5">
        <f>ABS(G1139-H1139)/ABS(G1139)</f>
        <v>0</v>
      </c>
    </row>
    <row r="1140" spans="3:11" x14ac:dyDescent="0.2">
      <c r="C1140" t="s">
        <v>2283</v>
      </c>
      <c r="D1140" t="b">
        <f ca="1">IF(CELL("format",F1140)="G",IF(ABS(F1140-G1140) &lt;= ABS(F1140*B$3),TRUE,FALSE),IF(F1140=G1140,TRUE,FALSE))</f>
        <v>1</v>
      </c>
      <c r="E1140" s="5">
        <f>ABS(F1140-G1140)/ABS(F1140)</f>
        <v>0</v>
      </c>
      <c r="F1140">
        <v>41.71</v>
      </c>
      <c r="G1140">
        <v>41.71</v>
      </c>
      <c r="H1140">
        <v>41.71</v>
      </c>
      <c r="J1140" s="5">
        <f>ABS(F1140-G1140)/ABS(F1140)</f>
        <v>0</v>
      </c>
      <c r="K1140" s="5">
        <f>ABS(G1140-H1140)/ABS(G1140)</f>
        <v>0</v>
      </c>
    </row>
    <row r="1141" spans="3:11" x14ac:dyDescent="0.2">
      <c r="C1141" t="s">
        <v>2284</v>
      </c>
      <c r="D1141" t="b">
        <f ca="1">IF(CELL("format",F1141)="G",IF(ABS(F1141-G1141) &lt;= ABS(F1141*B$3),TRUE,FALSE),IF(F1141=G1141,TRUE,FALSE))</f>
        <v>1</v>
      </c>
      <c r="E1141" s="5">
        <f>ABS(F1141-G1141)/ABS(F1141)</f>
        <v>0</v>
      </c>
      <c r="F1141">
        <v>61.75</v>
      </c>
      <c r="G1141">
        <v>61.75</v>
      </c>
      <c r="H1141">
        <v>61.75</v>
      </c>
      <c r="J1141" s="5">
        <f>ABS(F1141-G1141)/ABS(F1141)</f>
        <v>0</v>
      </c>
      <c r="K1141" s="5">
        <f>ABS(G1141-H1141)/ABS(G1141)</f>
        <v>0</v>
      </c>
    </row>
    <row r="1142" spans="3:11" x14ac:dyDescent="0.2">
      <c r="C1142" t="s">
        <v>2285</v>
      </c>
      <c r="D1142" t="b">
        <f ca="1">IF(CELL("format",F1142)="G",IF(ABS(F1142-G1142) &lt;= ABS(F1142*B$3),TRUE,FALSE),IF(F1142=G1142,TRUE,FALSE))</f>
        <v>1</v>
      </c>
      <c r="E1142" s="5">
        <f>ABS(F1142-G1142)/ABS(F1142)</f>
        <v>0</v>
      </c>
      <c r="F1142">
        <v>96.5</v>
      </c>
      <c r="G1142">
        <v>96.5</v>
      </c>
      <c r="H1142">
        <v>96.5</v>
      </c>
      <c r="J1142" s="5">
        <f>ABS(F1142-G1142)/ABS(F1142)</f>
        <v>0</v>
      </c>
      <c r="K1142" s="5">
        <f>ABS(G1142-H1142)/ABS(G1142)</f>
        <v>0</v>
      </c>
    </row>
    <row r="1143" spans="3:11" x14ac:dyDescent="0.2">
      <c r="C1143" t="s">
        <v>2286</v>
      </c>
      <c r="D1143" t="b">
        <f ca="1">IF(CELL("format",F1143)="G",IF(ABS(F1143-G1143) &lt;= ABS(F1143*B$3),TRUE,FALSE),IF(F1143=G1143,TRUE,FALSE))</f>
        <v>1</v>
      </c>
      <c r="E1143" s="5">
        <f>ABS(F1143-G1143)/ABS(F1143)</f>
        <v>0</v>
      </c>
      <c r="F1143">
        <v>170.68</v>
      </c>
      <c r="G1143">
        <v>170.68</v>
      </c>
      <c r="H1143">
        <v>170.68</v>
      </c>
      <c r="J1143" s="5">
        <f>ABS(F1143-G1143)/ABS(F1143)</f>
        <v>0</v>
      </c>
      <c r="K1143" s="5">
        <f>ABS(G1143-H1143)/ABS(G1143)</f>
        <v>0</v>
      </c>
    </row>
    <row r="1144" spans="3:11" x14ac:dyDescent="0.2">
      <c r="C1144" t="s">
        <v>2287</v>
      </c>
      <c r="D1144" t="b">
        <f ca="1">IF(CELL("format",F1144)="G",IF(ABS(F1144-G1144) &lt;= ABS(F1144*B$3),TRUE,FALSE),IF(F1144=G1144,TRUE,FALSE))</f>
        <v>1</v>
      </c>
      <c r="E1144" s="5">
        <f>ABS(F1144-G1144)/ABS(F1144)</f>
        <v>0</v>
      </c>
      <c r="F1144">
        <v>244.31</v>
      </c>
      <c r="G1144">
        <v>244.31</v>
      </c>
      <c r="H1144">
        <v>244.31</v>
      </c>
      <c r="J1144" s="5">
        <f>ABS(F1144-G1144)/ABS(F1144)</f>
        <v>0</v>
      </c>
      <c r="K1144" s="5">
        <f>ABS(G1144-H1144)/ABS(G1144)</f>
        <v>0</v>
      </c>
    </row>
    <row r="1145" spans="3:11" x14ac:dyDescent="0.2">
      <c r="C1145" t="s">
        <v>2288</v>
      </c>
      <c r="D1145" t="b">
        <f ca="1">IF(CELL("format",F1145)="G",IF(ABS(F1145-G1145) &lt;= ABS(F1145*B$3),TRUE,FALSE),IF(F1145=G1145,TRUE,FALSE))</f>
        <v>1</v>
      </c>
      <c r="E1145" s="5">
        <f>ABS(F1145-G1145)/ABS(F1145)</f>
        <v>0</v>
      </c>
      <c r="F1145">
        <v>286.20999999999998</v>
      </c>
      <c r="G1145">
        <v>286.20999999999998</v>
      </c>
      <c r="H1145">
        <v>286.20999999999998</v>
      </c>
      <c r="J1145" s="5">
        <f>ABS(F1145-G1145)/ABS(F1145)</f>
        <v>0</v>
      </c>
      <c r="K1145" s="5">
        <f>ABS(G1145-H1145)/ABS(G1145)</f>
        <v>0</v>
      </c>
    </row>
    <row r="1146" spans="3:11" x14ac:dyDescent="0.2">
      <c r="C1146" t="s">
        <v>2289</v>
      </c>
      <c r="D1146" t="b">
        <f ca="1">IF(CELL("format",F1146)="G",IF(ABS(F1146-G1146) &lt;= ABS(F1146*B$3),TRUE,FALSE),IF(F1146=G1146,TRUE,FALSE))</f>
        <v>1</v>
      </c>
      <c r="E1146" s="5">
        <f>ABS(F1146-G1146)/ABS(F1146)</f>
        <v>0</v>
      </c>
      <c r="F1146">
        <v>285.47000000000003</v>
      </c>
      <c r="G1146">
        <v>285.47000000000003</v>
      </c>
      <c r="H1146">
        <v>285.47000000000003</v>
      </c>
      <c r="J1146" s="5">
        <f>ABS(F1146-G1146)/ABS(F1146)</f>
        <v>0</v>
      </c>
      <c r="K1146" s="5">
        <f>ABS(G1146-H1146)/ABS(G1146)</f>
        <v>0</v>
      </c>
    </row>
    <row r="1147" spans="3:11" x14ac:dyDescent="0.2">
      <c r="C1147" t="s">
        <v>2290</v>
      </c>
      <c r="D1147" t="b">
        <f ca="1">IF(CELL("format",F1147)="G",IF(ABS(F1147-G1147) &lt;= ABS(F1147*B$3),TRUE,FALSE),IF(F1147=G1147,TRUE,FALSE))</f>
        <v>1</v>
      </c>
      <c r="E1147" s="5">
        <f>ABS(F1147-G1147)/ABS(F1147)</f>
        <v>0</v>
      </c>
      <c r="F1147">
        <v>242.66</v>
      </c>
      <c r="G1147">
        <v>242.66</v>
      </c>
      <c r="H1147">
        <v>242.66</v>
      </c>
      <c r="J1147" s="5">
        <f>ABS(F1147-G1147)/ABS(F1147)</f>
        <v>0</v>
      </c>
      <c r="K1147" s="5">
        <f>ABS(G1147-H1147)/ABS(G1147)</f>
        <v>0</v>
      </c>
    </row>
    <row r="1148" spans="3:11" x14ac:dyDescent="0.2">
      <c r="C1148" t="s">
        <v>2291</v>
      </c>
      <c r="D1148" t="b">
        <f ca="1">IF(CELL("format",F1148)="G",IF(ABS(F1148-G1148) &lt;= ABS(F1148*B$3),TRUE,FALSE),IF(F1148=G1148,TRUE,FALSE))</f>
        <v>1</v>
      </c>
      <c r="E1148" s="5">
        <f>ABS(F1148-G1148)/ABS(F1148)</f>
        <v>0</v>
      </c>
      <c r="F1148">
        <v>168.67</v>
      </c>
      <c r="G1148">
        <v>168.67</v>
      </c>
      <c r="H1148">
        <v>168.67</v>
      </c>
      <c r="J1148" s="5">
        <f>ABS(F1148-G1148)/ABS(F1148)</f>
        <v>0</v>
      </c>
      <c r="K1148" s="5">
        <f>ABS(G1148-H1148)/ABS(G1148)</f>
        <v>0</v>
      </c>
    </row>
    <row r="1149" spans="3:11" x14ac:dyDescent="0.2">
      <c r="C1149" t="s">
        <v>2292</v>
      </c>
      <c r="D1149" t="b">
        <f ca="1">IF(CELL("format",F1149)="G",IF(ABS(F1149-G1149) &lt;= ABS(F1149*B$3),TRUE,FALSE),IF(F1149=G1149,TRUE,FALSE))</f>
        <v>1</v>
      </c>
      <c r="E1149" s="5">
        <f>ABS(F1149-G1149)/ABS(F1149)</f>
        <v>0</v>
      </c>
      <c r="F1149">
        <v>94.97</v>
      </c>
      <c r="G1149">
        <v>94.97</v>
      </c>
      <c r="H1149">
        <v>94.97</v>
      </c>
      <c r="J1149" s="5">
        <f>ABS(F1149-G1149)/ABS(F1149)</f>
        <v>0</v>
      </c>
      <c r="K1149" s="5">
        <f>ABS(G1149-H1149)/ABS(G1149)</f>
        <v>0</v>
      </c>
    </row>
    <row r="1150" spans="3:11" x14ac:dyDescent="0.2">
      <c r="C1150" t="s">
        <v>2293</v>
      </c>
      <c r="D1150" t="b">
        <f ca="1">IF(CELL("format",F1150)="G",IF(ABS(F1150-G1150) &lt;= ABS(F1150*B$3),TRUE,FALSE),IF(F1150=G1150,TRUE,FALSE))</f>
        <v>1</v>
      </c>
      <c r="E1150" s="5">
        <f>ABS(F1150-G1150)/ABS(F1150)</f>
        <v>0</v>
      </c>
      <c r="F1150">
        <v>61.39</v>
      </c>
      <c r="G1150">
        <v>61.39</v>
      </c>
      <c r="H1150">
        <v>61.39</v>
      </c>
      <c r="J1150" s="5">
        <f>ABS(F1150-G1150)/ABS(F1150)</f>
        <v>0</v>
      </c>
      <c r="K1150" s="5">
        <f>ABS(G1150-H1150)/ABS(G1150)</f>
        <v>0</v>
      </c>
    </row>
    <row r="1151" spans="3:11" x14ac:dyDescent="0.2">
      <c r="C1151" t="s">
        <v>2294</v>
      </c>
      <c r="D1151" t="b">
        <f ca="1">IF(CELL("format",F1151)="G",IF(ABS(F1151-G1151) &lt;= ABS(F1151*B$3),TRUE,FALSE),IF(F1151=G1151,TRUE,FALSE))</f>
        <v>1</v>
      </c>
      <c r="E1151" s="5">
        <f>ABS(F1151-G1151)/ABS(F1151)</f>
        <v>0</v>
      </c>
      <c r="F1151">
        <v>41.27</v>
      </c>
      <c r="G1151">
        <v>41.27</v>
      </c>
      <c r="H1151">
        <v>41.27</v>
      </c>
      <c r="J1151" s="5">
        <f>ABS(F1151-G1151)/ABS(F1151)</f>
        <v>0</v>
      </c>
      <c r="K1151" s="5">
        <f>ABS(G1151-H1151)/ABS(G1151)</f>
        <v>0</v>
      </c>
    </row>
    <row r="1152" spans="3:11" x14ac:dyDescent="0.2">
      <c r="C1152" t="s">
        <v>2295</v>
      </c>
      <c r="D1152" t="b">
        <f ca="1">IF(CELL("format",F1152)="G",IF(ABS(F1152-G1152) &lt;= ABS(F1152*B$3),TRUE,FALSE),IF(F1152=G1152,TRUE,FALSE))</f>
        <v>1</v>
      </c>
      <c r="E1152" s="5">
        <f>ABS(F1152-G1152)/ABS(F1152)</f>
        <v>0</v>
      </c>
      <c r="F1152">
        <v>19.78</v>
      </c>
      <c r="G1152">
        <v>19.78</v>
      </c>
      <c r="H1152">
        <v>19.78</v>
      </c>
      <c r="J1152" s="5">
        <f>ABS(F1152-G1152)/ABS(F1152)</f>
        <v>0</v>
      </c>
      <c r="K1152" s="5">
        <f>ABS(G1152-H1152)/ABS(G1152)</f>
        <v>0</v>
      </c>
    </row>
    <row r="1153" spans="3:11" x14ac:dyDescent="0.2">
      <c r="C1153" t="s">
        <v>2296</v>
      </c>
      <c r="D1153" t="b">
        <f ca="1">IF(CELL("format",F1153)="G",IF(ABS(F1153-G1153) &lt;= ABS(F1153*B$3),TRUE,FALSE),IF(F1153=G1153,TRUE,FALSE))</f>
        <v>1</v>
      </c>
      <c r="E1153" s="5">
        <f>ABS(F1153-G1153)/ABS(F1153)</f>
        <v>0</v>
      </c>
      <c r="F1153">
        <v>1.77</v>
      </c>
      <c r="G1153">
        <v>1.77</v>
      </c>
      <c r="H1153">
        <v>1.77</v>
      </c>
      <c r="J1153" s="5">
        <f>ABS(F1153-G1153)/ABS(F1153)</f>
        <v>0</v>
      </c>
      <c r="K1153" s="5">
        <f>ABS(G1153-H1153)/ABS(G1153)</f>
        <v>0</v>
      </c>
    </row>
    <row r="1154" spans="3:11" x14ac:dyDescent="0.2">
      <c r="C1154" t="s">
        <v>2297</v>
      </c>
      <c r="D1154" t="b">
        <f ca="1">IF(CELL("format",F1154)="G",IF(ABS(F1154-G1154) &lt;= ABS(F1154*B$3),TRUE,FALSE),IF(F1154=G1154,TRUE,FALSE))</f>
        <v>1</v>
      </c>
      <c r="E1154" s="5" t="e">
        <f>ABS(F1154-G1154)/ABS(F1154)</f>
        <v>#DIV/0!</v>
      </c>
      <c r="F1154">
        <v>0</v>
      </c>
      <c r="G1154">
        <v>0</v>
      </c>
      <c r="H1154">
        <v>0</v>
      </c>
      <c r="J1154" s="5" t="e">
        <f>ABS(F1154-G1154)/ABS(F1154)</f>
        <v>#DIV/0!</v>
      </c>
      <c r="K1154" s="5" t="e">
        <f>ABS(G1154-H1154)/ABS(G1154)</f>
        <v>#DIV/0!</v>
      </c>
    </row>
    <row r="1155" spans="3:11" x14ac:dyDescent="0.2">
      <c r="C1155" t="s">
        <v>2298</v>
      </c>
      <c r="D1155" t="b">
        <f ca="1">IF(CELL("format",F1155)="G",IF(ABS(F1155-G1155) &lt;= ABS(F1155*B$3),TRUE,FALSE),IF(F1155=G1155,TRUE,FALSE))</f>
        <v>1</v>
      </c>
      <c r="E1155" s="5" t="e">
        <f>ABS(F1155-G1155)/ABS(F1155)</f>
        <v>#DIV/0!</v>
      </c>
      <c r="F1155">
        <v>0</v>
      </c>
      <c r="G1155">
        <v>0</v>
      </c>
      <c r="H1155">
        <v>0</v>
      </c>
      <c r="J1155" s="5" t="e">
        <f>ABS(F1155-G1155)/ABS(F1155)</f>
        <v>#DIV/0!</v>
      </c>
      <c r="K1155" s="5" t="e">
        <f>ABS(G1155-H1155)/ABS(G1155)</f>
        <v>#DIV/0!</v>
      </c>
    </row>
    <row r="1156" spans="3:11" x14ac:dyDescent="0.2">
      <c r="C1156" t="s">
        <v>2299</v>
      </c>
      <c r="D1156" t="b">
        <f ca="1">IF(CELL("format",F1156)="G",IF(ABS(F1156-G1156) &lt;= ABS(F1156*B$3),TRUE,FALSE),IF(F1156=G1156,TRUE,FALSE))</f>
        <v>1</v>
      </c>
      <c r="E1156" s="5" t="e">
        <f>ABS(F1156-G1156)/ABS(F1156)</f>
        <v>#DIV/0!</v>
      </c>
      <c r="F1156">
        <v>0</v>
      </c>
      <c r="G1156">
        <v>0</v>
      </c>
      <c r="H1156">
        <v>0</v>
      </c>
      <c r="J1156" s="5" t="e">
        <f>ABS(F1156-G1156)/ABS(F1156)</f>
        <v>#DIV/0!</v>
      </c>
      <c r="K1156" s="5" t="e">
        <f>ABS(G1156-H1156)/ABS(G1156)</f>
        <v>#DIV/0!</v>
      </c>
    </row>
    <row r="1157" spans="3:11" x14ac:dyDescent="0.2">
      <c r="C1157" t="s">
        <v>2300</v>
      </c>
      <c r="D1157" t="b">
        <f ca="1">IF(CELL("format",F1157)="G",IF(ABS(F1157-G1157) &lt;= ABS(F1157*B$3),TRUE,FALSE),IF(F1157=G1157,TRUE,FALSE))</f>
        <v>1</v>
      </c>
      <c r="E1157" s="5" t="e">
        <f>ABS(F1157-G1157)/ABS(F1157)</f>
        <v>#DIV/0!</v>
      </c>
      <c r="F1157">
        <v>0</v>
      </c>
      <c r="G1157">
        <v>0</v>
      </c>
      <c r="H1157">
        <v>0</v>
      </c>
      <c r="J1157" s="5" t="e">
        <f>ABS(F1157-G1157)/ABS(F1157)</f>
        <v>#DIV/0!</v>
      </c>
      <c r="K1157" s="5" t="e">
        <f>ABS(G1157-H1157)/ABS(G1157)</f>
        <v>#DIV/0!</v>
      </c>
    </row>
    <row r="1158" spans="3:11" x14ac:dyDescent="0.2">
      <c r="C1158" t="s">
        <v>2301</v>
      </c>
      <c r="D1158" t="b">
        <f ca="1">IF(CELL("format",F1158)="G",IF(ABS(F1158-G1158) &lt;= ABS(F1158*B$3),TRUE,FALSE),IF(F1158=G1158,TRUE,FALSE))</f>
        <v>1</v>
      </c>
      <c r="E1158" s="5">
        <f>ABS(F1158-G1158)/ABS(F1158)</f>
        <v>0</v>
      </c>
      <c r="F1158">
        <v>2.15</v>
      </c>
      <c r="G1158">
        <v>2.15</v>
      </c>
      <c r="H1158">
        <v>2.15</v>
      </c>
      <c r="J1158" s="5">
        <f>ABS(F1158-G1158)/ABS(F1158)</f>
        <v>0</v>
      </c>
      <c r="K1158" s="5">
        <f>ABS(G1158-H1158)/ABS(G1158)</f>
        <v>0</v>
      </c>
    </row>
    <row r="1159" spans="3:11" x14ac:dyDescent="0.2">
      <c r="C1159" t="s">
        <v>2302</v>
      </c>
      <c r="D1159" t="b">
        <f ca="1">IF(CELL("format",F1159)="G",IF(ABS(F1159-G1159) &lt;= ABS(F1159*B$3),TRUE,FALSE),IF(F1159=G1159,TRUE,FALSE))</f>
        <v>1</v>
      </c>
      <c r="E1159" s="5">
        <f>ABS(F1159-G1159)/ABS(F1159)</f>
        <v>0</v>
      </c>
      <c r="F1159">
        <v>2.2200000000000002</v>
      </c>
      <c r="G1159">
        <v>2.2200000000000002</v>
      </c>
      <c r="H1159">
        <v>2.2200000000000002</v>
      </c>
      <c r="J1159" s="5">
        <f>ABS(F1159-G1159)/ABS(F1159)</f>
        <v>0</v>
      </c>
      <c r="K1159" s="5">
        <f>ABS(G1159-H1159)/ABS(G1159)</f>
        <v>0</v>
      </c>
    </row>
    <row r="1160" spans="3:11" x14ac:dyDescent="0.2">
      <c r="C1160" t="s">
        <v>2303</v>
      </c>
      <c r="D1160" t="b">
        <f ca="1">IF(CELL("format",F1160)="G",IF(ABS(F1160-G1160) &lt;= ABS(F1160*B$3),TRUE,FALSE),IF(F1160=G1160,TRUE,FALSE))</f>
        <v>1</v>
      </c>
      <c r="E1160" s="5">
        <f>ABS(F1160-G1160)/ABS(F1160)</f>
        <v>0</v>
      </c>
      <c r="F1160">
        <v>2.2799999999999998</v>
      </c>
      <c r="G1160">
        <v>2.2799999999999998</v>
      </c>
      <c r="H1160">
        <v>2.2799999999999998</v>
      </c>
      <c r="J1160" s="5">
        <f>ABS(F1160-G1160)/ABS(F1160)</f>
        <v>0</v>
      </c>
      <c r="K1160" s="5">
        <f>ABS(G1160-H1160)/ABS(G1160)</f>
        <v>0</v>
      </c>
    </row>
    <row r="1161" spans="3:11" x14ac:dyDescent="0.2">
      <c r="C1161" t="s">
        <v>2304</v>
      </c>
      <c r="D1161" t="b">
        <f ca="1">IF(CELL("format",F1161)="G",IF(ABS(F1161-G1161) &lt;= ABS(F1161*B$3),TRUE,FALSE),IF(F1161=G1161,TRUE,FALSE))</f>
        <v>1</v>
      </c>
      <c r="E1161" s="5">
        <f>ABS(F1161-G1161)/ABS(F1161)</f>
        <v>0</v>
      </c>
      <c r="F1161">
        <v>2.33</v>
      </c>
      <c r="G1161">
        <v>2.33</v>
      </c>
      <c r="H1161">
        <v>2.33</v>
      </c>
      <c r="J1161" s="5">
        <f>ABS(F1161-G1161)/ABS(F1161)</f>
        <v>0</v>
      </c>
      <c r="K1161" s="5">
        <f>ABS(G1161-H1161)/ABS(G1161)</f>
        <v>0</v>
      </c>
    </row>
    <row r="1162" spans="3:11" x14ac:dyDescent="0.2">
      <c r="C1162" t="s">
        <v>2305</v>
      </c>
      <c r="D1162" t="b">
        <f ca="1">IF(CELL("format",F1162)="G",IF(ABS(F1162-G1162) &lt;= ABS(F1162*B$3),TRUE,FALSE),IF(F1162=G1162,TRUE,FALSE))</f>
        <v>1</v>
      </c>
      <c r="E1162" s="5">
        <f>ABS(F1162-G1162)/ABS(F1162)</f>
        <v>0</v>
      </c>
      <c r="F1162">
        <v>2.35</v>
      </c>
      <c r="G1162">
        <v>2.35</v>
      </c>
      <c r="H1162">
        <v>2.35</v>
      </c>
      <c r="J1162" s="5">
        <f>ABS(F1162-G1162)/ABS(F1162)</f>
        <v>0</v>
      </c>
      <c r="K1162" s="5">
        <f>ABS(G1162-H1162)/ABS(G1162)</f>
        <v>0</v>
      </c>
    </row>
    <row r="1163" spans="3:11" x14ac:dyDescent="0.2">
      <c r="C1163" t="s">
        <v>2306</v>
      </c>
      <c r="D1163" t="b">
        <f ca="1">IF(CELL("format",F1163)="G",IF(ABS(F1163-G1163) &lt;= ABS(F1163*B$3),TRUE,FALSE),IF(F1163=G1163,TRUE,FALSE))</f>
        <v>1</v>
      </c>
      <c r="E1163" s="5">
        <f>ABS(F1163-G1163)/ABS(F1163)</f>
        <v>0</v>
      </c>
      <c r="F1163">
        <v>2.35</v>
      </c>
      <c r="G1163">
        <v>2.35</v>
      </c>
      <c r="H1163">
        <v>2.35</v>
      </c>
      <c r="J1163" s="5">
        <f>ABS(F1163-G1163)/ABS(F1163)</f>
        <v>0</v>
      </c>
      <c r="K1163" s="5">
        <f>ABS(G1163-H1163)/ABS(G1163)</f>
        <v>0</v>
      </c>
    </row>
    <row r="1164" spans="3:11" x14ac:dyDescent="0.2">
      <c r="C1164" t="s">
        <v>2307</v>
      </c>
      <c r="D1164" t="b">
        <f ca="1">IF(CELL("format",F1164)="G",IF(ABS(F1164-G1164) &lt;= ABS(F1164*B$3),TRUE,FALSE),IF(F1164=G1164,TRUE,FALSE))</f>
        <v>1</v>
      </c>
      <c r="E1164" s="5">
        <f>ABS(F1164-G1164)/ABS(F1164)</f>
        <v>0</v>
      </c>
      <c r="F1164">
        <v>2.36</v>
      </c>
      <c r="G1164">
        <v>2.36</v>
      </c>
      <c r="H1164">
        <v>2.36</v>
      </c>
      <c r="J1164" s="5">
        <f>ABS(F1164-G1164)/ABS(F1164)</f>
        <v>0</v>
      </c>
      <c r="K1164" s="5">
        <f>ABS(G1164-H1164)/ABS(G1164)</f>
        <v>0</v>
      </c>
    </row>
    <row r="1165" spans="3:11" x14ac:dyDescent="0.2">
      <c r="C1165" t="s">
        <v>2308</v>
      </c>
      <c r="D1165" t="b">
        <f ca="1">IF(CELL("format",F1165)="G",IF(ABS(F1165-G1165) &lt;= ABS(F1165*B$3),TRUE,FALSE),IF(F1165=G1165,TRUE,FALSE))</f>
        <v>1</v>
      </c>
      <c r="E1165" s="5">
        <f>ABS(F1165-G1165)/ABS(F1165)</f>
        <v>0</v>
      </c>
      <c r="F1165">
        <v>1.88</v>
      </c>
      <c r="G1165">
        <v>1.88</v>
      </c>
      <c r="H1165">
        <v>1.88</v>
      </c>
      <c r="J1165" s="5">
        <f>ABS(F1165-G1165)/ABS(F1165)</f>
        <v>0</v>
      </c>
      <c r="K1165" s="5">
        <f>ABS(G1165-H1165)/ABS(G1165)</f>
        <v>0</v>
      </c>
    </row>
    <row r="1166" spans="3:11" x14ac:dyDescent="0.2">
      <c r="C1166" t="s">
        <v>2309</v>
      </c>
      <c r="D1166" t="b">
        <f ca="1">IF(CELL("format",F1166)="G",IF(ABS(F1166-G1166) &lt;= ABS(F1166*B$3),TRUE,FALSE),IF(F1166=G1166,TRUE,FALSE))</f>
        <v>1</v>
      </c>
      <c r="E1166" s="5">
        <f>ABS(F1166-G1166)/ABS(F1166)</f>
        <v>0</v>
      </c>
      <c r="F1166">
        <v>0.48</v>
      </c>
      <c r="G1166">
        <v>0.48</v>
      </c>
      <c r="H1166">
        <v>0.48</v>
      </c>
      <c r="J1166" s="5">
        <f>ABS(F1166-G1166)/ABS(F1166)</f>
        <v>0</v>
      </c>
      <c r="K1166" s="5">
        <f>ABS(G1166-H1166)/ABS(G1166)</f>
        <v>0</v>
      </c>
    </row>
    <row r="1167" spans="3:11" x14ac:dyDescent="0.2">
      <c r="C1167" t="s">
        <v>2310</v>
      </c>
      <c r="D1167" t="b">
        <f ca="1">IF(CELL("format",F1167)="G",IF(ABS(F1167-G1167) &lt;= ABS(F1167*B$3),TRUE,FALSE),IF(F1167=G1167,TRUE,FALSE))</f>
        <v>1</v>
      </c>
      <c r="E1167" s="5" t="e">
        <f>ABS(F1167-G1167)/ABS(F1167)</f>
        <v>#DIV/0!</v>
      </c>
      <c r="F1167">
        <v>0</v>
      </c>
      <c r="G1167">
        <v>0</v>
      </c>
      <c r="H1167">
        <v>0</v>
      </c>
      <c r="J1167" s="5" t="e">
        <f>ABS(F1167-G1167)/ABS(F1167)</f>
        <v>#DIV/0!</v>
      </c>
      <c r="K1167" s="5" t="e">
        <f>ABS(G1167-H1167)/ABS(G1167)</f>
        <v>#DIV/0!</v>
      </c>
    </row>
    <row r="1168" spans="3:11" x14ac:dyDescent="0.2">
      <c r="C1168" t="s">
        <v>2311</v>
      </c>
      <c r="D1168" t="b">
        <f ca="1">IF(CELL("format",F1168)="G",IF(ABS(F1168-G1168) &lt;= ABS(F1168*B$3),TRUE,FALSE),IF(F1168=G1168,TRUE,FALSE))</f>
        <v>1</v>
      </c>
      <c r="E1168" s="5">
        <f>ABS(F1168-G1168)/ABS(F1168)</f>
        <v>0</v>
      </c>
      <c r="F1168">
        <v>-1.35</v>
      </c>
      <c r="G1168">
        <v>-1.35</v>
      </c>
      <c r="H1168">
        <v>-1.35</v>
      </c>
      <c r="J1168" s="5">
        <f>ABS(F1168-G1168)/ABS(F1168)</f>
        <v>0</v>
      </c>
      <c r="K1168" s="5">
        <f>ABS(G1168-H1168)/ABS(G1168)</f>
        <v>0</v>
      </c>
    </row>
    <row r="1169" spans="3:11" x14ac:dyDescent="0.2">
      <c r="C1169" t="s">
        <v>2312</v>
      </c>
      <c r="D1169" t="b">
        <f ca="1">IF(CELL("format",F1169)="G",IF(ABS(F1169-G1169) &lt;= ABS(F1169*B$3),TRUE,FALSE),IF(F1169=G1169,TRUE,FALSE))</f>
        <v>1</v>
      </c>
      <c r="E1169" s="5">
        <f>ABS(F1169-G1169)/ABS(F1169)</f>
        <v>0</v>
      </c>
      <c r="F1169">
        <v>-3.48</v>
      </c>
      <c r="G1169">
        <v>-3.48</v>
      </c>
      <c r="H1169">
        <v>-3.48</v>
      </c>
      <c r="J1169" s="5">
        <f>ABS(F1169-G1169)/ABS(F1169)</f>
        <v>0</v>
      </c>
      <c r="K1169" s="5">
        <f>ABS(G1169-H1169)/ABS(G1169)</f>
        <v>0</v>
      </c>
    </row>
    <row r="1170" spans="3:11" x14ac:dyDescent="0.2">
      <c r="C1170" t="s">
        <v>2313</v>
      </c>
      <c r="D1170" t="b">
        <f ca="1">IF(CELL("format",F1170)="G",IF(ABS(F1170-G1170) &lt;= ABS(F1170*B$3),TRUE,FALSE),IF(F1170=G1170,TRUE,FALSE))</f>
        <v>1</v>
      </c>
      <c r="E1170" s="5">
        <f>ABS(F1170-G1170)/ABS(F1170)</f>
        <v>0</v>
      </c>
      <c r="F1170">
        <v>-4.71</v>
      </c>
      <c r="G1170">
        <v>-4.71</v>
      </c>
      <c r="H1170">
        <v>-4.71</v>
      </c>
      <c r="J1170" s="5">
        <f>ABS(F1170-G1170)/ABS(F1170)</f>
        <v>0</v>
      </c>
      <c r="K1170" s="5">
        <f>ABS(G1170-H1170)/ABS(G1170)</f>
        <v>0</v>
      </c>
    </row>
    <row r="1171" spans="3:11" x14ac:dyDescent="0.2">
      <c r="C1171" t="s">
        <v>2314</v>
      </c>
      <c r="D1171" t="b">
        <f ca="1">IF(CELL("format",F1171)="G",IF(ABS(F1171-G1171) &lt;= ABS(F1171*B$3),TRUE,FALSE),IF(F1171=G1171,TRUE,FALSE))</f>
        <v>1</v>
      </c>
      <c r="E1171" s="5">
        <f>ABS(F1171-G1171)/ABS(F1171)</f>
        <v>0</v>
      </c>
      <c r="F1171">
        <v>-4.95</v>
      </c>
      <c r="G1171">
        <v>-4.95</v>
      </c>
      <c r="H1171">
        <v>-4.95</v>
      </c>
      <c r="J1171" s="5">
        <f>ABS(F1171-G1171)/ABS(F1171)</f>
        <v>0</v>
      </c>
      <c r="K1171" s="5">
        <f>ABS(G1171-H1171)/ABS(G1171)</f>
        <v>0</v>
      </c>
    </row>
    <row r="1172" spans="3:11" x14ac:dyDescent="0.2">
      <c r="C1172" t="s">
        <v>2315</v>
      </c>
      <c r="D1172" t="b">
        <f ca="1">IF(CELL("format",F1172)="G",IF(ABS(F1172-G1172) &lt;= ABS(F1172*B$3),TRUE,FALSE),IF(F1172=G1172,TRUE,FALSE))</f>
        <v>1</v>
      </c>
      <c r="E1172" s="5">
        <f>ABS(F1172-G1172)/ABS(F1172)</f>
        <v>0</v>
      </c>
      <c r="F1172">
        <v>-4.18</v>
      </c>
      <c r="G1172">
        <v>-4.18</v>
      </c>
      <c r="H1172">
        <v>-4.18</v>
      </c>
      <c r="J1172" s="5">
        <f>ABS(F1172-G1172)/ABS(F1172)</f>
        <v>0</v>
      </c>
      <c r="K1172" s="5">
        <f>ABS(G1172-H1172)/ABS(G1172)</f>
        <v>0</v>
      </c>
    </row>
    <row r="1173" spans="3:11" x14ac:dyDescent="0.2">
      <c r="C1173" t="s">
        <v>2316</v>
      </c>
      <c r="D1173" t="b">
        <f ca="1">IF(CELL("format",F1173)="G",IF(ABS(F1173-G1173) &lt;= ABS(F1173*B$3),TRUE,FALSE),IF(F1173=G1173,TRUE,FALSE))</f>
        <v>1</v>
      </c>
      <c r="E1173" s="5">
        <f>ABS(F1173-G1173)/ABS(F1173)</f>
        <v>0</v>
      </c>
      <c r="F1173">
        <v>-2.93</v>
      </c>
      <c r="G1173">
        <v>-2.93</v>
      </c>
      <c r="H1173">
        <v>-2.93</v>
      </c>
      <c r="J1173" s="5">
        <f>ABS(F1173-G1173)/ABS(F1173)</f>
        <v>0</v>
      </c>
      <c r="K1173" s="5">
        <f>ABS(G1173-H1173)/ABS(G1173)</f>
        <v>0</v>
      </c>
    </row>
    <row r="1174" spans="3:11" x14ac:dyDescent="0.2">
      <c r="C1174" t="s">
        <v>2317</v>
      </c>
      <c r="D1174" t="b">
        <f ca="1">IF(CELL("format",F1174)="G",IF(ABS(F1174-G1174) &lt;= ABS(F1174*B$3),TRUE,FALSE),IF(F1174=G1174,TRUE,FALSE))</f>
        <v>1</v>
      </c>
      <c r="E1174" s="5">
        <f>ABS(F1174-G1174)/ABS(F1174)</f>
        <v>0</v>
      </c>
      <c r="F1174">
        <v>-1.24</v>
      </c>
      <c r="G1174">
        <v>-1.24</v>
      </c>
      <c r="H1174">
        <v>-1.24</v>
      </c>
      <c r="J1174" s="5">
        <f>ABS(F1174-G1174)/ABS(F1174)</f>
        <v>0</v>
      </c>
      <c r="K1174" s="5">
        <f>ABS(G1174-H1174)/ABS(G1174)</f>
        <v>0</v>
      </c>
    </row>
    <row r="1175" spans="3:11" x14ac:dyDescent="0.2">
      <c r="C1175" t="s">
        <v>2318</v>
      </c>
      <c r="D1175" t="b">
        <f ca="1">IF(CELL("format",F1175)="G",IF(ABS(F1175-G1175) &lt;= ABS(F1175*B$3),TRUE,FALSE),IF(F1175=G1175,TRUE,FALSE))</f>
        <v>1</v>
      </c>
      <c r="E1175" s="5">
        <f>ABS(F1175-G1175)/ABS(F1175)</f>
        <v>0</v>
      </c>
      <c r="F1175">
        <v>-0.02</v>
      </c>
      <c r="G1175">
        <v>-0.02</v>
      </c>
      <c r="H1175">
        <v>-0.02</v>
      </c>
      <c r="J1175" s="5">
        <f>ABS(F1175-G1175)/ABS(F1175)</f>
        <v>0</v>
      </c>
      <c r="K1175" s="5">
        <f>ABS(G1175-H1175)/ABS(G1175)</f>
        <v>0</v>
      </c>
    </row>
    <row r="1176" spans="3:11" x14ac:dyDescent="0.2">
      <c r="C1176" t="s">
        <v>2319</v>
      </c>
      <c r="D1176" t="b">
        <f ca="1">IF(CELL("format",F1176)="G",IF(ABS(F1176-G1176) &lt;= ABS(F1176*B$3),TRUE,FALSE),IF(F1176=G1176,TRUE,FALSE))</f>
        <v>1</v>
      </c>
      <c r="E1176" s="5">
        <f>ABS(F1176-G1176)/ABS(F1176)</f>
        <v>0</v>
      </c>
      <c r="F1176">
        <v>0.09</v>
      </c>
      <c r="G1176">
        <v>0.09</v>
      </c>
      <c r="H1176">
        <v>0.09</v>
      </c>
      <c r="J1176" s="5">
        <f>ABS(F1176-G1176)/ABS(F1176)</f>
        <v>0</v>
      </c>
      <c r="K1176" s="5">
        <f>ABS(G1176-H1176)/ABS(G1176)</f>
        <v>0</v>
      </c>
    </row>
    <row r="1177" spans="3:11" x14ac:dyDescent="0.2">
      <c r="C1177" t="s">
        <v>2320</v>
      </c>
      <c r="D1177" t="b">
        <f ca="1">IF(CELL("format",F1177)="G",IF(ABS(F1177-G1177) &lt;= ABS(F1177*B$3),TRUE,FALSE),IF(F1177=G1177,TRUE,FALSE))</f>
        <v>1</v>
      </c>
      <c r="E1177" s="5">
        <f>ABS(F1177-G1177)/ABS(F1177)</f>
        <v>0</v>
      </c>
      <c r="F1177">
        <v>0.98</v>
      </c>
      <c r="G1177">
        <v>0.98</v>
      </c>
      <c r="H1177">
        <v>0.98</v>
      </c>
      <c r="J1177" s="5">
        <f>ABS(F1177-G1177)/ABS(F1177)</f>
        <v>0</v>
      </c>
      <c r="K1177" s="5">
        <f>ABS(G1177-H1177)/ABS(G1177)</f>
        <v>0</v>
      </c>
    </row>
    <row r="1178" spans="3:11" x14ac:dyDescent="0.2">
      <c r="C1178" t="s">
        <v>2321</v>
      </c>
      <c r="D1178" t="b">
        <f ca="1">IF(CELL("format",F1178)="G",IF(ABS(F1178-G1178) &lt;= ABS(F1178*B$3),TRUE,FALSE),IF(F1178=G1178,TRUE,FALSE))</f>
        <v>1</v>
      </c>
      <c r="E1178" s="5">
        <f>ABS(F1178-G1178)/ABS(F1178)</f>
        <v>0</v>
      </c>
      <c r="F1178">
        <v>1.64</v>
      </c>
      <c r="G1178">
        <v>1.64</v>
      </c>
      <c r="H1178">
        <v>1.64</v>
      </c>
      <c r="J1178" s="5">
        <f>ABS(F1178-G1178)/ABS(F1178)</f>
        <v>0</v>
      </c>
      <c r="K1178" s="5">
        <f>ABS(G1178-H1178)/ABS(G1178)</f>
        <v>0</v>
      </c>
    </row>
    <row r="1179" spans="3:11" x14ac:dyDescent="0.2">
      <c r="C1179" t="s">
        <v>2322</v>
      </c>
      <c r="D1179" t="b">
        <f ca="1">IF(CELL("format",F1179)="G",IF(ABS(F1179-G1179) &lt;= ABS(F1179*B$3),TRUE,FALSE),IF(F1179=G1179,TRUE,FALSE))</f>
        <v>1</v>
      </c>
      <c r="E1179" s="5">
        <f>ABS(F1179-G1179)/ABS(F1179)</f>
        <v>0</v>
      </c>
      <c r="F1179">
        <v>2.06</v>
      </c>
      <c r="G1179">
        <v>2.06</v>
      </c>
      <c r="H1179">
        <v>2.06</v>
      </c>
      <c r="J1179" s="5">
        <f>ABS(F1179-G1179)/ABS(F1179)</f>
        <v>0</v>
      </c>
      <c r="K1179" s="5">
        <f>ABS(G1179-H1179)/ABS(G1179)</f>
        <v>0</v>
      </c>
    </row>
    <row r="1180" spans="3:11" x14ac:dyDescent="0.2">
      <c r="C1180" t="s">
        <v>2323</v>
      </c>
      <c r="D1180" t="b">
        <f ca="1">IF(CELL("format",F1180)="G",IF(ABS(F1180-G1180) &lt;= ABS(F1180*B$3),TRUE,FALSE),IF(F1180=G1180,TRUE,FALSE))</f>
        <v>1</v>
      </c>
      <c r="E1180" s="5">
        <f>ABS(F1180-G1180)/ABS(F1180)</f>
        <v>0</v>
      </c>
      <c r="F1180">
        <v>2.3199999999999998</v>
      </c>
      <c r="G1180">
        <v>2.3199999999999998</v>
      </c>
      <c r="H1180">
        <v>2.3199999999999998</v>
      </c>
      <c r="J1180" s="5">
        <f>ABS(F1180-G1180)/ABS(F1180)</f>
        <v>0</v>
      </c>
      <c r="K1180" s="5">
        <f>ABS(G1180-H1180)/ABS(G1180)</f>
        <v>0</v>
      </c>
    </row>
    <row r="1181" spans="3:11" x14ac:dyDescent="0.2">
      <c r="C1181" t="s">
        <v>2324</v>
      </c>
      <c r="D1181" t="b">
        <f ca="1">IF(CELL("format",F1181)="G",IF(ABS(F1181-G1181) &lt;= ABS(F1181*B$3),TRUE,FALSE),IF(F1181=G1181,TRUE,FALSE))</f>
        <v>1</v>
      </c>
      <c r="E1181" s="5">
        <f>ABS(F1181-G1181)/ABS(F1181)</f>
        <v>0</v>
      </c>
      <c r="F1181">
        <v>2.44</v>
      </c>
      <c r="G1181">
        <v>2.44</v>
      </c>
      <c r="H1181">
        <v>2.44</v>
      </c>
      <c r="J1181" s="5">
        <f>ABS(F1181-G1181)/ABS(F1181)</f>
        <v>0</v>
      </c>
      <c r="K1181" s="5">
        <f>ABS(G1181-H1181)/ABS(G1181)</f>
        <v>0</v>
      </c>
    </row>
    <row r="1182" spans="3:11" x14ac:dyDescent="0.2">
      <c r="C1182" t="s">
        <v>2301</v>
      </c>
      <c r="D1182" t="b">
        <f ca="1">IF(CELL("format",F1182)="G",IF(ABS(F1182-G1182) &lt;= ABS(F1182*B$3),TRUE,FALSE),IF(F1182=G1182,TRUE,FALSE))</f>
        <v>1</v>
      </c>
      <c r="E1182" s="5">
        <f>ABS(F1182-G1182)/ABS(F1182)</f>
        <v>0</v>
      </c>
      <c r="F1182">
        <v>0.08</v>
      </c>
      <c r="G1182">
        <v>0.08</v>
      </c>
      <c r="H1182">
        <v>0.08</v>
      </c>
      <c r="J1182" s="5">
        <f>ABS(F1182-G1182)/ABS(F1182)</f>
        <v>0</v>
      </c>
      <c r="K1182" s="5">
        <f>ABS(G1182-H1182)/ABS(G1182)</f>
        <v>0</v>
      </c>
    </row>
    <row r="1183" spans="3:11" x14ac:dyDescent="0.2">
      <c r="C1183" t="s">
        <v>2302</v>
      </c>
      <c r="D1183" t="b">
        <f ca="1">IF(CELL("format",F1183)="G",IF(ABS(F1183-G1183) &lt;= ABS(F1183*B$3),TRUE,FALSE),IF(F1183=G1183,TRUE,FALSE))</f>
        <v>1</v>
      </c>
      <c r="E1183" s="5">
        <f>ABS(F1183-G1183)/ABS(F1183)</f>
        <v>0</v>
      </c>
      <c r="F1183">
        <v>0.55000000000000004</v>
      </c>
      <c r="G1183">
        <v>0.55000000000000004</v>
      </c>
      <c r="H1183">
        <v>0.55000000000000004</v>
      </c>
      <c r="J1183" s="5">
        <f>ABS(F1183-G1183)/ABS(F1183)</f>
        <v>0</v>
      </c>
      <c r="K1183" s="5">
        <f>ABS(G1183-H1183)/ABS(G1183)</f>
        <v>0</v>
      </c>
    </row>
    <row r="1184" spans="3:11" x14ac:dyDescent="0.2">
      <c r="C1184" t="s">
        <v>2303</v>
      </c>
      <c r="D1184" t="b">
        <f ca="1">IF(CELL("format",F1184)="G",IF(ABS(F1184-G1184) &lt;= ABS(F1184*B$3),TRUE,FALSE),IF(F1184=G1184,TRUE,FALSE))</f>
        <v>1</v>
      </c>
      <c r="E1184" s="5">
        <f>ABS(F1184-G1184)/ABS(F1184)</f>
        <v>0</v>
      </c>
      <c r="F1184">
        <v>0.92</v>
      </c>
      <c r="G1184">
        <v>0.92</v>
      </c>
      <c r="H1184">
        <v>0.92</v>
      </c>
      <c r="J1184" s="5">
        <f>ABS(F1184-G1184)/ABS(F1184)</f>
        <v>0</v>
      </c>
      <c r="K1184" s="5">
        <f>ABS(G1184-H1184)/ABS(G1184)</f>
        <v>0</v>
      </c>
    </row>
    <row r="1185" spans="3:11" x14ac:dyDescent="0.2">
      <c r="C1185" t="s">
        <v>2304</v>
      </c>
      <c r="D1185" t="b">
        <f ca="1">IF(CELL("format",F1185)="G",IF(ABS(F1185-G1185) &lt;= ABS(F1185*B$3),TRUE,FALSE),IF(F1185=G1185,TRUE,FALSE))</f>
        <v>1</v>
      </c>
      <c r="E1185" s="5">
        <f>ABS(F1185-G1185)/ABS(F1185)</f>
        <v>0</v>
      </c>
      <c r="F1185">
        <v>1.1499999999999999</v>
      </c>
      <c r="G1185">
        <v>1.1499999999999999</v>
      </c>
      <c r="H1185">
        <v>1.1499999999999999</v>
      </c>
      <c r="J1185" s="5">
        <f>ABS(F1185-G1185)/ABS(F1185)</f>
        <v>0</v>
      </c>
      <c r="K1185" s="5">
        <f>ABS(G1185-H1185)/ABS(G1185)</f>
        <v>0</v>
      </c>
    </row>
    <row r="1186" spans="3:11" x14ac:dyDescent="0.2">
      <c r="C1186" t="s">
        <v>2305</v>
      </c>
      <c r="D1186" t="b">
        <f ca="1">IF(CELL("format",F1186)="G",IF(ABS(F1186-G1186) &lt;= ABS(F1186*B$3),TRUE,FALSE),IF(F1186=G1186,TRUE,FALSE))</f>
        <v>1</v>
      </c>
      <c r="E1186" s="5">
        <f>ABS(F1186-G1186)/ABS(F1186)</f>
        <v>0</v>
      </c>
      <c r="F1186">
        <v>1.28</v>
      </c>
      <c r="G1186">
        <v>1.28</v>
      </c>
      <c r="H1186">
        <v>1.28</v>
      </c>
      <c r="J1186" s="5">
        <f>ABS(F1186-G1186)/ABS(F1186)</f>
        <v>0</v>
      </c>
      <c r="K1186" s="5">
        <f>ABS(G1186-H1186)/ABS(G1186)</f>
        <v>0</v>
      </c>
    </row>
    <row r="1187" spans="3:11" x14ac:dyDescent="0.2">
      <c r="C1187" t="s">
        <v>2306</v>
      </c>
      <c r="D1187" t="b">
        <f ca="1">IF(CELL("format",F1187)="G",IF(ABS(F1187-G1187) &lt;= ABS(F1187*B$3),TRUE,FALSE),IF(F1187=G1187,TRUE,FALSE))</f>
        <v>1</v>
      </c>
      <c r="E1187" s="5">
        <f>ABS(F1187-G1187)/ABS(F1187)</f>
        <v>0</v>
      </c>
      <c r="F1187">
        <v>1.34</v>
      </c>
      <c r="G1187">
        <v>1.34</v>
      </c>
      <c r="H1187">
        <v>1.34</v>
      </c>
      <c r="J1187" s="5">
        <f>ABS(F1187-G1187)/ABS(F1187)</f>
        <v>0</v>
      </c>
      <c r="K1187" s="5">
        <f>ABS(G1187-H1187)/ABS(G1187)</f>
        <v>0</v>
      </c>
    </row>
    <row r="1188" spans="3:11" x14ac:dyDescent="0.2">
      <c r="C1188" t="s">
        <v>2307</v>
      </c>
      <c r="D1188" t="b">
        <f ca="1">IF(CELL("format",F1188)="G",IF(ABS(F1188-G1188) &lt;= ABS(F1188*B$3),TRUE,FALSE),IF(F1188=G1188,TRUE,FALSE))</f>
        <v>1</v>
      </c>
      <c r="E1188" s="5">
        <f>ABS(F1188-G1188)/ABS(F1188)</f>
        <v>0</v>
      </c>
      <c r="F1188">
        <v>1.38</v>
      </c>
      <c r="G1188">
        <v>1.38</v>
      </c>
      <c r="H1188">
        <v>1.38</v>
      </c>
      <c r="J1188" s="5">
        <f>ABS(F1188-G1188)/ABS(F1188)</f>
        <v>0</v>
      </c>
      <c r="K1188" s="5">
        <f>ABS(G1188-H1188)/ABS(G1188)</f>
        <v>0</v>
      </c>
    </row>
    <row r="1189" spans="3:11" x14ac:dyDescent="0.2">
      <c r="C1189" t="s">
        <v>2308</v>
      </c>
      <c r="D1189" t="b">
        <f ca="1">IF(CELL("format",F1189)="G",IF(ABS(F1189-G1189) &lt;= ABS(F1189*B$3),TRUE,FALSE),IF(F1189=G1189,TRUE,FALSE))</f>
        <v>1</v>
      </c>
      <c r="E1189" s="5">
        <f>ABS(F1189-G1189)/ABS(F1189)</f>
        <v>0</v>
      </c>
      <c r="F1189">
        <v>3.38</v>
      </c>
      <c r="G1189">
        <v>3.38</v>
      </c>
      <c r="H1189">
        <v>3.38</v>
      </c>
      <c r="J1189" s="5">
        <f>ABS(F1189-G1189)/ABS(F1189)</f>
        <v>0</v>
      </c>
      <c r="K1189" s="5">
        <f>ABS(G1189-H1189)/ABS(G1189)</f>
        <v>0</v>
      </c>
    </row>
    <row r="1190" spans="3:11" x14ac:dyDescent="0.2">
      <c r="C1190" t="s">
        <v>2309</v>
      </c>
      <c r="D1190" t="b">
        <f ca="1">IF(CELL("format",F1190)="G",IF(ABS(F1190-G1190) &lt;= ABS(F1190*B$3),TRUE,FALSE),IF(F1190=G1190,TRUE,FALSE))</f>
        <v>1</v>
      </c>
      <c r="E1190" s="5">
        <f>ABS(F1190-G1190)/ABS(F1190)</f>
        <v>0</v>
      </c>
      <c r="F1190">
        <v>1.73</v>
      </c>
      <c r="G1190">
        <v>1.73</v>
      </c>
      <c r="H1190">
        <v>1.73</v>
      </c>
      <c r="J1190" s="5">
        <f>ABS(F1190-G1190)/ABS(F1190)</f>
        <v>0</v>
      </c>
      <c r="K1190" s="5">
        <f>ABS(G1190-H1190)/ABS(G1190)</f>
        <v>0</v>
      </c>
    </row>
    <row r="1191" spans="3:11" x14ac:dyDescent="0.2">
      <c r="C1191" t="s">
        <v>2310</v>
      </c>
      <c r="D1191" t="b">
        <f ca="1">IF(CELL("format",F1191)="G",IF(ABS(F1191-G1191) &lt;= ABS(F1191*B$3),TRUE,FALSE),IF(F1191=G1191,TRUE,FALSE))</f>
        <v>1</v>
      </c>
      <c r="E1191" s="5">
        <f>ABS(F1191-G1191)/ABS(F1191)</f>
        <v>0</v>
      </c>
      <c r="F1191">
        <v>0.05</v>
      </c>
      <c r="G1191">
        <v>0.05</v>
      </c>
      <c r="H1191">
        <v>0.05</v>
      </c>
      <c r="J1191" s="5">
        <f>ABS(F1191-G1191)/ABS(F1191)</f>
        <v>0</v>
      </c>
      <c r="K1191" s="5">
        <f>ABS(G1191-H1191)/ABS(G1191)</f>
        <v>0</v>
      </c>
    </row>
    <row r="1192" spans="3:11" x14ac:dyDescent="0.2">
      <c r="C1192" t="s">
        <v>2311</v>
      </c>
      <c r="D1192" t="b">
        <f ca="1">IF(CELL("format",F1192)="G",IF(ABS(F1192-G1192) &lt;= ABS(F1192*B$3),TRUE,FALSE),IF(F1192=G1192,TRUE,FALSE))</f>
        <v>1</v>
      </c>
      <c r="E1192" s="5">
        <f>ABS(F1192-G1192)/ABS(F1192)</f>
        <v>0</v>
      </c>
      <c r="F1192">
        <v>-0.7</v>
      </c>
      <c r="G1192">
        <v>-0.7</v>
      </c>
      <c r="H1192">
        <v>-0.7</v>
      </c>
      <c r="J1192" s="5">
        <f>ABS(F1192-G1192)/ABS(F1192)</f>
        <v>0</v>
      </c>
      <c r="K1192" s="5">
        <f>ABS(G1192-H1192)/ABS(G1192)</f>
        <v>0</v>
      </c>
    </row>
    <row r="1193" spans="3:11" x14ac:dyDescent="0.2">
      <c r="C1193" t="s">
        <v>2312</v>
      </c>
      <c r="D1193" t="b">
        <f ca="1">IF(CELL("format",F1193)="G",IF(ABS(F1193-G1193) &lt;= ABS(F1193*B$3),TRUE,FALSE),IF(F1193=G1193,TRUE,FALSE))</f>
        <v>1</v>
      </c>
      <c r="E1193" s="5">
        <f>ABS(F1193-G1193)/ABS(F1193)</f>
        <v>0</v>
      </c>
      <c r="F1193">
        <v>-3.08</v>
      </c>
      <c r="G1193">
        <v>-3.08</v>
      </c>
      <c r="H1193">
        <v>-3.08</v>
      </c>
      <c r="J1193" s="5">
        <f>ABS(F1193-G1193)/ABS(F1193)</f>
        <v>0</v>
      </c>
      <c r="K1193" s="5">
        <f>ABS(G1193-H1193)/ABS(G1193)</f>
        <v>0</v>
      </c>
    </row>
    <row r="1194" spans="3:11" x14ac:dyDescent="0.2">
      <c r="C1194" t="s">
        <v>2313</v>
      </c>
      <c r="D1194" t="b">
        <f ca="1">IF(CELL("format",F1194)="G",IF(ABS(F1194-G1194) &lt;= ABS(F1194*B$3),TRUE,FALSE),IF(F1194=G1194,TRUE,FALSE))</f>
        <v>1</v>
      </c>
      <c r="E1194" s="5">
        <f>ABS(F1194-G1194)/ABS(F1194)</f>
        <v>0</v>
      </c>
      <c r="F1194">
        <v>-4.54</v>
      </c>
      <c r="G1194">
        <v>-4.54</v>
      </c>
      <c r="H1194">
        <v>-4.54</v>
      </c>
      <c r="J1194" s="5">
        <f>ABS(F1194-G1194)/ABS(F1194)</f>
        <v>0</v>
      </c>
      <c r="K1194" s="5">
        <f>ABS(G1194-H1194)/ABS(G1194)</f>
        <v>0</v>
      </c>
    </row>
    <row r="1195" spans="3:11" x14ac:dyDescent="0.2">
      <c r="C1195" t="s">
        <v>2314</v>
      </c>
      <c r="D1195" t="b">
        <f ca="1">IF(CELL("format",F1195)="G",IF(ABS(F1195-G1195) &lt;= ABS(F1195*B$3),TRUE,FALSE),IF(F1195=G1195,TRUE,FALSE))</f>
        <v>1</v>
      </c>
      <c r="E1195" s="5">
        <f>ABS(F1195-G1195)/ABS(F1195)</f>
        <v>0</v>
      </c>
      <c r="F1195">
        <v>-4.88</v>
      </c>
      <c r="G1195">
        <v>-4.88</v>
      </c>
      <c r="H1195">
        <v>-4.88</v>
      </c>
      <c r="J1195" s="5">
        <f>ABS(F1195-G1195)/ABS(F1195)</f>
        <v>0</v>
      </c>
      <c r="K1195" s="5">
        <f>ABS(G1195-H1195)/ABS(G1195)</f>
        <v>0</v>
      </c>
    </row>
    <row r="1196" spans="3:11" x14ac:dyDescent="0.2">
      <c r="C1196" t="s">
        <v>2315</v>
      </c>
      <c r="D1196" t="b">
        <f ca="1">IF(CELL("format",F1196)="G",IF(ABS(F1196-G1196) &lt;= ABS(F1196*B$3),TRUE,FALSE),IF(F1196=G1196,TRUE,FALSE))</f>
        <v>1</v>
      </c>
      <c r="E1196" s="5">
        <f>ABS(F1196-G1196)/ABS(F1196)</f>
        <v>0</v>
      </c>
      <c r="F1196">
        <v>-4.1500000000000004</v>
      </c>
      <c r="G1196">
        <v>-4.1500000000000004</v>
      </c>
      <c r="H1196">
        <v>-4.1500000000000004</v>
      </c>
      <c r="J1196" s="5">
        <f>ABS(F1196-G1196)/ABS(F1196)</f>
        <v>0</v>
      </c>
      <c r="K1196" s="5">
        <f>ABS(G1196-H1196)/ABS(G1196)</f>
        <v>0</v>
      </c>
    </row>
    <row r="1197" spans="3:11" x14ac:dyDescent="0.2">
      <c r="C1197" t="s">
        <v>2316</v>
      </c>
      <c r="D1197" t="b">
        <f ca="1">IF(CELL("format",F1197)="G",IF(ABS(F1197-G1197) &lt;= ABS(F1197*B$3),TRUE,FALSE),IF(F1197=G1197,TRUE,FALSE))</f>
        <v>1</v>
      </c>
      <c r="E1197" s="5">
        <f>ABS(F1197-G1197)/ABS(F1197)</f>
        <v>0</v>
      </c>
      <c r="F1197">
        <v>-2.92</v>
      </c>
      <c r="G1197">
        <v>-2.92</v>
      </c>
      <c r="H1197">
        <v>-2.92</v>
      </c>
      <c r="J1197" s="5">
        <f>ABS(F1197-G1197)/ABS(F1197)</f>
        <v>0</v>
      </c>
      <c r="K1197" s="5">
        <f>ABS(G1197-H1197)/ABS(G1197)</f>
        <v>0</v>
      </c>
    </row>
    <row r="1198" spans="3:11" x14ac:dyDescent="0.2">
      <c r="C1198" t="s">
        <v>2317</v>
      </c>
      <c r="D1198" t="b">
        <f ca="1">IF(CELL("format",F1198)="G",IF(ABS(F1198-G1198) &lt;= ABS(F1198*B$3),TRUE,FALSE),IF(F1198=G1198,TRUE,FALSE))</f>
        <v>1</v>
      </c>
      <c r="E1198" s="5">
        <f>ABS(F1198-G1198)/ABS(F1198)</f>
        <v>0</v>
      </c>
      <c r="F1198">
        <v>-1.24</v>
      </c>
      <c r="G1198">
        <v>-1.24</v>
      </c>
      <c r="H1198">
        <v>-1.24</v>
      </c>
      <c r="J1198" s="5">
        <f>ABS(F1198-G1198)/ABS(F1198)</f>
        <v>0</v>
      </c>
      <c r="K1198" s="5">
        <f>ABS(G1198-H1198)/ABS(G1198)</f>
        <v>0</v>
      </c>
    </row>
    <row r="1199" spans="3:11" x14ac:dyDescent="0.2">
      <c r="C1199" t="s">
        <v>2318</v>
      </c>
      <c r="D1199" t="b">
        <f ca="1">IF(CELL("format",F1199)="G",IF(ABS(F1199-G1199) &lt;= ABS(F1199*B$3),TRUE,FALSE),IF(F1199=G1199,TRUE,FALSE))</f>
        <v>1</v>
      </c>
      <c r="E1199" s="5">
        <f>ABS(F1199-G1199)/ABS(F1199)</f>
        <v>0</v>
      </c>
      <c r="F1199">
        <v>-0.02</v>
      </c>
      <c r="G1199">
        <v>-0.02</v>
      </c>
      <c r="H1199">
        <v>-0.02</v>
      </c>
      <c r="J1199" s="5">
        <f>ABS(F1199-G1199)/ABS(F1199)</f>
        <v>0</v>
      </c>
      <c r="K1199" s="5">
        <f>ABS(G1199-H1199)/ABS(G1199)</f>
        <v>0</v>
      </c>
    </row>
    <row r="1200" spans="3:11" x14ac:dyDescent="0.2">
      <c r="C1200" t="s">
        <v>2319</v>
      </c>
      <c r="D1200" t="b">
        <f ca="1">IF(CELL("format",F1200)="G",IF(ABS(F1200-G1200) &lt;= ABS(F1200*B$3),TRUE,FALSE),IF(F1200=G1200,TRUE,FALSE))</f>
        <v>1</v>
      </c>
      <c r="E1200" s="5">
        <f>ABS(F1200-G1200)/ABS(F1200)</f>
        <v>0</v>
      </c>
      <c r="F1200">
        <v>0.09</v>
      </c>
      <c r="G1200">
        <v>0.09</v>
      </c>
      <c r="H1200">
        <v>0.09</v>
      </c>
      <c r="J1200" s="5">
        <f>ABS(F1200-G1200)/ABS(F1200)</f>
        <v>0</v>
      </c>
      <c r="K1200" s="5">
        <f>ABS(G1200-H1200)/ABS(G1200)</f>
        <v>0</v>
      </c>
    </row>
    <row r="1201" spans="3:11" x14ac:dyDescent="0.2">
      <c r="C1201" t="s">
        <v>2320</v>
      </c>
      <c r="D1201" t="b">
        <f ca="1">IF(CELL("format",F1201)="G",IF(ABS(F1201-G1201) &lt;= ABS(F1201*B$3),TRUE,FALSE),IF(F1201=G1201,TRUE,FALSE))</f>
        <v>1</v>
      </c>
      <c r="E1201" s="5">
        <f>ABS(F1201-G1201)/ABS(F1201)</f>
        <v>0</v>
      </c>
      <c r="F1201">
        <v>0.98</v>
      </c>
      <c r="G1201">
        <v>0.98</v>
      </c>
      <c r="H1201">
        <v>0.98</v>
      </c>
      <c r="J1201" s="5">
        <f>ABS(F1201-G1201)/ABS(F1201)</f>
        <v>0</v>
      </c>
      <c r="K1201" s="5">
        <f>ABS(G1201-H1201)/ABS(G1201)</f>
        <v>0</v>
      </c>
    </row>
    <row r="1202" spans="3:11" x14ac:dyDescent="0.2">
      <c r="C1202" t="s">
        <v>2321</v>
      </c>
      <c r="D1202" t="b">
        <f ca="1">IF(CELL("format",F1202)="G",IF(ABS(F1202-G1202) &lt;= ABS(F1202*B$3),TRUE,FALSE),IF(F1202=G1202,TRUE,FALSE))</f>
        <v>1</v>
      </c>
      <c r="E1202" s="5">
        <f>ABS(F1202-G1202)/ABS(F1202)</f>
        <v>0</v>
      </c>
      <c r="F1202">
        <v>1.64</v>
      </c>
      <c r="G1202">
        <v>1.64</v>
      </c>
      <c r="H1202">
        <v>1.64</v>
      </c>
      <c r="J1202" s="5">
        <f>ABS(F1202-G1202)/ABS(F1202)</f>
        <v>0</v>
      </c>
      <c r="K1202" s="5">
        <f>ABS(G1202-H1202)/ABS(G1202)</f>
        <v>0</v>
      </c>
    </row>
    <row r="1203" spans="3:11" x14ac:dyDescent="0.2">
      <c r="C1203" t="s">
        <v>2322</v>
      </c>
      <c r="D1203" t="b">
        <f ca="1">IF(CELL("format",F1203)="G",IF(ABS(F1203-G1203) &lt;= ABS(F1203*B$3),TRUE,FALSE),IF(F1203=G1203,TRUE,FALSE))</f>
        <v>1</v>
      </c>
      <c r="E1203" s="5">
        <f>ABS(F1203-G1203)/ABS(F1203)</f>
        <v>0</v>
      </c>
      <c r="F1203">
        <v>2.06</v>
      </c>
      <c r="G1203">
        <v>2.06</v>
      </c>
      <c r="H1203">
        <v>2.06</v>
      </c>
      <c r="J1203" s="5">
        <f>ABS(F1203-G1203)/ABS(F1203)</f>
        <v>0</v>
      </c>
      <c r="K1203" s="5">
        <f>ABS(G1203-H1203)/ABS(G1203)</f>
        <v>0</v>
      </c>
    </row>
    <row r="1204" spans="3:11" x14ac:dyDescent="0.2">
      <c r="C1204" t="s">
        <v>2323</v>
      </c>
      <c r="D1204" t="b">
        <f ca="1">IF(CELL("format",F1204)="G",IF(ABS(F1204-G1204) &lt;= ABS(F1204*B$3),TRUE,FALSE),IF(F1204=G1204,TRUE,FALSE))</f>
        <v>1</v>
      </c>
      <c r="E1204" s="5">
        <f>ABS(F1204-G1204)/ABS(F1204)</f>
        <v>0</v>
      </c>
      <c r="F1204">
        <v>2.3199999999999998</v>
      </c>
      <c r="G1204">
        <v>2.3199999999999998</v>
      </c>
      <c r="H1204">
        <v>2.3199999999999998</v>
      </c>
      <c r="J1204" s="5">
        <f>ABS(F1204-G1204)/ABS(F1204)</f>
        <v>0</v>
      </c>
      <c r="K1204" s="5">
        <f>ABS(G1204-H1204)/ABS(G1204)</f>
        <v>0</v>
      </c>
    </row>
    <row r="1205" spans="3:11" x14ac:dyDescent="0.2">
      <c r="C1205" t="s">
        <v>2324</v>
      </c>
      <c r="D1205" t="b">
        <f ca="1">IF(CELL("format",F1205)="G",IF(ABS(F1205-G1205) &lt;= ABS(F1205*B$3),TRUE,FALSE),IF(F1205=G1205,TRUE,FALSE))</f>
        <v>1</v>
      </c>
      <c r="E1205" s="5" t="e">
        <f>ABS(F1205-G1205)/ABS(F1205)</f>
        <v>#DIV/0!</v>
      </c>
      <c r="F1205">
        <v>0</v>
      </c>
      <c r="G1205">
        <v>0</v>
      </c>
      <c r="H1205">
        <v>0</v>
      </c>
      <c r="J1205" s="5" t="e">
        <f>ABS(F1205-G1205)/ABS(F1205)</f>
        <v>#DIV/0!</v>
      </c>
      <c r="K1205" s="5" t="e">
        <f>ABS(G1205-H1205)/ABS(G1205)</f>
        <v>#DIV/0!</v>
      </c>
    </row>
    <row r="1206" spans="3:11" x14ac:dyDescent="0.2">
      <c r="C1206" t="s">
        <v>2301</v>
      </c>
      <c r="D1206" t="b">
        <f ca="1">IF(CELL("format",F1206)="G",IF(ABS(F1206-G1206) &lt;= ABS(F1206*B$3),TRUE,FALSE),IF(F1206=G1206,TRUE,FALSE))</f>
        <v>1</v>
      </c>
      <c r="E1206" s="5">
        <f>ABS(F1206-G1206)/ABS(F1206)</f>
        <v>0</v>
      </c>
      <c r="F1206">
        <v>1.85</v>
      </c>
      <c r="G1206">
        <v>1.85</v>
      </c>
      <c r="H1206">
        <v>1.85</v>
      </c>
      <c r="J1206" s="5">
        <f>ABS(F1206-G1206)/ABS(F1206)</f>
        <v>0</v>
      </c>
      <c r="K1206" s="5">
        <f>ABS(G1206-H1206)/ABS(G1206)</f>
        <v>0</v>
      </c>
    </row>
    <row r="1207" spans="3:11" x14ac:dyDescent="0.2">
      <c r="C1207" t="s">
        <v>2302</v>
      </c>
      <c r="D1207" t="b">
        <f ca="1">IF(CELL("format",F1207)="G",IF(ABS(F1207-G1207) &lt;= ABS(F1207*B$3),TRUE,FALSE),IF(F1207=G1207,TRUE,FALSE))</f>
        <v>1</v>
      </c>
      <c r="E1207" s="5">
        <f>ABS(F1207-G1207)/ABS(F1207)</f>
        <v>0</v>
      </c>
      <c r="F1207">
        <v>1.9</v>
      </c>
      <c r="G1207">
        <v>1.9</v>
      </c>
      <c r="H1207">
        <v>1.9</v>
      </c>
      <c r="J1207" s="5">
        <f>ABS(F1207-G1207)/ABS(F1207)</f>
        <v>0</v>
      </c>
      <c r="K1207" s="5">
        <f>ABS(G1207-H1207)/ABS(G1207)</f>
        <v>0</v>
      </c>
    </row>
    <row r="1208" spans="3:11" x14ac:dyDescent="0.2">
      <c r="C1208" t="s">
        <v>2303</v>
      </c>
      <c r="D1208" t="b">
        <f ca="1">IF(CELL("format",F1208)="G",IF(ABS(F1208-G1208) &lt;= ABS(F1208*B$3),TRUE,FALSE),IF(F1208=G1208,TRUE,FALSE))</f>
        <v>1</v>
      </c>
      <c r="E1208" s="5">
        <f>ABS(F1208-G1208)/ABS(F1208)</f>
        <v>0</v>
      </c>
      <c r="F1208">
        <v>1.94</v>
      </c>
      <c r="G1208">
        <v>1.94</v>
      </c>
      <c r="H1208">
        <v>1.94</v>
      </c>
      <c r="J1208" s="5">
        <f>ABS(F1208-G1208)/ABS(F1208)</f>
        <v>0</v>
      </c>
      <c r="K1208" s="5">
        <f>ABS(G1208-H1208)/ABS(G1208)</f>
        <v>0</v>
      </c>
    </row>
    <row r="1209" spans="3:11" x14ac:dyDescent="0.2">
      <c r="C1209" t="s">
        <v>2304</v>
      </c>
      <c r="D1209" t="b">
        <f ca="1">IF(CELL("format",F1209)="G",IF(ABS(F1209-G1209) &lt;= ABS(F1209*B$3),TRUE,FALSE),IF(F1209=G1209,TRUE,FALSE))</f>
        <v>1</v>
      </c>
      <c r="E1209" s="5">
        <f>ABS(F1209-G1209)/ABS(F1209)</f>
        <v>0</v>
      </c>
      <c r="F1209">
        <v>1.98</v>
      </c>
      <c r="G1209">
        <v>1.98</v>
      </c>
      <c r="H1209">
        <v>1.98</v>
      </c>
      <c r="J1209" s="5">
        <f>ABS(F1209-G1209)/ABS(F1209)</f>
        <v>0</v>
      </c>
      <c r="K1209" s="5">
        <f>ABS(G1209-H1209)/ABS(G1209)</f>
        <v>0</v>
      </c>
    </row>
    <row r="1210" spans="3:11" x14ac:dyDescent="0.2">
      <c r="C1210" t="s">
        <v>2305</v>
      </c>
      <c r="D1210" t="b">
        <f ca="1">IF(CELL("format",F1210)="G",IF(ABS(F1210-G1210) &lt;= ABS(F1210*B$3),TRUE,FALSE),IF(F1210=G1210,TRUE,FALSE))</f>
        <v>1</v>
      </c>
      <c r="E1210" s="5">
        <f>ABS(F1210-G1210)/ABS(F1210)</f>
        <v>0</v>
      </c>
      <c r="F1210">
        <v>2</v>
      </c>
      <c r="G1210">
        <v>2</v>
      </c>
      <c r="H1210">
        <v>2</v>
      </c>
      <c r="J1210" s="5">
        <f>ABS(F1210-G1210)/ABS(F1210)</f>
        <v>0</v>
      </c>
      <c r="K1210" s="5">
        <f>ABS(G1210-H1210)/ABS(G1210)</f>
        <v>0</v>
      </c>
    </row>
    <row r="1211" spans="3:11" x14ac:dyDescent="0.2">
      <c r="C1211" t="s">
        <v>2306</v>
      </c>
      <c r="D1211" t="b">
        <f ca="1">IF(CELL("format",F1211)="G",IF(ABS(F1211-G1211) &lt;= ABS(F1211*B$3),TRUE,FALSE),IF(F1211=G1211,TRUE,FALSE))</f>
        <v>1</v>
      </c>
      <c r="E1211" s="5">
        <f>ABS(F1211-G1211)/ABS(F1211)</f>
        <v>0</v>
      </c>
      <c r="F1211">
        <v>2</v>
      </c>
      <c r="G1211">
        <v>2</v>
      </c>
      <c r="H1211">
        <v>2</v>
      </c>
      <c r="J1211" s="5">
        <f>ABS(F1211-G1211)/ABS(F1211)</f>
        <v>0</v>
      </c>
      <c r="K1211" s="5">
        <f>ABS(G1211-H1211)/ABS(G1211)</f>
        <v>0</v>
      </c>
    </row>
    <row r="1212" spans="3:11" x14ac:dyDescent="0.2">
      <c r="C1212" t="s">
        <v>2307</v>
      </c>
      <c r="D1212" t="b">
        <f ca="1">IF(CELL("format",F1212)="G",IF(ABS(F1212-G1212) &lt;= ABS(F1212*B$3),TRUE,FALSE),IF(F1212=G1212,TRUE,FALSE))</f>
        <v>1</v>
      </c>
      <c r="E1212" s="5">
        <f>ABS(F1212-G1212)/ABS(F1212)</f>
        <v>0</v>
      </c>
      <c r="F1212">
        <v>2.0099999999999998</v>
      </c>
      <c r="G1212">
        <v>2.0099999999999998</v>
      </c>
      <c r="H1212">
        <v>2.0099999999999998</v>
      </c>
      <c r="J1212" s="5">
        <f>ABS(F1212-G1212)/ABS(F1212)</f>
        <v>0</v>
      </c>
      <c r="K1212" s="5">
        <f>ABS(G1212-H1212)/ABS(G1212)</f>
        <v>0</v>
      </c>
    </row>
    <row r="1213" spans="3:11" x14ac:dyDescent="0.2">
      <c r="C1213" t="s">
        <v>2308</v>
      </c>
      <c r="D1213" t="b">
        <f ca="1">IF(CELL("format",F1213)="G",IF(ABS(F1213-G1213) &lt;= ABS(F1213*B$3),TRUE,FALSE),IF(F1213=G1213,TRUE,FALSE))</f>
        <v>1</v>
      </c>
      <c r="E1213" s="5">
        <f>ABS(F1213-G1213)/ABS(F1213)</f>
        <v>0</v>
      </c>
      <c r="F1213">
        <v>1.71</v>
      </c>
      <c r="G1213">
        <v>1.71</v>
      </c>
      <c r="H1213">
        <v>1.71</v>
      </c>
      <c r="J1213" s="5">
        <f>ABS(F1213-G1213)/ABS(F1213)</f>
        <v>0</v>
      </c>
      <c r="K1213" s="5">
        <f>ABS(G1213-H1213)/ABS(G1213)</f>
        <v>0</v>
      </c>
    </row>
    <row r="1214" spans="3:11" x14ac:dyDescent="0.2">
      <c r="C1214" t="s">
        <v>2309</v>
      </c>
      <c r="D1214" t="b">
        <f ca="1">IF(CELL("format",F1214)="G",IF(ABS(F1214-G1214) &lt;= ABS(F1214*B$3),TRUE,FALSE),IF(F1214=G1214,TRUE,FALSE))</f>
        <v>1</v>
      </c>
      <c r="E1214" s="5">
        <f>ABS(F1214-G1214)/ABS(F1214)</f>
        <v>0</v>
      </c>
      <c r="F1214">
        <v>0.81</v>
      </c>
      <c r="G1214">
        <v>0.81</v>
      </c>
      <c r="H1214">
        <v>0.81</v>
      </c>
      <c r="J1214" s="5">
        <f>ABS(F1214-G1214)/ABS(F1214)</f>
        <v>0</v>
      </c>
      <c r="K1214" s="5">
        <f>ABS(G1214-H1214)/ABS(G1214)</f>
        <v>0</v>
      </c>
    </row>
    <row r="1215" spans="3:11" x14ac:dyDescent="0.2">
      <c r="C1215" t="s">
        <v>2310</v>
      </c>
      <c r="D1215" t="b">
        <f ca="1">IF(CELL("format",F1215)="G",IF(ABS(F1215-G1215) &lt;= ABS(F1215*B$3),TRUE,FALSE),IF(F1215=G1215,TRUE,FALSE))</f>
        <v>1</v>
      </c>
      <c r="E1215" s="5">
        <f>ABS(F1215-G1215)/ABS(F1215)</f>
        <v>0</v>
      </c>
      <c r="F1215">
        <v>0.06</v>
      </c>
      <c r="G1215">
        <v>0.06</v>
      </c>
      <c r="H1215">
        <v>0.06</v>
      </c>
      <c r="J1215" s="5">
        <f>ABS(F1215-G1215)/ABS(F1215)</f>
        <v>0</v>
      </c>
      <c r="K1215" s="5">
        <f>ABS(G1215-H1215)/ABS(G1215)</f>
        <v>0</v>
      </c>
    </row>
    <row r="1216" spans="3:11" x14ac:dyDescent="0.2">
      <c r="C1216" t="s">
        <v>2311</v>
      </c>
      <c r="D1216" t="b">
        <f ca="1">IF(CELL("format",F1216)="G",IF(ABS(F1216-G1216) &lt;= ABS(F1216*B$3),TRUE,FALSE),IF(F1216=G1216,TRUE,FALSE))</f>
        <v>1</v>
      </c>
      <c r="E1216" s="5" t="e">
        <f>ABS(F1216-G1216)/ABS(F1216)</f>
        <v>#DIV/0!</v>
      </c>
      <c r="F1216">
        <v>0</v>
      </c>
      <c r="G1216">
        <v>0</v>
      </c>
      <c r="H1216">
        <v>0</v>
      </c>
      <c r="J1216" s="5" t="e">
        <f>ABS(F1216-G1216)/ABS(F1216)</f>
        <v>#DIV/0!</v>
      </c>
      <c r="K1216" s="5" t="e">
        <f>ABS(G1216-H1216)/ABS(G1216)</f>
        <v>#DIV/0!</v>
      </c>
    </row>
    <row r="1217" spans="3:11" x14ac:dyDescent="0.2">
      <c r="C1217" t="s">
        <v>2312</v>
      </c>
      <c r="D1217" t="b">
        <f ca="1">IF(CELL("format",F1217)="G",IF(ABS(F1217-G1217) &lt;= ABS(F1217*B$3),TRUE,FALSE),IF(F1217=G1217,TRUE,FALSE))</f>
        <v>1</v>
      </c>
      <c r="E1217" s="5">
        <f>ABS(F1217-G1217)/ABS(F1217)</f>
        <v>0</v>
      </c>
      <c r="F1217">
        <v>-0.54</v>
      </c>
      <c r="G1217">
        <v>-0.54</v>
      </c>
      <c r="H1217">
        <v>-0.54</v>
      </c>
      <c r="J1217" s="5">
        <f>ABS(F1217-G1217)/ABS(F1217)</f>
        <v>0</v>
      </c>
      <c r="K1217" s="5">
        <f>ABS(G1217-H1217)/ABS(G1217)</f>
        <v>0</v>
      </c>
    </row>
    <row r="1218" spans="3:11" x14ac:dyDescent="0.2">
      <c r="C1218" t="s">
        <v>2313</v>
      </c>
      <c r="D1218" t="b">
        <f ca="1">IF(CELL("format",F1218)="G",IF(ABS(F1218-G1218) &lt;= ABS(F1218*B$3),TRUE,FALSE),IF(F1218=G1218,TRUE,FALSE))</f>
        <v>1</v>
      </c>
      <c r="E1218" s="5">
        <f>ABS(F1218-G1218)/ABS(F1218)</f>
        <v>0</v>
      </c>
      <c r="F1218">
        <v>-1.73</v>
      </c>
      <c r="G1218">
        <v>-1.73</v>
      </c>
      <c r="H1218">
        <v>-1.73</v>
      </c>
      <c r="J1218" s="5">
        <f>ABS(F1218-G1218)/ABS(F1218)</f>
        <v>0</v>
      </c>
      <c r="K1218" s="5">
        <f>ABS(G1218-H1218)/ABS(G1218)</f>
        <v>0</v>
      </c>
    </row>
    <row r="1219" spans="3:11" x14ac:dyDescent="0.2">
      <c r="C1219" t="s">
        <v>2314</v>
      </c>
      <c r="D1219" t="b">
        <f ca="1">IF(CELL("format",F1219)="G",IF(ABS(F1219-G1219) &lt;= ABS(F1219*B$3),TRUE,FALSE),IF(F1219=G1219,TRUE,FALSE))</f>
        <v>1</v>
      </c>
      <c r="E1219" s="5">
        <f>ABS(F1219-G1219)/ABS(F1219)</f>
        <v>0</v>
      </c>
      <c r="F1219">
        <v>-2.2000000000000002</v>
      </c>
      <c r="G1219">
        <v>-2.2000000000000002</v>
      </c>
      <c r="H1219">
        <v>-2.2000000000000002</v>
      </c>
      <c r="J1219" s="5">
        <f>ABS(F1219-G1219)/ABS(F1219)</f>
        <v>0</v>
      </c>
      <c r="K1219" s="5">
        <f>ABS(G1219-H1219)/ABS(G1219)</f>
        <v>0</v>
      </c>
    </row>
    <row r="1220" spans="3:11" x14ac:dyDescent="0.2">
      <c r="C1220" t="s">
        <v>2315</v>
      </c>
      <c r="D1220" t="b">
        <f ca="1">IF(CELL("format",F1220)="G",IF(ABS(F1220-G1220) &lt;= ABS(F1220*B$3),TRUE,FALSE),IF(F1220=G1220,TRUE,FALSE))</f>
        <v>1</v>
      </c>
      <c r="E1220" s="5">
        <f>ABS(F1220-G1220)/ABS(F1220)</f>
        <v>0</v>
      </c>
      <c r="F1220">
        <v>-1.88</v>
      </c>
      <c r="G1220">
        <v>-1.88</v>
      </c>
      <c r="H1220">
        <v>-1.88</v>
      </c>
      <c r="J1220" s="5">
        <f>ABS(F1220-G1220)/ABS(F1220)</f>
        <v>0</v>
      </c>
      <c r="K1220" s="5">
        <f>ABS(G1220-H1220)/ABS(G1220)</f>
        <v>0</v>
      </c>
    </row>
    <row r="1221" spans="3:11" x14ac:dyDescent="0.2">
      <c r="C1221" t="s">
        <v>2316</v>
      </c>
      <c r="D1221" t="b">
        <f ca="1">IF(CELL("format",F1221)="G",IF(ABS(F1221-G1221) &lt;= ABS(F1221*B$3),TRUE,FALSE),IF(F1221=G1221,TRUE,FALSE))</f>
        <v>1</v>
      </c>
      <c r="E1221" s="5">
        <f>ABS(F1221-G1221)/ABS(F1221)</f>
        <v>0</v>
      </c>
      <c r="F1221">
        <v>-1.21</v>
      </c>
      <c r="G1221">
        <v>-1.21</v>
      </c>
      <c r="H1221">
        <v>-1.21</v>
      </c>
      <c r="J1221" s="5">
        <f>ABS(F1221-G1221)/ABS(F1221)</f>
        <v>0</v>
      </c>
      <c r="K1221" s="5">
        <f>ABS(G1221-H1221)/ABS(G1221)</f>
        <v>0</v>
      </c>
    </row>
    <row r="1222" spans="3:11" x14ac:dyDescent="0.2">
      <c r="C1222" t="s">
        <v>2317</v>
      </c>
      <c r="D1222" t="b">
        <f ca="1">IF(CELL("format",F1222)="G",IF(ABS(F1222-G1222) &lt;= ABS(F1222*B$3),TRUE,FALSE),IF(F1222=G1222,TRUE,FALSE))</f>
        <v>1</v>
      </c>
      <c r="E1222" s="5">
        <f>ABS(F1222-G1222)/ABS(F1222)</f>
        <v>0</v>
      </c>
      <c r="F1222">
        <v>-0.3</v>
      </c>
      <c r="G1222">
        <v>-0.3</v>
      </c>
      <c r="H1222">
        <v>-0.3</v>
      </c>
      <c r="J1222" s="5">
        <f>ABS(F1222-G1222)/ABS(F1222)</f>
        <v>0</v>
      </c>
      <c r="K1222" s="5">
        <f>ABS(G1222-H1222)/ABS(G1222)</f>
        <v>0</v>
      </c>
    </row>
    <row r="1223" spans="3:11" x14ac:dyDescent="0.2">
      <c r="C1223" t="s">
        <v>2318</v>
      </c>
      <c r="D1223" t="b">
        <f ca="1">IF(CELL("format",F1223)="G",IF(ABS(F1223-G1223) &lt;= ABS(F1223*B$3),TRUE,FALSE),IF(F1223=G1223,TRUE,FALSE))</f>
        <v>1</v>
      </c>
      <c r="E1223" s="5" t="e">
        <f>ABS(F1223-G1223)/ABS(F1223)</f>
        <v>#DIV/0!</v>
      </c>
      <c r="F1223">
        <v>0</v>
      </c>
      <c r="G1223">
        <v>0</v>
      </c>
      <c r="H1223">
        <v>0</v>
      </c>
      <c r="J1223" s="5" t="e">
        <f>ABS(F1223-G1223)/ABS(F1223)</f>
        <v>#DIV/0!</v>
      </c>
      <c r="K1223" s="5" t="e">
        <f>ABS(G1223-H1223)/ABS(G1223)</f>
        <v>#DIV/0!</v>
      </c>
    </row>
    <row r="1224" spans="3:11" x14ac:dyDescent="0.2">
      <c r="C1224" t="s">
        <v>2319</v>
      </c>
      <c r="D1224" t="b">
        <f ca="1">IF(CELL("format",F1224)="G",IF(ABS(F1224-G1224) &lt;= ABS(F1224*B$3),TRUE,FALSE),IF(F1224=G1224,TRUE,FALSE))</f>
        <v>1</v>
      </c>
      <c r="E1224" s="5">
        <f>ABS(F1224-G1224)/ABS(F1224)</f>
        <v>0</v>
      </c>
      <c r="F1224">
        <v>0.1</v>
      </c>
      <c r="G1224">
        <v>0.1</v>
      </c>
      <c r="H1224">
        <v>0.1</v>
      </c>
      <c r="J1224" s="5">
        <f>ABS(F1224-G1224)/ABS(F1224)</f>
        <v>0</v>
      </c>
      <c r="K1224" s="5">
        <f>ABS(G1224-H1224)/ABS(G1224)</f>
        <v>0</v>
      </c>
    </row>
    <row r="1225" spans="3:11" x14ac:dyDescent="0.2">
      <c r="C1225" t="s">
        <v>2320</v>
      </c>
      <c r="D1225" t="b">
        <f ca="1">IF(CELL("format",F1225)="G",IF(ABS(F1225-G1225) &lt;= ABS(F1225*B$3),TRUE,FALSE),IF(F1225=G1225,TRUE,FALSE))</f>
        <v>1</v>
      </c>
      <c r="E1225" s="5">
        <f>ABS(F1225-G1225)/ABS(F1225)</f>
        <v>0</v>
      </c>
      <c r="F1225">
        <v>0.85</v>
      </c>
      <c r="G1225">
        <v>0.85</v>
      </c>
      <c r="H1225">
        <v>0.85</v>
      </c>
      <c r="J1225" s="5">
        <f>ABS(F1225-G1225)/ABS(F1225)</f>
        <v>0</v>
      </c>
      <c r="K1225" s="5">
        <f>ABS(G1225-H1225)/ABS(G1225)</f>
        <v>0</v>
      </c>
    </row>
    <row r="1226" spans="3:11" x14ac:dyDescent="0.2">
      <c r="C1226" t="s">
        <v>2321</v>
      </c>
      <c r="D1226" t="b">
        <f ca="1">IF(CELL("format",F1226)="G",IF(ABS(F1226-G1226) &lt;= ABS(F1226*B$3),TRUE,FALSE),IF(F1226=G1226,TRUE,FALSE))</f>
        <v>1</v>
      </c>
      <c r="E1226" s="5">
        <f>ABS(F1226-G1226)/ABS(F1226)</f>
        <v>0</v>
      </c>
      <c r="F1226">
        <v>1.41</v>
      </c>
      <c r="G1226">
        <v>1.41</v>
      </c>
      <c r="H1226">
        <v>1.41</v>
      </c>
      <c r="J1226" s="5">
        <f>ABS(F1226-G1226)/ABS(F1226)</f>
        <v>0</v>
      </c>
      <c r="K1226" s="5">
        <f>ABS(G1226-H1226)/ABS(G1226)</f>
        <v>0</v>
      </c>
    </row>
    <row r="1227" spans="3:11" x14ac:dyDescent="0.2">
      <c r="C1227" t="s">
        <v>2322</v>
      </c>
      <c r="D1227" t="b">
        <f ca="1">IF(CELL("format",F1227)="G",IF(ABS(F1227-G1227) &lt;= ABS(F1227*B$3),TRUE,FALSE),IF(F1227=G1227,TRUE,FALSE))</f>
        <v>1</v>
      </c>
      <c r="E1227" s="5">
        <f>ABS(F1227-G1227)/ABS(F1227)</f>
        <v>0</v>
      </c>
      <c r="F1227">
        <v>1.78</v>
      </c>
      <c r="G1227">
        <v>1.78</v>
      </c>
      <c r="H1227">
        <v>1.78</v>
      </c>
      <c r="J1227" s="5">
        <f>ABS(F1227-G1227)/ABS(F1227)</f>
        <v>0</v>
      </c>
      <c r="K1227" s="5">
        <f>ABS(G1227-H1227)/ABS(G1227)</f>
        <v>0</v>
      </c>
    </row>
    <row r="1228" spans="3:11" x14ac:dyDescent="0.2">
      <c r="C1228" t="s">
        <v>2323</v>
      </c>
      <c r="D1228" t="b">
        <f ca="1">IF(CELL("format",F1228)="G",IF(ABS(F1228-G1228) &lt;= ABS(F1228*B$3),TRUE,FALSE),IF(F1228=G1228,TRUE,FALSE))</f>
        <v>1</v>
      </c>
      <c r="E1228" s="5">
        <f>ABS(F1228-G1228)/ABS(F1228)</f>
        <v>0</v>
      </c>
      <c r="F1228">
        <v>2.0099999999999998</v>
      </c>
      <c r="G1228">
        <v>2.0099999999999998</v>
      </c>
      <c r="H1228">
        <v>2.0099999999999998</v>
      </c>
      <c r="J1228" s="5">
        <f>ABS(F1228-G1228)/ABS(F1228)</f>
        <v>0</v>
      </c>
      <c r="K1228" s="5">
        <f>ABS(G1228-H1228)/ABS(G1228)</f>
        <v>0</v>
      </c>
    </row>
    <row r="1229" spans="3:11" x14ac:dyDescent="0.2">
      <c r="C1229" t="s">
        <v>2324</v>
      </c>
      <c r="D1229" t="b">
        <f ca="1">IF(CELL("format",F1229)="G",IF(ABS(F1229-G1229) &lt;= ABS(F1229*B$3),TRUE,FALSE),IF(F1229=G1229,TRUE,FALSE))</f>
        <v>1</v>
      </c>
      <c r="E1229" s="5">
        <f>ABS(F1229-G1229)/ABS(F1229)</f>
        <v>0</v>
      </c>
      <c r="F1229">
        <v>2.1</v>
      </c>
      <c r="G1229">
        <v>2.1</v>
      </c>
      <c r="H1229">
        <v>2.1</v>
      </c>
      <c r="J1229" s="5">
        <f>ABS(F1229-G1229)/ABS(F1229)</f>
        <v>0</v>
      </c>
      <c r="K1229" s="5">
        <f>ABS(G1229-H1229)/ABS(G1229)</f>
        <v>0</v>
      </c>
    </row>
    <row r="1230" spans="3:11" x14ac:dyDescent="0.2">
      <c r="C1230" t="s">
        <v>2301</v>
      </c>
      <c r="D1230" t="b">
        <f ca="1">IF(CELL("format",F1230)="G",IF(ABS(F1230-G1230) &lt;= ABS(F1230*B$3),TRUE,FALSE),IF(F1230=G1230,TRUE,FALSE))</f>
        <v>1</v>
      </c>
      <c r="E1230" s="5">
        <f>ABS(F1230-G1230)/ABS(F1230)</f>
        <v>0</v>
      </c>
      <c r="F1230">
        <v>2.62</v>
      </c>
      <c r="G1230">
        <v>2.62</v>
      </c>
      <c r="H1230">
        <v>2.62</v>
      </c>
      <c r="J1230" s="5">
        <f>ABS(F1230-G1230)/ABS(F1230)</f>
        <v>0</v>
      </c>
      <c r="K1230" s="5">
        <f>ABS(G1230-H1230)/ABS(G1230)</f>
        <v>0</v>
      </c>
    </row>
    <row r="1231" spans="3:11" x14ac:dyDescent="0.2">
      <c r="C1231" t="s">
        <v>2302</v>
      </c>
      <c r="D1231" t="b">
        <f ca="1">IF(CELL("format",F1231)="G",IF(ABS(F1231-G1231) &lt;= ABS(F1231*B$3),TRUE,FALSE),IF(F1231=G1231,TRUE,FALSE))</f>
        <v>1</v>
      </c>
      <c r="E1231" s="5">
        <f>ABS(F1231-G1231)/ABS(F1231)</f>
        <v>0</v>
      </c>
      <c r="F1231">
        <v>2.73</v>
      </c>
      <c r="G1231">
        <v>2.73</v>
      </c>
      <c r="H1231">
        <v>2.73</v>
      </c>
      <c r="J1231" s="5">
        <f>ABS(F1231-G1231)/ABS(F1231)</f>
        <v>0</v>
      </c>
      <c r="K1231" s="5">
        <f>ABS(G1231-H1231)/ABS(G1231)</f>
        <v>0</v>
      </c>
    </row>
    <row r="1232" spans="3:11" x14ac:dyDescent="0.2">
      <c r="C1232" t="s">
        <v>2303</v>
      </c>
      <c r="D1232" t="b">
        <f ca="1">IF(CELL("format",F1232)="G",IF(ABS(F1232-G1232) &lt;= ABS(F1232*B$3),TRUE,FALSE),IF(F1232=G1232,TRUE,FALSE))</f>
        <v>1</v>
      </c>
      <c r="E1232" s="5">
        <f>ABS(F1232-G1232)/ABS(F1232)</f>
        <v>0</v>
      </c>
      <c r="F1232">
        <v>2.82</v>
      </c>
      <c r="G1232">
        <v>2.82</v>
      </c>
      <c r="H1232">
        <v>2.82</v>
      </c>
      <c r="J1232" s="5">
        <f>ABS(F1232-G1232)/ABS(F1232)</f>
        <v>0</v>
      </c>
      <c r="K1232" s="5">
        <f>ABS(G1232-H1232)/ABS(G1232)</f>
        <v>0</v>
      </c>
    </row>
    <row r="1233" spans="3:11" x14ac:dyDescent="0.2">
      <c r="C1233" t="s">
        <v>2304</v>
      </c>
      <c r="D1233" t="b">
        <f ca="1">IF(CELL("format",F1233)="G",IF(ABS(F1233-G1233) &lt;= ABS(F1233*B$3),TRUE,FALSE),IF(F1233=G1233,TRUE,FALSE))</f>
        <v>1</v>
      </c>
      <c r="E1233" s="5">
        <f>ABS(F1233-G1233)/ABS(F1233)</f>
        <v>0</v>
      </c>
      <c r="F1233">
        <v>2.91</v>
      </c>
      <c r="G1233">
        <v>2.91</v>
      </c>
      <c r="H1233">
        <v>2.91</v>
      </c>
      <c r="J1233" s="5">
        <f>ABS(F1233-G1233)/ABS(F1233)</f>
        <v>0</v>
      </c>
      <c r="K1233" s="5">
        <f>ABS(G1233-H1233)/ABS(G1233)</f>
        <v>0</v>
      </c>
    </row>
    <row r="1234" spans="3:11" x14ac:dyDescent="0.2">
      <c r="C1234" t="s">
        <v>2305</v>
      </c>
      <c r="D1234" t="b">
        <f ca="1">IF(CELL("format",F1234)="G",IF(ABS(F1234-G1234) &lt;= ABS(F1234*B$3),TRUE,FALSE),IF(F1234=G1234,TRUE,FALSE))</f>
        <v>1</v>
      </c>
      <c r="E1234" s="5">
        <f>ABS(F1234-G1234)/ABS(F1234)</f>
        <v>0</v>
      </c>
      <c r="F1234">
        <v>2.95</v>
      </c>
      <c r="G1234">
        <v>2.95</v>
      </c>
      <c r="H1234">
        <v>2.95</v>
      </c>
      <c r="J1234" s="5">
        <f>ABS(F1234-G1234)/ABS(F1234)</f>
        <v>0</v>
      </c>
      <c r="K1234" s="5">
        <f>ABS(G1234-H1234)/ABS(G1234)</f>
        <v>0</v>
      </c>
    </row>
    <row r="1235" spans="3:11" x14ac:dyDescent="0.2">
      <c r="C1235" t="s">
        <v>2306</v>
      </c>
      <c r="D1235" t="b">
        <f ca="1">IF(CELL("format",F1235)="G",IF(ABS(F1235-G1235) &lt;= ABS(F1235*B$3),TRUE,FALSE),IF(F1235=G1235,TRUE,FALSE))</f>
        <v>1</v>
      </c>
      <c r="E1235" s="5">
        <f>ABS(F1235-G1235)/ABS(F1235)</f>
        <v>0</v>
      </c>
      <c r="F1235">
        <v>2.94</v>
      </c>
      <c r="G1235">
        <v>2.94</v>
      </c>
      <c r="H1235">
        <v>2.94</v>
      </c>
      <c r="J1235" s="5">
        <f>ABS(F1235-G1235)/ABS(F1235)</f>
        <v>0</v>
      </c>
      <c r="K1235" s="5">
        <f>ABS(G1235-H1235)/ABS(G1235)</f>
        <v>0</v>
      </c>
    </row>
    <row r="1236" spans="3:11" x14ac:dyDescent="0.2">
      <c r="C1236" t="s">
        <v>2307</v>
      </c>
      <c r="D1236" t="b">
        <f ca="1">IF(CELL("format",F1236)="G",IF(ABS(F1236-G1236) &lt;= ABS(F1236*B$3),TRUE,FALSE),IF(F1236=G1236,TRUE,FALSE))</f>
        <v>1</v>
      </c>
      <c r="E1236" s="5">
        <f>ABS(F1236-G1236)/ABS(F1236)</f>
        <v>0</v>
      </c>
      <c r="F1236">
        <v>2.92</v>
      </c>
      <c r="G1236">
        <v>2.92</v>
      </c>
      <c r="H1236">
        <v>2.92</v>
      </c>
      <c r="J1236" s="5">
        <f>ABS(F1236-G1236)/ABS(F1236)</f>
        <v>0</v>
      </c>
      <c r="K1236" s="5">
        <f>ABS(G1236-H1236)/ABS(G1236)</f>
        <v>0</v>
      </c>
    </row>
    <row r="1237" spans="3:11" x14ac:dyDescent="0.2">
      <c r="C1237" t="s">
        <v>2308</v>
      </c>
      <c r="D1237" t="b">
        <f ca="1">IF(CELL("format",F1237)="G",IF(ABS(F1237-G1237) &lt;= ABS(F1237*B$3),TRUE,FALSE),IF(F1237=G1237,TRUE,FALSE))</f>
        <v>1</v>
      </c>
      <c r="E1237" s="5">
        <f>ABS(F1237-G1237)/ABS(F1237)</f>
        <v>0</v>
      </c>
      <c r="F1237">
        <v>2.37</v>
      </c>
      <c r="G1237">
        <v>2.37</v>
      </c>
      <c r="H1237">
        <v>2.37</v>
      </c>
      <c r="J1237" s="5">
        <f>ABS(F1237-G1237)/ABS(F1237)</f>
        <v>0</v>
      </c>
      <c r="K1237" s="5">
        <f>ABS(G1237-H1237)/ABS(G1237)</f>
        <v>0</v>
      </c>
    </row>
    <row r="1238" spans="3:11" x14ac:dyDescent="0.2">
      <c r="C1238" t="s">
        <v>2309</v>
      </c>
      <c r="D1238" t="b">
        <f ca="1">IF(CELL("format",F1238)="G",IF(ABS(F1238-G1238) &lt;= ABS(F1238*B$3),TRUE,FALSE),IF(F1238=G1238,TRUE,FALSE))</f>
        <v>1</v>
      </c>
      <c r="E1238" s="5">
        <f>ABS(F1238-G1238)/ABS(F1238)</f>
        <v>0</v>
      </c>
      <c r="F1238">
        <v>0.69</v>
      </c>
      <c r="G1238">
        <v>0.69</v>
      </c>
      <c r="H1238">
        <v>0.69</v>
      </c>
      <c r="J1238" s="5">
        <f>ABS(F1238-G1238)/ABS(F1238)</f>
        <v>0</v>
      </c>
      <c r="K1238" s="5">
        <f>ABS(G1238-H1238)/ABS(G1238)</f>
        <v>0</v>
      </c>
    </row>
    <row r="1239" spans="3:11" x14ac:dyDescent="0.2">
      <c r="C1239" t="s">
        <v>2310</v>
      </c>
      <c r="D1239" t="b">
        <f ca="1">IF(CELL("format",F1239)="G",IF(ABS(F1239-G1239) &lt;= ABS(F1239*B$3),TRUE,FALSE),IF(F1239=G1239,TRUE,FALSE))</f>
        <v>1</v>
      </c>
      <c r="E1239" s="5" t="e">
        <f>ABS(F1239-G1239)/ABS(F1239)</f>
        <v>#DIV/0!</v>
      </c>
      <c r="F1239">
        <v>0</v>
      </c>
      <c r="G1239">
        <v>0</v>
      </c>
      <c r="H1239">
        <v>0</v>
      </c>
      <c r="J1239" s="5" t="e">
        <f>ABS(F1239-G1239)/ABS(F1239)</f>
        <v>#DIV/0!</v>
      </c>
      <c r="K1239" s="5" t="e">
        <f>ABS(G1239-H1239)/ABS(G1239)</f>
        <v>#DIV/0!</v>
      </c>
    </row>
    <row r="1240" spans="3:11" x14ac:dyDescent="0.2">
      <c r="C1240" t="s">
        <v>2311</v>
      </c>
      <c r="D1240" t="b">
        <f ca="1">IF(CELL("format",F1240)="G",IF(ABS(F1240-G1240) &lt;= ABS(F1240*B$3),TRUE,FALSE),IF(F1240=G1240,TRUE,FALSE))</f>
        <v>1</v>
      </c>
      <c r="E1240" s="5">
        <f>ABS(F1240-G1240)/ABS(F1240)</f>
        <v>0</v>
      </c>
      <c r="F1240">
        <v>-1.37</v>
      </c>
      <c r="G1240">
        <v>-1.37</v>
      </c>
      <c r="H1240">
        <v>-1.37</v>
      </c>
      <c r="J1240" s="5">
        <f>ABS(F1240-G1240)/ABS(F1240)</f>
        <v>0</v>
      </c>
      <c r="K1240" s="5">
        <f>ABS(G1240-H1240)/ABS(G1240)</f>
        <v>0</v>
      </c>
    </row>
    <row r="1241" spans="3:11" x14ac:dyDescent="0.2">
      <c r="C1241" t="s">
        <v>2312</v>
      </c>
      <c r="D1241" t="b">
        <f ca="1">IF(CELL("format",F1241)="G",IF(ABS(F1241-G1241) &lt;= ABS(F1241*B$3),TRUE,FALSE),IF(F1241=G1241,TRUE,FALSE))</f>
        <v>1</v>
      </c>
      <c r="E1241" s="5">
        <f>ABS(F1241-G1241)/ABS(F1241)</f>
        <v>0</v>
      </c>
      <c r="F1241">
        <v>-3.66</v>
      </c>
      <c r="G1241">
        <v>-3.66</v>
      </c>
      <c r="H1241">
        <v>-3.66</v>
      </c>
      <c r="J1241" s="5">
        <f>ABS(F1241-G1241)/ABS(F1241)</f>
        <v>0</v>
      </c>
      <c r="K1241" s="5">
        <f>ABS(G1241-H1241)/ABS(G1241)</f>
        <v>0</v>
      </c>
    </row>
    <row r="1242" spans="3:11" x14ac:dyDescent="0.2">
      <c r="C1242" t="s">
        <v>2313</v>
      </c>
      <c r="D1242" t="b">
        <f ca="1">IF(CELL("format",F1242)="G",IF(ABS(F1242-G1242) &lt;= ABS(F1242*B$3),TRUE,FALSE),IF(F1242=G1242,TRUE,FALSE))</f>
        <v>1</v>
      </c>
      <c r="E1242" s="5">
        <f>ABS(F1242-G1242)/ABS(F1242)</f>
        <v>0</v>
      </c>
      <c r="F1242">
        <v>-4.99</v>
      </c>
      <c r="G1242">
        <v>-4.99</v>
      </c>
      <c r="H1242">
        <v>-4.99</v>
      </c>
      <c r="J1242" s="5">
        <f>ABS(F1242-G1242)/ABS(F1242)</f>
        <v>0</v>
      </c>
      <c r="K1242" s="5">
        <f>ABS(G1242-H1242)/ABS(G1242)</f>
        <v>0</v>
      </c>
    </row>
    <row r="1243" spans="3:11" x14ac:dyDescent="0.2">
      <c r="C1243" t="s">
        <v>2314</v>
      </c>
      <c r="D1243" t="b">
        <f ca="1">IF(CELL("format",F1243)="G",IF(ABS(F1243-G1243) &lt;= ABS(F1243*B$3),TRUE,FALSE),IF(F1243=G1243,TRUE,FALSE))</f>
        <v>1</v>
      </c>
      <c r="E1243" s="5">
        <f>ABS(F1243-G1243)/ABS(F1243)</f>
        <v>0</v>
      </c>
      <c r="F1243">
        <v>-5.16</v>
      </c>
      <c r="G1243">
        <v>-5.16</v>
      </c>
      <c r="H1243">
        <v>-5.16</v>
      </c>
      <c r="J1243" s="5">
        <f>ABS(F1243-G1243)/ABS(F1243)</f>
        <v>0</v>
      </c>
      <c r="K1243" s="5">
        <f>ABS(G1243-H1243)/ABS(G1243)</f>
        <v>0</v>
      </c>
    </row>
    <row r="1244" spans="3:11" x14ac:dyDescent="0.2">
      <c r="C1244" t="s">
        <v>2315</v>
      </c>
      <c r="D1244" t="b">
        <f ca="1">IF(CELL("format",F1244)="G",IF(ABS(F1244-G1244) &lt;= ABS(F1244*B$3),TRUE,FALSE),IF(F1244=G1244,TRUE,FALSE))</f>
        <v>1</v>
      </c>
      <c r="E1244" s="5">
        <f>ABS(F1244-G1244)/ABS(F1244)</f>
        <v>0</v>
      </c>
      <c r="F1244">
        <v>-4.17</v>
      </c>
      <c r="G1244">
        <v>-4.17</v>
      </c>
      <c r="H1244">
        <v>-4.17</v>
      </c>
      <c r="J1244" s="5">
        <f>ABS(F1244-G1244)/ABS(F1244)</f>
        <v>0</v>
      </c>
      <c r="K1244" s="5">
        <f>ABS(G1244-H1244)/ABS(G1244)</f>
        <v>0</v>
      </c>
    </row>
    <row r="1245" spans="3:11" x14ac:dyDescent="0.2">
      <c r="C1245" t="s">
        <v>2316</v>
      </c>
      <c r="D1245" t="b">
        <f ca="1">IF(CELL("format",F1245)="G",IF(ABS(F1245-G1245) &lt;= ABS(F1245*B$3),TRUE,FALSE),IF(F1245=G1245,TRUE,FALSE))</f>
        <v>1</v>
      </c>
      <c r="E1245" s="5">
        <f>ABS(F1245-G1245)/ABS(F1245)</f>
        <v>0</v>
      </c>
      <c r="F1245">
        <v>-2.78</v>
      </c>
      <c r="G1245">
        <v>-2.78</v>
      </c>
      <c r="H1245">
        <v>-2.78</v>
      </c>
      <c r="J1245" s="5">
        <f>ABS(F1245-G1245)/ABS(F1245)</f>
        <v>0</v>
      </c>
      <c r="K1245" s="5">
        <f>ABS(G1245-H1245)/ABS(G1245)</f>
        <v>0</v>
      </c>
    </row>
    <row r="1246" spans="3:11" x14ac:dyDescent="0.2">
      <c r="C1246" t="s">
        <v>2317</v>
      </c>
      <c r="D1246" t="b">
        <f ca="1">IF(CELL("format",F1246)="G",IF(ABS(F1246-G1246) &lt;= ABS(F1246*B$3),TRUE,FALSE),IF(F1246=G1246,TRUE,FALSE))</f>
        <v>1</v>
      </c>
      <c r="E1246" s="5">
        <f>ABS(F1246-G1246)/ABS(F1246)</f>
        <v>0</v>
      </c>
      <c r="F1246">
        <v>-0.99</v>
      </c>
      <c r="G1246">
        <v>-0.99</v>
      </c>
      <c r="H1246">
        <v>-0.99</v>
      </c>
      <c r="J1246" s="5">
        <f>ABS(F1246-G1246)/ABS(F1246)</f>
        <v>0</v>
      </c>
      <c r="K1246" s="5">
        <f>ABS(G1246-H1246)/ABS(G1246)</f>
        <v>0</v>
      </c>
    </row>
    <row r="1247" spans="3:11" x14ac:dyDescent="0.2">
      <c r="C1247" t="s">
        <v>2318</v>
      </c>
      <c r="D1247" t="b">
        <f ca="1">IF(CELL("format",F1247)="G",IF(ABS(F1247-G1247) &lt;= ABS(F1247*B$3),TRUE,FALSE),IF(F1247=G1247,TRUE,FALSE))</f>
        <v>1</v>
      </c>
      <c r="E1247" s="5" t="e">
        <f>ABS(F1247-G1247)/ABS(F1247)</f>
        <v>#DIV/0!</v>
      </c>
      <c r="F1247">
        <v>0</v>
      </c>
      <c r="G1247">
        <v>0</v>
      </c>
      <c r="H1247">
        <v>0</v>
      </c>
      <c r="J1247" s="5" t="e">
        <f>ABS(F1247-G1247)/ABS(F1247)</f>
        <v>#DIV/0!</v>
      </c>
      <c r="K1247" s="5" t="e">
        <f>ABS(G1247-H1247)/ABS(G1247)</f>
        <v>#DIV/0!</v>
      </c>
    </row>
    <row r="1248" spans="3:11" x14ac:dyDescent="0.2">
      <c r="C1248" t="s">
        <v>2319</v>
      </c>
      <c r="D1248" t="b">
        <f ca="1">IF(CELL("format",F1248)="G",IF(ABS(F1248-G1248) &lt;= ABS(F1248*B$3),TRUE,FALSE),IF(F1248=G1248,TRUE,FALSE))</f>
        <v>1</v>
      </c>
      <c r="E1248" s="5">
        <f>ABS(F1248-G1248)/ABS(F1248)</f>
        <v>0</v>
      </c>
      <c r="F1248">
        <v>0.46</v>
      </c>
      <c r="G1248">
        <v>0.46</v>
      </c>
      <c r="H1248">
        <v>0.46</v>
      </c>
      <c r="J1248" s="5">
        <f>ABS(F1248-G1248)/ABS(F1248)</f>
        <v>0</v>
      </c>
      <c r="K1248" s="5">
        <f>ABS(G1248-H1248)/ABS(G1248)</f>
        <v>0</v>
      </c>
    </row>
    <row r="1249" spans="3:11" x14ac:dyDescent="0.2">
      <c r="C1249" t="s">
        <v>2320</v>
      </c>
      <c r="D1249" t="b">
        <f ca="1">IF(CELL("format",F1249)="G",IF(ABS(F1249-G1249) &lt;= ABS(F1249*B$3),TRUE,FALSE),IF(F1249=G1249,TRUE,FALSE))</f>
        <v>1</v>
      </c>
      <c r="E1249" s="5">
        <f>ABS(F1249-G1249)/ABS(F1249)</f>
        <v>0</v>
      </c>
      <c r="F1249">
        <v>1.62</v>
      </c>
      <c r="G1249">
        <v>1.62</v>
      </c>
      <c r="H1249">
        <v>1.62</v>
      </c>
      <c r="J1249" s="5">
        <f>ABS(F1249-G1249)/ABS(F1249)</f>
        <v>0</v>
      </c>
      <c r="K1249" s="5">
        <f>ABS(G1249-H1249)/ABS(G1249)</f>
        <v>0</v>
      </c>
    </row>
    <row r="1250" spans="3:11" x14ac:dyDescent="0.2">
      <c r="C1250" t="s">
        <v>2321</v>
      </c>
      <c r="D1250" t="b">
        <f ca="1">IF(CELL("format",F1250)="G",IF(ABS(F1250-G1250) &lt;= ABS(F1250*B$3),TRUE,FALSE),IF(F1250=G1250,TRUE,FALSE))</f>
        <v>1</v>
      </c>
      <c r="E1250" s="5">
        <f>ABS(F1250-G1250)/ABS(F1250)</f>
        <v>0</v>
      </c>
      <c r="F1250">
        <v>2.2200000000000002</v>
      </c>
      <c r="G1250">
        <v>2.2200000000000002</v>
      </c>
      <c r="H1250">
        <v>2.2200000000000002</v>
      </c>
      <c r="J1250" s="5">
        <f>ABS(F1250-G1250)/ABS(F1250)</f>
        <v>0</v>
      </c>
      <c r="K1250" s="5">
        <f>ABS(G1250-H1250)/ABS(G1250)</f>
        <v>0</v>
      </c>
    </row>
    <row r="1251" spans="3:11" x14ac:dyDescent="0.2">
      <c r="C1251" t="s">
        <v>2322</v>
      </c>
      <c r="D1251" t="b">
        <f ca="1">IF(CELL("format",F1251)="G",IF(ABS(F1251-G1251) &lt;= ABS(F1251*B$3),TRUE,FALSE),IF(F1251=G1251,TRUE,FALSE))</f>
        <v>1</v>
      </c>
      <c r="E1251" s="5">
        <f>ABS(F1251-G1251)/ABS(F1251)</f>
        <v>0</v>
      </c>
      <c r="F1251">
        <v>2.6</v>
      </c>
      <c r="G1251">
        <v>2.6</v>
      </c>
      <c r="H1251">
        <v>2.6</v>
      </c>
      <c r="J1251" s="5">
        <f>ABS(F1251-G1251)/ABS(F1251)</f>
        <v>0</v>
      </c>
      <c r="K1251" s="5">
        <f>ABS(G1251-H1251)/ABS(G1251)</f>
        <v>0</v>
      </c>
    </row>
    <row r="1252" spans="3:11" x14ac:dyDescent="0.2">
      <c r="C1252" t="s">
        <v>2323</v>
      </c>
      <c r="D1252" t="b">
        <f ca="1">IF(CELL("format",F1252)="G",IF(ABS(F1252-G1252) &lt;= ABS(F1252*B$3),TRUE,FALSE),IF(F1252=G1252,TRUE,FALSE))</f>
        <v>1</v>
      </c>
      <c r="E1252" s="5">
        <f>ABS(F1252-G1252)/ABS(F1252)</f>
        <v>0</v>
      </c>
      <c r="F1252">
        <v>2.88</v>
      </c>
      <c r="G1252">
        <v>2.88</v>
      </c>
      <c r="H1252">
        <v>2.88</v>
      </c>
      <c r="J1252" s="5">
        <f>ABS(F1252-G1252)/ABS(F1252)</f>
        <v>0</v>
      </c>
      <c r="K1252" s="5">
        <f>ABS(G1252-H1252)/ABS(G1252)</f>
        <v>0</v>
      </c>
    </row>
    <row r="1253" spans="3:11" x14ac:dyDescent="0.2">
      <c r="C1253" t="s">
        <v>2324</v>
      </c>
      <c r="D1253" t="b">
        <f ca="1">IF(CELL("format",F1253)="G",IF(ABS(F1253-G1253) &lt;= ABS(F1253*B$3),TRUE,FALSE),IF(F1253=G1253,TRUE,FALSE))</f>
        <v>1</v>
      </c>
      <c r="E1253" s="5">
        <f>ABS(F1253-G1253)/ABS(F1253)</f>
        <v>0</v>
      </c>
      <c r="F1253">
        <v>2.99</v>
      </c>
      <c r="G1253">
        <v>2.99</v>
      </c>
      <c r="H1253">
        <v>2.99</v>
      </c>
      <c r="J1253" s="5">
        <f>ABS(F1253-G1253)/ABS(F1253)</f>
        <v>0</v>
      </c>
      <c r="K1253" s="5">
        <f>ABS(G1253-H1253)/ABS(G1253)</f>
        <v>0</v>
      </c>
    </row>
    <row r="1254" spans="3:11" x14ac:dyDescent="0.2">
      <c r="C1254" t="s">
        <v>2301</v>
      </c>
      <c r="D1254" t="b">
        <f ca="1">IF(CELL("format",F1254)="G",IF(ABS(F1254-G1254) &lt;= ABS(F1254*B$3),TRUE,FALSE),IF(F1254=G1254,TRUE,FALSE))</f>
        <v>1</v>
      </c>
      <c r="E1254" s="5">
        <f>ABS(F1254-G1254)/ABS(F1254)</f>
        <v>0</v>
      </c>
      <c r="F1254">
        <v>1.25</v>
      </c>
      <c r="G1254">
        <v>1.25</v>
      </c>
      <c r="H1254">
        <v>1.25</v>
      </c>
      <c r="J1254" s="5">
        <f>ABS(F1254-G1254)/ABS(F1254)</f>
        <v>0</v>
      </c>
      <c r="K1254" s="5">
        <f>ABS(G1254-H1254)/ABS(G1254)</f>
        <v>0</v>
      </c>
    </row>
    <row r="1255" spans="3:11" x14ac:dyDescent="0.2">
      <c r="C1255" t="s">
        <v>2302</v>
      </c>
      <c r="D1255" t="b">
        <f ca="1">IF(CELL("format",F1255)="G",IF(ABS(F1255-G1255) &lt;= ABS(F1255*B$3),TRUE,FALSE),IF(F1255=G1255,TRUE,FALSE))</f>
        <v>1</v>
      </c>
      <c r="E1255" s="5">
        <f>ABS(F1255-G1255)/ABS(F1255)</f>
        <v>0</v>
      </c>
      <c r="F1255">
        <v>1.36</v>
      </c>
      <c r="G1255">
        <v>1.36</v>
      </c>
      <c r="H1255">
        <v>1.36</v>
      </c>
      <c r="J1255" s="5">
        <f>ABS(F1255-G1255)/ABS(F1255)</f>
        <v>0</v>
      </c>
      <c r="K1255" s="5">
        <f>ABS(G1255-H1255)/ABS(G1255)</f>
        <v>0</v>
      </c>
    </row>
    <row r="1256" spans="3:11" x14ac:dyDescent="0.2">
      <c r="C1256" t="s">
        <v>2303</v>
      </c>
      <c r="D1256" t="b">
        <f ca="1">IF(CELL("format",F1256)="G",IF(ABS(F1256-G1256) &lt;= ABS(F1256*B$3),TRUE,FALSE),IF(F1256=G1256,TRUE,FALSE))</f>
        <v>1</v>
      </c>
      <c r="E1256" s="5">
        <f>ABS(F1256-G1256)/ABS(F1256)</f>
        <v>0</v>
      </c>
      <c r="F1256">
        <v>1.44</v>
      </c>
      <c r="G1256">
        <v>1.44</v>
      </c>
      <c r="H1256">
        <v>1.44</v>
      </c>
      <c r="J1256" s="5">
        <f>ABS(F1256-G1256)/ABS(F1256)</f>
        <v>0</v>
      </c>
      <c r="K1256" s="5">
        <f>ABS(G1256-H1256)/ABS(G1256)</f>
        <v>0</v>
      </c>
    </row>
    <row r="1257" spans="3:11" x14ac:dyDescent="0.2">
      <c r="C1257" t="s">
        <v>2304</v>
      </c>
      <c r="D1257" t="b">
        <f ca="1">IF(CELL("format",F1257)="G",IF(ABS(F1257-G1257) &lt;= ABS(F1257*B$3),TRUE,FALSE),IF(F1257=G1257,TRUE,FALSE))</f>
        <v>1</v>
      </c>
      <c r="E1257" s="5">
        <f>ABS(F1257-G1257)/ABS(F1257)</f>
        <v>0</v>
      </c>
      <c r="F1257">
        <v>1.5</v>
      </c>
      <c r="G1257">
        <v>1.5</v>
      </c>
      <c r="H1257">
        <v>1.5</v>
      </c>
      <c r="J1257" s="5">
        <f>ABS(F1257-G1257)/ABS(F1257)</f>
        <v>0</v>
      </c>
      <c r="K1257" s="5">
        <f>ABS(G1257-H1257)/ABS(G1257)</f>
        <v>0</v>
      </c>
    </row>
    <row r="1258" spans="3:11" x14ac:dyDescent="0.2">
      <c r="C1258" t="s">
        <v>2305</v>
      </c>
      <c r="D1258" t="b">
        <f ca="1">IF(CELL("format",F1258)="G",IF(ABS(F1258-G1258) &lt;= ABS(F1258*B$3),TRUE,FALSE),IF(F1258=G1258,TRUE,FALSE))</f>
        <v>1</v>
      </c>
      <c r="E1258" s="5">
        <f>ABS(F1258-G1258)/ABS(F1258)</f>
        <v>0</v>
      </c>
      <c r="F1258">
        <v>1.53</v>
      </c>
      <c r="G1258">
        <v>1.53</v>
      </c>
      <c r="H1258">
        <v>1.53</v>
      </c>
      <c r="J1258" s="5">
        <f>ABS(F1258-G1258)/ABS(F1258)</f>
        <v>0</v>
      </c>
      <c r="K1258" s="5">
        <f>ABS(G1258-H1258)/ABS(G1258)</f>
        <v>0</v>
      </c>
    </row>
    <row r="1259" spans="3:11" x14ac:dyDescent="0.2">
      <c r="C1259" t="s">
        <v>2306</v>
      </c>
      <c r="D1259" t="b">
        <f ca="1">IF(CELL("format",F1259)="G",IF(ABS(F1259-G1259) &lt;= ABS(F1259*B$3),TRUE,FALSE),IF(F1259=G1259,TRUE,FALSE))</f>
        <v>1</v>
      </c>
      <c r="E1259" s="5">
        <f>ABS(F1259-G1259)/ABS(F1259)</f>
        <v>0</v>
      </c>
      <c r="F1259">
        <v>1.55</v>
      </c>
      <c r="G1259">
        <v>1.55</v>
      </c>
      <c r="H1259">
        <v>1.55</v>
      </c>
      <c r="J1259" s="5">
        <f>ABS(F1259-G1259)/ABS(F1259)</f>
        <v>0</v>
      </c>
      <c r="K1259" s="5">
        <f>ABS(G1259-H1259)/ABS(G1259)</f>
        <v>0</v>
      </c>
    </row>
    <row r="1260" spans="3:11" x14ac:dyDescent="0.2">
      <c r="C1260" t="s">
        <v>2307</v>
      </c>
      <c r="D1260" t="b">
        <f ca="1">IF(CELL("format",F1260)="G",IF(ABS(F1260-G1260) &lt;= ABS(F1260*B$3),TRUE,FALSE),IF(F1260=G1260,TRUE,FALSE))</f>
        <v>1</v>
      </c>
      <c r="E1260" s="5">
        <f>ABS(F1260-G1260)/ABS(F1260)</f>
        <v>0</v>
      </c>
      <c r="F1260">
        <v>1.55</v>
      </c>
      <c r="G1260">
        <v>1.55</v>
      </c>
      <c r="H1260">
        <v>1.55</v>
      </c>
      <c r="J1260" s="5">
        <f>ABS(F1260-G1260)/ABS(F1260)</f>
        <v>0</v>
      </c>
      <c r="K1260" s="5">
        <f>ABS(G1260-H1260)/ABS(G1260)</f>
        <v>0</v>
      </c>
    </row>
    <row r="1261" spans="3:11" x14ac:dyDescent="0.2">
      <c r="C1261" t="s">
        <v>2308</v>
      </c>
      <c r="D1261" t="b">
        <f ca="1">IF(CELL("format",F1261)="G",IF(ABS(F1261-G1261) &lt;= ABS(F1261*B$3),TRUE,FALSE),IF(F1261=G1261,TRUE,FALSE))</f>
        <v>1</v>
      </c>
      <c r="E1261" s="5">
        <f>ABS(F1261-G1261)/ABS(F1261)</f>
        <v>0</v>
      </c>
      <c r="F1261">
        <v>1.1599999999999999</v>
      </c>
      <c r="G1261">
        <v>1.1599999999999999</v>
      </c>
      <c r="H1261">
        <v>1.1599999999999999</v>
      </c>
      <c r="J1261" s="5">
        <f>ABS(F1261-G1261)/ABS(F1261)</f>
        <v>0</v>
      </c>
      <c r="K1261" s="5">
        <f>ABS(G1261-H1261)/ABS(G1261)</f>
        <v>0</v>
      </c>
    </row>
    <row r="1262" spans="3:11" x14ac:dyDescent="0.2">
      <c r="C1262" t="s">
        <v>2309</v>
      </c>
      <c r="D1262" t="b">
        <f ca="1">IF(CELL("format",F1262)="G",IF(ABS(F1262-G1262) &lt;= ABS(F1262*B$3),TRUE,FALSE),IF(F1262=G1262,TRUE,FALSE))</f>
        <v>1</v>
      </c>
      <c r="E1262" s="5">
        <f>ABS(F1262-G1262)/ABS(F1262)</f>
        <v>0</v>
      </c>
      <c r="F1262">
        <v>0.15</v>
      </c>
      <c r="G1262">
        <v>0.15</v>
      </c>
      <c r="H1262">
        <v>0.15</v>
      </c>
      <c r="J1262" s="5">
        <f>ABS(F1262-G1262)/ABS(F1262)</f>
        <v>0</v>
      </c>
      <c r="K1262" s="5">
        <f>ABS(G1262-H1262)/ABS(G1262)</f>
        <v>0</v>
      </c>
    </row>
    <row r="1263" spans="3:11" x14ac:dyDescent="0.2">
      <c r="C1263" t="s">
        <v>2310</v>
      </c>
      <c r="D1263" t="b">
        <f ca="1">IF(CELL("format",F1263)="G",IF(ABS(F1263-G1263) &lt;= ABS(F1263*B$3),TRUE,FALSE),IF(F1263=G1263,TRUE,FALSE))</f>
        <v>1</v>
      </c>
      <c r="E1263" s="5">
        <f>ABS(F1263-G1263)/ABS(F1263)</f>
        <v>0</v>
      </c>
      <c r="F1263">
        <v>-0.12</v>
      </c>
      <c r="G1263">
        <v>-0.12</v>
      </c>
      <c r="H1263">
        <v>-0.12</v>
      </c>
      <c r="J1263" s="5">
        <f>ABS(F1263-G1263)/ABS(F1263)</f>
        <v>0</v>
      </c>
      <c r="K1263" s="5">
        <f>ABS(G1263-H1263)/ABS(G1263)</f>
        <v>0</v>
      </c>
    </row>
    <row r="1264" spans="3:11" x14ac:dyDescent="0.2">
      <c r="C1264" t="s">
        <v>2311</v>
      </c>
      <c r="D1264" t="b">
        <f ca="1">IF(CELL("format",F1264)="G",IF(ABS(F1264-G1264) &lt;= ABS(F1264*B$3),TRUE,FALSE),IF(F1264=G1264,TRUE,FALSE))</f>
        <v>1</v>
      </c>
      <c r="E1264" s="5">
        <f>ABS(F1264-G1264)/ABS(F1264)</f>
        <v>0</v>
      </c>
      <c r="F1264">
        <v>-2.29</v>
      </c>
      <c r="G1264">
        <v>-2.29</v>
      </c>
      <c r="H1264">
        <v>-2.29</v>
      </c>
      <c r="J1264" s="5">
        <f>ABS(F1264-G1264)/ABS(F1264)</f>
        <v>0</v>
      </c>
      <c r="K1264" s="5">
        <f>ABS(G1264-H1264)/ABS(G1264)</f>
        <v>0</v>
      </c>
    </row>
    <row r="1265" spans="3:11" x14ac:dyDescent="0.2">
      <c r="C1265" t="s">
        <v>2312</v>
      </c>
      <c r="D1265" t="b">
        <f ca="1">IF(CELL("format",F1265)="G",IF(ABS(F1265-G1265) &lt;= ABS(F1265*B$3),TRUE,FALSE),IF(F1265=G1265,TRUE,FALSE))</f>
        <v>1</v>
      </c>
      <c r="E1265" s="5">
        <f>ABS(F1265-G1265)/ABS(F1265)</f>
        <v>0</v>
      </c>
      <c r="F1265">
        <v>-4.38</v>
      </c>
      <c r="G1265">
        <v>-4.38</v>
      </c>
      <c r="H1265">
        <v>-4.38</v>
      </c>
      <c r="J1265" s="5">
        <f>ABS(F1265-G1265)/ABS(F1265)</f>
        <v>0</v>
      </c>
      <c r="K1265" s="5">
        <f>ABS(G1265-H1265)/ABS(G1265)</f>
        <v>0</v>
      </c>
    </row>
    <row r="1266" spans="3:11" x14ac:dyDescent="0.2">
      <c r="C1266" t="s">
        <v>2313</v>
      </c>
      <c r="D1266" t="b">
        <f ca="1">IF(CELL("format",F1266)="G",IF(ABS(F1266-G1266) &lt;= ABS(F1266*B$3),TRUE,FALSE),IF(F1266=G1266,TRUE,FALSE))</f>
        <v>1</v>
      </c>
      <c r="E1266" s="5">
        <f>ABS(F1266-G1266)/ABS(F1266)</f>
        <v>0</v>
      </c>
      <c r="F1266">
        <v>-5.55</v>
      </c>
      <c r="G1266">
        <v>-5.55</v>
      </c>
      <c r="H1266">
        <v>-5.55</v>
      </c>
      <c r="J1266" s="5">
        <f>ABS(F1266-G1266)/ABS(F1266)</f>
        <v>0</v>
      </c>
      <c r="K1266" s="5">
        <f>ABS(G1266-H1266)/ABS(G1266)</f>
        <v>0</v>
      </c>
    </row>
    <row r="1267" spans="3:11" x14ac:dyDescent="0.2">
      <c r="C1267" t="s">
        <v>2314</v>
      </c>
      <c r="D1267" t="b">
        <f ca="1">IF(CELL("format",F1267)="G",IF(ABS(F1267-G1267) &lt;= ABS(F1267*B$3),TRUE,FALSE),IF(F1267=G1267,TRUE,FALSE))</f>
        <v>1</v>
      </c>
      <c r="E1267" s="5">
        <f>ABS(F1267-G1267)/ABS(F1267)</f>
        <v>0</v>
      </c>
      <c r="F1267">
        <v>-5.72</v>
      </c>
      <c r="G1267">
        <v>-5.72</v>
      </c>
      <c r="H1267">
        <v>-5.72</v>
      </c>
      <c r="J1267" s="5">
        <f>ABS(F1267-G1267)/ABS(F1267)</f>
        <v>0</v>
      </c>
      <c r="K1267" s="5">
        <f>ABS(G1267-H1267)/ABS(G1267)</f>
        <v>0</v>
      </c>
    </row>
    <row r="1268" spans="3:11" x14ac:dyDescent="0.2">
      <c r="C1268" t="s">
        <v>2315</v>
      </c>
      <c r="D1268" t="b">
        <f ca="1">IF(CELL("format",F1268)="G",IF(ABS(F1268-G1268) &lt;= ABS(F1268*B$3),TRUE,FALSE),IF(F1268=G1268,TRUE,FALSE))</f>
        <v>1</v>
      </c>
      <c r="E1268" s="5">
        <f>ABS(F1268-G1268)/ABS(F1268)</f>
        <v>0</v>
      </c>
      <c r="F1268">
        <v>-5.09</v>
      </c>
      <c r="G1268">
        <v>-5.09</v>
      </c>
      <c r="H1268">
        <v>-5.09</v>
      </c>
      <c r="J1268" s="5">
        <f>ABS(F1268-G1268)/ABS(F1268)</f>
        <v>0</v>
      </c>
      <c r="K1268" s="5">
        <f>ABS(G1268-H1268)/ABS(G1268)</f>
        <v>0</v>
      </c>
    </row>
    <row r="1269" spans="3:11" x14ac:dyDescent="0.2">
      <c r="C1269" t="s">
        <v>2316</v>
      </c>
      <c r="D1269" t="b">
        <f ca="1">IF(CELL("format",F1269)="G",IF(ABS(F1269-G1269) &lt;= ABS(F1269*B$3),TRUE,FALSE),IF(F1269=G1269,TRUE,FALSE))</f>
        <v>1</v>
      </c>
      <c r="E1269" s="5">
        <f>ABS(F1269-G1269)/ABS(F1269)</f>
        <v>0</v>
      </c>
      <c r="F1269">
        <v>-3.92</v>
      </c>
      <c r="G1269">
        <v>-3.92</v>
      </c>
      <c r="H1269">
        <v>-3.92</v>
      </c>
      <c r="J1269" s="5">
        <f>ABS(F1269-G1269)/ABS(F1269)</f>
        <v>0</v>
      </c>
      <c r="K1269" s="5">
        <f>ABS(G1269-H1269)/ABS(G1269)</f>
        <v>0</v>
      </c>
    </row>
    <row r="1270" spans="3:11" x14ac:dyDescent="0.2">
      <c r="C1270" t="s">
        <v>2317</v>
      </c>
      <c r="D1270" t="b">
        <f ca="1">IF(CELL("format",F1270)="G",IF(ABS(F1270-G1270) &lt;= ABS(F1270*B$3),TRUE,FALSE),IF(F1270=G1270,TRUE,FALSE))</f>
        <v>1</v>
      </c>
      <c r="E1270" s="5">
        <f>ABS(F1270-G1270)/ABS(F1270)</f>
        <v>0</v>
      </c>
      <c r="F1270">
        <v>-2.2400000000000002</v>
      </c>
      <c r="G1270">
        <v>-2.2400000000000002</v>
      </c>
      <c r="H1270">
        <v>-2.2400000000000002</v>
      </c>
      <c r="J1270" s="5">
        <f>ABS(F1270-G1270)/ABS(F1270)</f>
        <v>0</v>
      </c>
      <c r="K1270" s="5">
        <f>ABS(G1270-H1270)/ABS(G1270)</f>
        <v>0</v>
      </c>
    </row>
    <row r="1271" spans="3:11" x14ac:dyDescent="0.2">
      <c r="C1271" t="s">
        <v>2318</v>
      </c>
      <c r="D1271" t="b">
        <f ca="1">IF(CELL("format",F1271)="G",IF(ABS(F1271-G1271) &lt;= ABS(F1271*B$3),TRUE,FALSE),IF(F1271=G1271,TRUE,FALSE))</f>
        <v>1</v>
      </c>
      <c r="E1271" s="5">
        <f>ABS(F1271-G1271)/ABS(F1271)</f>
        <v>0</v>
      </c>
      <c r="F1271">
        <v>-0.36</v>
      </c>
      <c r="G1271">
        <v>-0.36</v>
      </c>
      <c r="H1271">
        <v>-0.36</v>
      </c>
      <c r="J1271" s="5">
        <f>ABS(F1271-G1271)/ABS(F1271)</f>
        <v>0</v>
      </c>
      <c r="K1271" s="5">
        <f>ABS(G1271-H1271)/ABS(G1271)</f>
        <v>0</v>
      </c>
    </row>
    <row r="1272" spans="3:11" x14ac:dyDescent="0.2">
      <c r="C1272" t="s">
        <v>2319</v>
      </c>
      <c r="D1272" t="b">
        <f ca="1">IF(CELL("format",F1272)="G",IF(ABS(F1272-G1272) &lt;= ABS(F1272*B$3),TRUE,FALSE),IF(F1272=G1272,TRUE,FALSE))</f>
        <v>1</v>
      </c>
      <c r="E1272" s="5" t="e">
        <f>ABS(F1272-G1272)/ABS(F1272)</f>
        <v>#DIV/0!</v>
      </c>
      <c r="F1272">
        <v>0</v>
      </c>
      <c r="G1272">
        <v>0</v>
      </c>
      <c r="H1272">
        <v>0</v>
      </c>
      <c r="J1272" s="5" t="e">
        <f>ABS(F1272-G1272)/ABS(F1272)</f>
        <v>#DIV/0!</v>
      </c>
      <c r="K1272" s="5" t="e">
        <f>ABS(G1272-H1272)/ABS(G1272)</f>
        <v>#DIV/0!</v>
      </c>
    </row>
    <row r="1273" spans="3:11" x14ac:dyDescent="0.2">
      <c r="C1273" t="s">
        <v>2320</v>
      </c>
      <c r="D1273" t="b">
        <f ca="1">IF(CELL("format",F1273)="G",IF(ABS(F1273-G1273) &lt;= ABS(F1273*B$3),TRUE,FALSE),IF(F1273=G1273,TRUE,FALSE))</f>
        <v>1</v>
      </c>
      <c r="E1273" s="5" t="e">
        <f>ABS(F1273-G1273)/ABS(F1273)</f>
        <v>#DIV/0!</v>
      </c>
      <c r="F1273">
        <v>0</v>
      </c>
      <c r="G1273">
        <v>0</v>
      </c>
      <c r="H1273">
        <v>0</v>
      </c>
      <c r="J1273" s="5" t="e">
        <f>ABS(F1273-G1273)/ABS(F1273)</f>
        <v>#DIV/0!</v>
      </c>
      <c r="K1273" s="5" t="e">
        <f>ABS(G1273-H1273)/ABS(G1273)</f>
        <v>#DIV/0!</v>
      </c>
    </row>
    <row r="1274" spans="3:11" x14ac:dyDescent="0.2">
      <c r="C1274" t="s">
        <v>2321</v>
      </c>
      <c r="D1274" t="b">
        <f ca="1">IF(CELL("format",F1274)="G",IF(ABS(F1274-G1274) &lt;= ABS(F1274*B$3),TRUE,FALSE),IF(F1274=G1274,TRUE,FALSE))</f>
        <v>1</v>
      </c>
      <c r="E1274" s="5">
        <f>ABS(F1274-G1274)/ABS(F1274)</f>
        <v>0</v>
      </c>
      <c r="F1274">
        <v>0.27</v>
      </c>
      <c r="G1274">
        <v>0.27</v>
      </c>
      <c r="H1274">
        <v>0.27</v>
      </c>
      <c r="J1274" s="5">
        <f>ABS(F1274-G1274)/ABS(F1274)</f>
        <v>0</v>
      </c>
      <c r="K1274" s="5">
        <f>ABS(G1274-H1274)/ABS(G1274)</f>
        <v>0</v>
      </c>
    </row>
    <row r="1275" spans="3:11" x14ac:dyDescent="0.2">
      <c r="C1275" t="s">
        <v>2322</v>
      </c>
      <c r="D1275" t="b">
        <f ca="1">IF(CELL("format",F1275)="G",IF(ABS(F1275-G1275) &lt;= ABS(F1275*B$3),TRUE,FALSE),IF(F1275=G1275,TRUE,FALSE))</f>
        <v>1</v>
      </c>
      <c r="E1275" s="5">
        <f>ABS(F1275-G1275)/ABS(F1275)</f>
        <v>0</v>
      </c>
      <c r="F1275">
        <v>0.77</v>
      </c>
      <c r="G1275">
        <v>0.77</v>
      </c>
      <c r="H1275">
        <v>0.77</v>
      </c>
      <c r="J1275" s="5">
        <f>ABS(F1275-G1275)/ABS(F1275)</f>
        <v>0</v>
      </c>
      <c r="K1275" s="5">
        <f>ABS(G1275-H1275)/ABS(G1275)</f>
        <v>0</v>
      </c>
    </row>
    <row r="1276" spans="3:11" x14ac:dyDescent="0.2">
      <c r="C1276" t="s">
        <v>2323</v>
      </c>
      <c r="D1276" t="b">
        <f ca="1">IF(CELL("format",F1276)="G",IF(ABS(F1276-G1276) &lt;= ABS(F1276*B$3),TRUE,FALSE),IF(F1276=G1276,TRUE,FALSE))</f>
        <v>1</v>
      </c>
      <c r="E1276" s="5">
        <f>ABS(F1276-G1276)/ABS(F1276)</f>
        <v>0</v>
      </c>
      <c r="F1276">
        <v>1.1000000000000001</v>
      </c>
      <c r="G1276">
        <v>1.1000000000000001</v>
      </c>
      <c r="H1276">
        <v>1.1000000000000001</v>
      </c>
      <c r="J1276" s="5">
        <f>ABS(F1276-G1276)/ABS(F1276)</f>
        <v>0</v>
      </c>
      <c r="K1276" s="5">
        <f>ABS(G1276-H1276)/ABS(G1276)</f>
        <v>0</v>
      </c>
    </row>
    <row r="1277" spans="3:11" x14ac:dyDescent="0.2">
      <c r="C1277" t="s">
        <v>2324</v>
      </c>
      <c r="D1277" t="b">
        <f ca="1">IF(CELL("format",F1277)="G",IF(ABS(F1277-G1277) &lt;= ABS(F1277*B$3),TRUE,FALSE),IF(F1277=G1277,TRUE,FALSE))</f>
        <v>1</v>
      </c>
      <c r="E1277" s="5">
        <f>ABS(F1277-G1277)/ABS(F1277)</f>
        <v>0</v>
      </c>
      <c r="F1277">
        <v>1.32</v>
      </c>
      <c r="G1277">
        <v>1.32</v>
      </c>
      <c r="H1277">
        <v>1.32</v>
      </c>
      <c r="J1277" s="5">
        <f>ABS(F1277-G1277)/ABS(F1277)</f>
        <v>0</v>
      </c>
      <c r="K1277" s="5">
        <f>ABS(G1277-H1277)/ABS(G1277)</f>
        <v>0</v>
      </c>
    </row>
    <row r="1278" spans="3:11" x14ac:dyDescent="0.2">
      <c r="C1278" t="s">
        <v>2301</v>
      </c>
      <c r="D1278" t="b">
        <f ca="1">IF(CELL("format",F1278)="G",IF(ABS(F1278-G1278) &lt;= ABS(F1278*B$3),TRUE,FALSE),IF(F1278=G1278,TRUE,FALSE))</f>
        <v>1</v>
      </c>
      <c r="E1278" s="5">
        <f>ABS(F1278-G1278)/ABS(F1278)</f>
        <v>0</v>
      </c>
      <c r="F1278">
        <v>2.19</v>
      </c>
      <c r="G1278">
        <v>2.19</v>
      </c>
      <c r="H1278">
        <v>2.19</v>
      </c>
      <c r="J1278" s="5">
        <f>ABS(F1278-G1278)/ABS(F1278)</f>
        <v>0</v>
      </c>
      <c r="K1278" s="5">
        <f>ABS(G1278-H1278)/ABS(G1278)</f>
        <v>0</v>
      </c>
    </row>
    <row r="1279" spans="3:11" x14ac:dyDescent="0.2">
      <c r="C1279" t="s">
        <v>2302</v>
      </c>
      <c r="D1279" t="b">
        <f ca="1">IF(CELL("format",F1279)="G",IF(ABS(F1279-G1279) &lt;= ABS(F1279*B$3),TRUE,FALSE),IF(F1279=G1279,TRUE,FALSE))</f>
        <v>1</v>
      </c>
      <c r="E1279" s="5">
        <f>ABS(F1279-G1279)/ABS(F1279)</f>
        <v>0</v>
      </c>
      <c r="F1279">
        <v>2.2400000000000002</v>
      </c>
      <c r="G1279">
        <v>2.2400000000000002</v>
      </c>
      <c r="H1279">
        <v>2.2400000000000002</v>
      </c>
      <c r="J1279" s="5">
        <f>ABS(F1279-G1279)/ABS(F1279)</f>
        <v>0</v>
      </c>
      <c r="K1279" s="5">
        <f>ABS(G1279-H1279)/ABS(G1279)</f>
        <v>0</v>
      </c>
    </row>
    <row r="1280" spans="3:11" x14ac:dyDescent="0.2">
      <c r="C1280" t="s">
        <v>2303</v>
      </c>
      <c r="D1280" t="b">
        <f ca="1">IF(CELL("format",F1280)="G",IF(ABS(F1280-G1280) &lt;= ABS(F1280*B$3),TRUE,FALSE),IF(F1280=G1280,TRUE,FALSE))</f>
        <v>1</v>
      </c>
      <c r="E1280" s="5">
        <f>ABS(F1280-G1280)/ABS(F1280)</f>
        <v>0</v>
      </c>
      <c r="F1280">
        <v>2.29</v>
      </c>
      <c r="G1280">
        <v>2.29</v>
      </c>
      <c r="H1280">
        <v>2.29</v>
      </c>
      <c r="J1280" s="5">
        <f>ABS(F1280-G1280)/ABS(F1280)</f>
        <v>0</v>
      </c>
      <c r="K1280" s="5">
        <f>ABS(G1280-H1280)/ABS(G1280)</f>
        <v>0</v>
      </c>
    </row>
    <row r="1281" spans="3:11" x14ac:dyDescent="0.2">
      <c r="C1281" t="s">
        <v>2304</v>
      </c>
      <c r="D1281" t="b">
        <f ca="1">IF(CELL("format",F1281)="G",IF(ABS(F1281-G1281) &lt;= ABS(F1281*B$3),TRUE,FALSE),IF(F1281=G1281,TRUE,FALSE))</f>
        <v>1</v>
      </c>
      <c r="E1281" s="5">
        <f>ABS(F1281-G1281)/ABS(F1281)</f>
        <v>0</v>
      </c>
      <c r="F1281">
        <v>2.33</v>
      </c>
      <c r="G1281">
        <v>2.33</v>
      </c>
      <c r="H1281">
        <v>2.33</v>
      </c>
      <c r="J1281" s="5">
        <f>ABS(F1281-G1281)/ABS(F1281)</f>
        <v>0</v>
      </c>
      <c r="K1281" s="5">
        <f>ABS(G1281-H1281)/ABS(G1281)</f>
        <v>0</v>
      </c>
    </row>
    <row r="1282" spans="3:11" x14ac:dyDescent="0.2">
      <c r="C1282" t="s">
        <v>2305</v>
      </c>
      <c r="D1282" t="b">
        <f ca="1">IF(CELL("format",F1282)="G",IF(ABS(F1282-G1282) &lt;= ABS(F1282*B$3),TRUE,FALSE),IF(F1282=G1282,TRUE,FALSE))</f>
        <v>1</v>
      </c>
      <c r="E1282" s="5">
        <f>ABS(F1282-G1282)/ABS(F1282)</f>
        <v>0</v>
      </c>
      <c r="F1282">
        <v>2.35</v>
      </c>
      <c r="G1282">
        <v>2.35</v>
      </c>
      <c r="H1282">
        <v>2.35</v>
      </c>
      <c r="J1282" s="5">
        <f>ABS(F1282-G1282)/ABS(F1282)</f>
        <v>0</v>
      </c>
      <c r="K1282" s="5">
        <f>ABS(G1282-H1282)/ABS(G1282)</f>
        <v>0</v>
      </c>
    </row>
    <row r="1283" spans="3:11" x14ac:dyDescent="0.2">
      <c r="C1283" t="s">
        <v>2306</v>
      </c>
      <c r="D1283" t="b">
        <f ca="1">IF(CELL("format",F1283)="G",IF(ABS(F1283-G1283) &lt;= ABS(F1283*B$3),TRUE,FALSE),IF(F1283=G1283,TRUE,FALSE))</f>
        <v>1</v>
      </c>
      <c r="E1283" s="5">
        <f>ABS(F1283-G1283)/ABS(F1283)</f>
        <v>0</v>
      </c>
      <c r="F1283">
        <v>2.35</v>
      </c>
      <c r="G1283">
        <v>2.35</v>
      </c>
      <c r="H1283">
        <v>2.35</v>
      </c>
      <c r="J1283" s="5">
        <f>ABS(F1283-G1283)/ABS(F1283)</f>
        <v>0</v>
      </c>
      <c r="K1283" s="5">
        <f>ABS(G1283-H1283)/ABS(G1283)</f>
        <v>0</v>
      </c>
    </row>
    <row r="1284" spans="3:11" x14ac:dyDescent="0.2">
      <c r="C1284" t="s">
        <v>2307</v>
      </c>
      <c r="D1284" t="b">
        <f ca="1">IF(CELL("format",F1284)="G",IF(ABS(F1284-G1284) &lt;= ABS(F1284*B$3),TRUE,FALSE),IF(F1284=G1284,TRUE,FALSE))</f>
        <v>1</v>
      </c>
      <c r="E1284" s="5">
        <f>ABS(F1284-G1284)/ABS(F1284)</f>
        <v>0</v>
      </c>
      <c r="F1284">
        <v>2.36</v>
      </c>
      <c r="G1284">
        <v>2.36</v>
      </c>
      <c r="H1284">
        <v>2.36</v>
      </c>
      <c r="J1284" s="5">
        <f>ABS(F1284-G1284)/ABS(F1284)</f>
        <v>0</v>
      </c>
      <c r="K1284" s="5">
        <f>ABS(G1284-H1284)/ABS(G1284)</f>
        <v>0</v>
      </c>
    </row>
    <row r="1285" spans="3:11" x14ac:dyDescent="0.2">
      <c r="C1285" t="s">
        <v>2308</v>
      </c>
      <c r="D1285" t="b">
        <f ca="1">IF(CELL("format",F1285)="G",IF(ABS(F1285-G1285) &lt;= ABS(F1285*B$3),TRUE,FALSE),IF(F1285=G1285,TRUE,FALSE))</f>
        <v>1</v>
      </c>
      <c r="E1285" s="5">
        <f>ABS(F1285-G1285)/ABS(F1285)</f>
        <v>0</v>
      </c>
      <c r="F1285">
        <v>1.88</v>
      </c>
      <c r="G1285">
        <v>1.88</v>
      </c>
      <c r="H1285">
        <v>1.88</v>
      </c>
      <c r="J1285" s="5">
        <f>ABS(F1285-G1285)/ABS(F1285)</f>
        <v>0</v>
      </c>
      <c r="K1285" s="5">
        <f>ABS(G1285-H1285)/ABS(G1285)</f>
        <v>0</v>
      </c>
    </row>
    <row r="1286" spans="3:11" x14ac:dyDescent="0.2">
      <c r="C1286" t="s">
        <v>2309</v>
      </c>
      <c r="D1286" t="b">
        <f ca="1">IF(CELL("format",F1286)="G",IF(ABS(F1286-G1286) &lt;= ABS(F1286*B$3),TRUE,FALSE),IF(F1286=G1286,TRUE,FALSE))</f>
        <v>1</v>
      </c>
      <c r="E1286" s="5">
        <f>ABS(F1286-G1286)/ABS(F1286)</f>
        <v>0</v>
      </c>
      <c r="F1286">
        <v>0.44999999999999901</v>
      </c>
      <c r="G1286">
        <v>0.44999999999999901</v>
      </c>
      <c r="H1286">
        <v>0.44999999999999901</v>
      </c>
      <c r="J1286" s="5">
        <f>ABS(F1286-G1286)/ABS(F1286)</f>
        <v>0</v>
      </c>
      <c r="K1286" s="5">
        <f>ABS(G1286-H1286)/ABS(G1286)</f>
        <v>0</v>
      </c>
    </row>
    <row r="1287" spans="3:11" x14ac:dyDescent="0.2">
      <c r="C1287" t="s">
        <v>2310</v>
      </c>
      <c r="D1287" t="b">
        <f ca="1">IF(CELL("format",F1287)="G",IF(ABS(F1287-G1287) &lt;= ABS(F1287*B$3),TRUE,FALSE),IF(F1287=G1287,TRUE,FALSE))</f>
        <v>1</v>
      </c>
      <c r="E1287" s="5">
        <f>ABS(F1287-G1287)/ABS(F1287)</f>
        <v>0</v>
      </c>
      <c r="F1287">
        <v>-1.35</v>
      </c>
      <c r="G1287">
        <v>-1.35</v>
      </c>
      <c r="H1287">
        <v>-1.35</v>
      </c>
      <c r="J1287" s="5">
        <f>ABS(F1287-G1287)/ABS(F1287)</f>
        <v>0</v>
      </c>
      <c r="K1287" s="5">
        <f>ABS(G1287-H1287)/ABS(G1287)</f>
        <v>0</v>
      </c>
    </row>
    <row r="1288" spans="3:11" x14ac:dyDescent="0.2">
      <c r="C1288" t="s">
        <v>2311</v>
      </c>
      <c r="D1288" t="b">
        <f ca="1">IF(CELL("format",F1288)="G",IF(ABS(F1288-G1288) &lt;= ABS(F1288*B$3),TRUE,FALSE),IF(F1288=G1288,TRUE,FALSE))</f>
        <v>1</v>
      </c>
      <c r="E1288" s="5">
        <f>ABS(F1288-G1288)/ABS(F1288)</f>
        <v>0</v>
      </c>
      <c r="F1288">
        <v>-3.29</v>
      </c>
      <c r="G1288">
        <v>-3.29</v>
      </c>
      <c r="H1288">
        <v>-3.29</v>
      </c>
      <c r="J1288" s="5">
        <f>ABS(F1288-G1288)/ABS(F1288)</f>
        <v>0</v>
      </c>
      <c r="K1288" s="5">
        <f>ABS(G1288-H1288)/ABS(G1288)</f>
        <v>0</v>
      </c>
    </row>
    <row r="1289" spans="3:11" x14ac:dyDescent="0.2">
      <c r="C1289" t="s">
        <v>2312</v>
      </c>
      <c r="D1289" t="b">
        <f ca="1">IF(CELL("format",F1289)="G",IF(ABS(F1289-G1289) &lt;= ABS(F1289*B$3),TRUE,FALSE),IF(F1289=G1289,TRUE,FALSE))</f>
        <v>1</v>
      </c>
      <c r="E1289" s="5">
        <f>ABS(F1289-G1289)/ABS(F1289)</f>
        <v>0</v>
      </c>
      <c r="F1289">
        <v>-4.75</v>
      </c>
      <c r="G1289">
        <v>-4.75</v>
      </c>
      <c r="H1289">
        <v>-4.75</v>
      </c>
      <c r="J1289" s="5">
        <f>ABS(F1289-G1289)/ABS(F1289)</f>
        <v>0</v>
      </c>
      <c r="K1289" s="5">
        <f>ABS(G1289-H1289)/ABS(G1289)</f>
        <v>0</v>
      </c>
    </row>
    <row r="1290" spans="3:11" x14ac:dyDescent="0.2">
      <c r="C1290" t="s">
        <v>2313</v>
      </c>
      <c r="D1290" t="b">
        <f ca="1">IF(CELL("format",F1290)="G",IF(ABS(F1290-G1290) &lt;= ABS(F1290*B$3),TRUE,FALSE),IF(F1290=G1290,TRUE,FALSE))</f>
        <v>1</v>
      </c>
      <c r="E1290" s="5">
        <f>ABS(F1290-G1290)/ABS(F1290)</f>
        <v>0</v>
      </c>
      <c r="F1290">
        <v>-5.64</v>
      </c>
      <c r="G1290">
        <v>-5.64</v>
      </c>
      <c r="H1290">
        <v>-5.64</v>
      </c>
      <c r="J1290" s="5">
        <f>ABS(F1290-G1290)/ABS(F1290)</f>
        <v>0</v>
      </c>
      <c r="K1290" s="5">
        <f>ABS(G1290-H1290)/ABS(G1290)</f>
        <v>0</v>
      </c>
    </row>
    <row r="1291" spans="3:11" x14ac:dyDescent="0.2">
      <c r="C1291" t="s">
        <v>2314</v>
      </c>
      <c r="D1291" t="b">
        <f ca="1">IF(CELL("format",F1291)="G",IF(ABS(F1291-G1291) &lt;= ABS(F1291*B$3),TRUE,FALSE),IF(F1291=G1291,TRUE,FALSE))</f>
        <v>1</v>
      </c>
      <c r="E1291" s="5">
        <f>ABS(F1291-G1291)/ABS(F1291)</f>
        <v>0</v>
      </c>
      <c r="F1291">
        <v>-5.72</v>
      </c>
      <c r="G1291">
        <v>-5.72</v>
      </c>
      <c r="H1291">
        <v>-5.72</v>
      </c>
      <c r="J1291" s="5">
        <f>ABS(F1291-G1291)/ABS(F1291)</f>
        <v>0</v>
      </c>
      <c r="K1291" s="5">
        <f>ABS(G1291-H1291)/ABS(G1291)</f>
        <v>0</v>
      </c>
    </row>
    <row r="1292" spans="3:11" x14ac:dyDescent="0.2">
      <c r="C1292" t="s">
        <v>2315</v>
      </c>
      <c r="D1292" t="b">
        <f ca="1">IF(CELL("format",F1292)="G",IF(ABS(F1292-G1292) &lt;= ABS(F1292*B$3),TRUE,FALSE),IF(F1292=G1292,TRUE,FALSE))</f>
        <v>1</v>
      </c>
      <c r="E1292" s="5">
        <f>ABS(F1292-G1292)/ABS(F1292)</f>
        <v>0</v>
      </c>
      <c r="F1292">
        <v>-4.8899999999999997</v>
      </c>
      <c r="G1292">
        <v>-4.8899999999999997</v>
      </c>
      <c r="H1292">
        <v>-4.8899999999999997</v>
      </c>
      <c r="J1292" s="5">
        <f>ABS(F1292-G1292)/ABS(F1292)</f>
        <v>0</v>
      </c>
      <c r="K1292" s="5">
        <f>ABS(G1292-H1292)/ABS(G1292)</f>
        <v>0</v>
      </c>
    </row>
    <row r="1293" spans="3:11" x14ac:dyDescent="0.2">
      <c r="C1293" t="s">
        <v>2316</v>
      </c>
      <c r="D1293" t="b">
        <f ca="1">IF(CELL("format",F1293)="G",IF(ABS(F1293-G1293) &lt;= ABS(F1293*B$3),TRUE,FALSE),IF(F1293=G1293,TRUE,FALSE))</f>
        <v>1</v>
      </c>
      <c r="E1293" s="5">
        <f>ABS(F1293-G1293)/ABS(F1293)</f>
        <v>0</v>
      </c>
      <c r="F1293">
        <v>-3.6</v>
      </c>
      <c r="G1293">
        <v>-3.6</v>
      </c>
      <c r="H1293">
        <v>-3.6</v>
      </c>
      <c r="J1293" s="5">
        <f>ABS(F1293-G1293)/ABS(F1293)</f>
        <v>0</v>
      </c>
      <c r="K1293" s="5">
        <f>ABS(G1293-H1293)/ABS(G1293)</f>
        <v>0</v>
      </c>
    </row>
    <row r="1294" spans="3:11" x14ac:dyDescent="0.2">
      <c r="C1294" t="s">
        <v>2317</v>
      </c>
      <c r="D1294" t="b">
        <f ca="1">IF(CELL("format",F1294)="G",IF(ABS(F1294-G1294) &lt;= ABS(F1294*B$3),TRUE,FALSE),IF(F1294=G1294,TRUE,FALSE))</f>
        <v>1</v>
      </c>
      <c r="E1294" s="5">
        <f>ABS(F1294-G1294)/ABS(F1294)</f>
        <v>0</v>
      </c>
      <c r="F1294">
        <v>-1.88</v>
      </c>
      <c r="G1294">
        <v>-1.88</v>
      </c>
      <c r="H1294">
        <v>-1.88</v>
      </c>
      <c r="J1294" s="5">
        <f>ABS(F1294-G1294)/ABS(F1294)</f>
        <v>0</v>
      </c>
      <c r="K1294" s="5">
        <f>ABS(G1294-H1294)/ABS(G1294)</f>
        <v>0</v>
      </c>
    </row>
    <row r="1295" spans="3:11" x14ac:dyDescent="0.2">
      <c r="C1295" t="s">
        <v>2318</v>
      </c>
      <c r="D1295" t="b">
        <f ca="1">IF(CELL("format",F1295)="G",IF(ABS(F1295-G1295) &lt;= ABS(F1295*B$3),TRUE,FALSE),IF(F1295=G1295,TRUE,FALSE))</f>
        <v>1</v>
      </c>
      <c r="E1295" s="5">
        <f>ABS(F1295-G1295)/ABS(F1295)</f>
        <v>0</v>
      </c>
      <c r="F1295">
        <v>3.9999999999999897E-2</v>
      </c>
      <c r="G1295">
        <v>3.9999999999999897E-2</v>
      </c>
      <c r="H1295">
        <v>3.9999999999999897E-2</v>
      </c>
      <c r="J1295" s="5">
        <f>ABS(F1295-G1295)/ABS(F1295)</f>
        <v>0</v>
      </c>
      <c r="K1295" s="5">
        <f>ABS(G1295-H1295)/ABS(G1295)</f>
        <v>0</v>
      </c>
    </row>
    <row r="1296" spans="3:11" x14ac:dyDescent="0.2">
      <c r="C1296" t="s">
        <v>2319</v>
      </c>
      <c r="D1296" t="b">
        <f ca="1">IF(CELL("format",F1296)="G",IF(ABS(F1296-G1296) &lt;= ABS(F1296*B$3),TRUE,FALSE),IF(F1296=G1296,TRUE,FALSE))</f>
        <v>1</v>
      </c>
      <c r="E1296" s="5">
        <f>ABS(F1296-G1296)/ABS(F1296)</f>
        <v>0</v>
      </c>
      <c r="F1296">
        <v>1.1000000000000001</v>
      </c>
      <c r="G1296">
        <v>1.1000000000000001</v>
      </c>
      <c r="H1296">
        <v>1.1000000000000001</v>
      </c>
      <c r="J1296" s="5">
        <f>ABS(F1296-G1296)/ABS(F1296)</f>
        <v>0</v>
      </c>
      <c r="K1296" s="5">
        <f>ABS(G1296-H1296)/ABS(G1296)</f>
        <v>0</v>
      </c>
    </row>
    <row r="1297" spans="3:11" x14ac:dyDescent="0.2">
      <c r="C1297" t="s">
        <v>2320</v>
      </c>
      <c r="D1297" t="b">
        <f ca="1">IF(CELL("format",F1297)="G",IF(ABS(F1297-G1297) &lt;= ABS(F1297*B$3),TRUE,FALSE),IF(F1297=G1297,TRUE,FALSE))</f>
        <v>1</v>
      </c>
      <c r="E1297" s="5">
        <f>ABS(F1297-G1297)/ABS(F1297)</f>
        <v>0</v>
      </c>
      <c r="F1297">
        <v>1.69</v>
      </c>
      <c r="G1297">
        <v>1.69</v>
      </c>
      <c r="H1297">
        <v>1.69</v>
      </c>
      <c r="J1297" s="5">
        <f>ABS(F1297-G1297)/ABS(F1297)</f>
        <v>0</v>
      </c>
      <c r="K1297" s="5">
        <f>ABS(G1297-H1297)/ABS(G1297)</f>
        <v>0</v>
      </c>
    </row>
    <row r="1298" spans="3:11" x14ac:dyDescent="0.2">
      <c r="C1298" t="s">
        <v>2321</v>
      </c>
      <c r="D1298" t="b">
        <f ca="1">IF(CELL("format",F1298)="G",IF(ABS(F1298-G1298) &lt;= ABS(F1298*B$3),TRUE,FALSE),IF(F1298=G1298,TRUE,FALSE))</f>
        <v>1</v>
      </c>
      <c r="E1298" s="5">
        <f>ABS(F1298-G1298)/ABS(F1298)</f>
        <v>0</v>
      </c>
      <c r="F1298">
        <v>2.0299999999999998</v>
      </c>
      <c r="G1298">
        <v>2.0299999999999998</v>
      </c>
      <c r="H1298">
        <v>2.0299999999999998</v>
      </c>
      <c r="J1298" s="5">
        <f>ABS(F1298-G1298)/ABS(F1298)</f>
        <v>0</v>
      </c>
      <c r="K1298" s="5">
        <f>ABS(G1298-H1298)/ABS(G1298)</f>
        <v>0</v>
      </c>
    </row>
    <row r="1299" spans="3:11" x14ac:dyDescent="0.2">
      <c r="C1299" t="s">
        <v>2322</v>
      </c>
      <c r="D1299" t="b">
        <f ca="1">IF(CELL("format",F1299)="G",IF(ABS(F1299-G1299) &lt;= ABS(F1299*B$3),TRUE,FALSE),IF(F1299=G1299,TRUE,FALSE))</f>
        <v>1</v>
      </c>
      <c r="E1299" s="5">
        <f>ABS(F1299-G1299)/ABS(F1299)</f>
        <v>0</v>
      </c>
      <c r="F1299">
        <v>2.2799999999999998</v>
      </c>
      <c r="G1299">
        <v>2.2799999999999998</v>
      </c>
      <c r="H1299">
        <v>2.2799999999999998</v>
      </c>
      <c r="J1299" s="5">
        <f>ABS(F1299-G1299)/ABS(F1299)</f>
        <v>0</v>
      </c>
      <c r="K1299" s="5">
        <f>ABS(G1299-H1299)/ABS(G1299)</f>
        <v>0</v>
      </c>
    </row>
    <row r="1300" spans="3:11" x14ac:dyDescent="0.2">
      <c r="C1300" t="s">
        <v>2323</v>
      </c>
      <c r="D1300" t="b">
        <f ca="1">IF(CELL("format",F1300)="G",IF(ABS(F1300-G1300) &lt;= ABS(F1300*B$3),TRUE,FALSE),IF(F1300=G1300,TRUE,FALSE))</f>
        <v>1</v>
      </c>
      <c r="E1300" s="5">
        <f>ABS(F1300-G1300)/ABS(F1300)</f>
        <v>0</v>
      </c>
      <c r="F1300">
        <v>2.44</v>
      </c>
      <c r="G1300">
        <v>2.44</v>
      </c>
      <c r="H1300">
        <v>2.44</v>
      </c>
      <c r="J1300" s="5">
        <f>ABS(F1300-G1300)/ABS(F1300)</f>
        <v>0</v>
      </c>
      <c r="K1300" s="5">
        <f>ABS(G1300-H1300)/ABS(G1300)</f>
        <v>0</v>
      </c>
    </row>
    <row r="1301" spans="3:11" x14ac:dyDescent="0.2">
      <c r="C1301" t="s">
        <v>2324</v>
      </c>
      <c r="D1301" t="b">
        <f ca="1">IF(CELL("format",F1301)="G",IF(ABS(F1301-G1301) &lt;= ABS(F1301*B$3),TRUE,FALSE),IF(F1301=G1301,TRUE,FALSE))</f>
        <v>1</v>
      </c>
      <c r="E1301" s="5">
        <f>ABS(F1301-G1301)/ABS(F1301)</f>
        <v>0</v>
      </c>
      <c r="F1301">
        <v>2.5</v>
      </c>
      <c r="G1301">
        <v>2.5</v>
      </c>
      <c r="H1301">
        <v>2.5</v>
      </c>
      <c r="J1301" s="5">
        <f>ABS(F1301-G1301)/ABS(F1301)</f>
        <v>0</v>
      </c>
      <c r="K1301" s="5">
        <f>ABS(G1301-H1301)/ABS(G1301)</f>
        <v>0</v>
      </c>
    </row>
    <row r="1302" spans="3:11" x14ac:dyDescent="0.2">
      <c r="C1302" t="s">
        <v>2301</v>
      </c>
      <c r="D1302" t="b">
        <f ca="1">IF(CELL("format",F1302)="G",IF(ABS(F1302-G1302) &lt;= ABS(F1302*B$3),TRUE,FALSE),IF(F1302=G1302,TRUE,FALSE))</f>
        <v>1</v>
      </c>
      <c r="E1302" s="5">
        <f>ABS(F1302-G1302)/ABS(F1302)</f>
        <v>0</v>
      </c>
      <c r="F1302">
        <v>1.38</v>
      </c>
      <c r="G1302">
        <v>1.38</v>
      </c>
      <c r="H1302">
        <v>1.38</v>
      </c>
      <c r="J1302" s="5">
        <f>ABS(F1302-G1302)/ABS(F1302)</f>
        <v>0</v>
      </c>
      <c r="K1302" s="5">
        <f>ABS(G1302-H1302)/ABS(G1302)</f>
        <v>0</v>
      </c>
    </row>
    <row r="1303" spans="3:11" x14ac:dyDescent="0.2">
      <c r="C1303" t="s">
        <v>2302</v>
      </c>
      <c r="D1303" t="b">
        <f ca="1">IF(CELL("format",F1303)="G",IF(ABS(F1303-G1303) &lt;= ABS(F1303*B$3),TRUE,FALSE),IF(F1303=G1303,TRUE,FALSE))</f>
        <v>1</v>
      </c>
      <c r="E1303" s="5">
        <f>ABS(F1303-G1303)/ABS(F1303)</f>
        <v>0</v>
      </c>
      <c r="F1303">
        <v>1.44</v>
      </c>
      <c r="G1303">
        <v>1.44</v>
      </c>
      <c r="H1303">
        <v>1.44</v>
      </c>
      <c r="J1303" s="5">
        <f>ABS(F1303-G1303)/ABS(F1303)</f>
        <v>0</v>
      </c>
      <c r="K1303" s="5">
        <f>ABS(G1303-H1303)/ABS(G1303)</f>
        <v>0</v>
      </c>
    </row>
    <row r="1304" spans="3:11" x14ac:dyDescent="0.2">
      <c r="C1304" t="s">
        <v>2303</v>
      </c>
      <c r="D1304" t="b">
        <f ca="1">IF(CELL("format",F1304)="G",IF(ABS(F1304-G1304) &lt;= ABS(F1304*B$3),TRUE,FALSE),IF(F1304=G1304,TRUE,FALSE))</f>
        <v>1</v>
      </c>
      <c r="E1304" s="5">
        <f>ABS(F1304-G1304)/ABS(F1304)</f>
        <v>0</v>
      </c>
      <c r="F1304">
        <v>1.49</v>
      </c>
      <c r="G1304">
        <v>1.49</v>
      </c>
      <c r="H1304">
        <v>1.49</v>
      </c>
      <c r="J1304" s="5">
        <f>ABS(F1304-G1304)/ABS(F1304)</f>
        <v>0</v>
      </c>
      <c r="K1304" s="5">
        <f>ABS(G1304-H1304)/ABS(G1304)</f>
        <v>0</v>
      </c>
    </row>
    <row r="1305" spans="3:11" x14ac:dyDescent="0.2">
      <c r="C1305" t="s">
        <v>2304</v>
      </c>
      <c r="D1305" t="b">
        <f ca="1">IF(CELL("format",F1305)="G",IF(ABS(F1305-G1305) &lt;= ABS(F1305*B$3),TRUE,FALSE),IF(F1305=G1305,TRUE,FALSE))</f>
        <v>1</v>
      </c>
      <c r="E1305" s="5">
        <f>ABS(F1305-G1305)/ABS(F1305)</f>
        <v>0</v>
      </c>
      <c r="F1305">
        <v>1.53</v>
      </c>
      <c r="G1305">
        <v>1.53</v>
      </c>
      <c r="H1305">
        <v>1.53</v>
      </c>
      <c r="J1305" s="5">
        <f>ABS(F1305-G1305)/ABS(F1305)</f>
        <v>0</v>
      </c>
      <c r="K1305" s="5">
        <f>ABS(G1305-H1305)/ABS(G1305)</f>
        <v>0</v>
      </c>
    </row>
    <row r="1306" spans="3:11" x14ac:dyDescent="0.2">
      <c r="C1306" t="s">
        <v>2305</v>
      </c>
      <c r="D1306" t="b">
        <f ca="1">IF(CELL("format",F1306)="G",IF(ABS(F1306-G1306) &lt;= ABS(F1306*B$3),TRUE,FALSE),IF(F1306=G1306,TRUE,FALSE))</f>
        <v>1</v>
      </c>
      <c r="E1306" s="5">
        <f>ABS(F1306-G1306)/ABS(F1306)</f>
        <v>0</v>
      </c>
      <c r="F1306">
        <v>1.55</v>
      </c>
      <c r="G1306">
        <v>1.55</v>
      </c>
      <c r="H1306">
        <v>1.55</v>
      </c>
      <c r="J1306" s="5">
        <f>ABS(F1306-G1306)/ABS(F1306)</f>
        <v>0</v>
      </c>
      <c r="K1306" s="5">
        <f>ABS(G1306-H1306)/ABS(G1306)</f>
        <v>0</v>
      </c>
    </row>
    <row r="1307" spans="3:11" x14ac:dyDescent="0.2">
      <c r="C1307" t="s">
        <v>2306</v>
      </c>
      <c r="D1307" t="b">
        <f ca="1">IF(CELL("format",F1307)="G",IF(ABS(F1307-G1307) &lt;= ABS(F1307*B$3),TRUE,FALSE),IF(F1307=G1307,TRUE,FALSE))</f>
        <v>1</v>
      </c>
      <c r="E1307" s="5">
        <f>ABS(F1307-G1307)/ABS(F1307)</f>
        <v>0</v>
      </c>
      <c r="F1307">
        <v>1.56</v>
      </c>
      <c r="G1307">
        <v>1.56</v>
      </c>
      <c r="H1307">
        <v>1.56</v>
      </c>
      <c r="J1307" s="5">
        <f>ABS(F1307-G1307)/ABS(F1307)</f>
        <v>0</v>
      </c>
      <c r="K1307" s="5">
        <f>ABS(G1307-H1307)/ABS(G1307)</f>
        <v>0</v>
      </c>
    </row>
    <row r="1308" spans="3:11" x14ac:dyDescent="0.2">
      <c r="C1308" t="s">
        <v>2307</v>
      </c>
      <c r="D1308" t="b">
        <f ca="1">IF(CELL("format",F1308)="G",IF(ABS(F1308-G1308) &lt;= ABS(F1308*B$3),TRUE,FALSE),IF(F1308=G1308,TRUE,FALSE))</f>
        <v>1</v>
      </c>
      <c r="E1308" s="5">
        <f>ABS(F1308-G1308)/ABS(F1308)</f>
        <v>0</v>
      </c>
      <c r="F1308">
        <v>1.55</v>
      </c>
      <c r="G1308">
        <v>1.55</v>
      </c>
      <c r="H1308">
        <v>1.55</v>
      </c>
      <c r="J1308" s="5">
        <f>ABS(F1308-G1308)/ABS(F1308)</f>
        <v>0</v>
      </c>
      <c r="K1308" s="5">
        <f>ABS(G1308-H1308)/ABS(G1308)</f>
        <v>0</v>
      </c>
    </row>
    <row r="1309" spans="3:11" x14ac:dyDescent="0.2">
      <c r="C1309" t="s">
        <v>2308</v>
      </c>
      <c r="D1309" t="b">
        <f ca="1">IF(CELL("format",F1309)="G",IF(ABS(F1309-G1309) &lt;= ABS(F1309*B$3),TRUE,FALSE),IF(F1309=G1309,TRUE,FALSE))</f>
        <v>1</v>
      </c>
      <c r="E1309" s="5">
        <f>ABS(F1309-G1309)/ABS(F1309)</f>
        <v>0</v>
      </c>
      <c r="F1309">
        <v>1.1599999999999999</v>
      </c>
      <c r="G1309">
        <v>1.1599999999999999</v>
      </c>
      <c r="H1309">
        <v>1.1599999999999999</v>
      </c>
      <c r="J1309" s="5">
        <f>ABS(F1309-G1309)/ABS(F1309)</f>
        <v>0</v>
      </c>
      <c r="K1309" s="5">
        <f>ABS(G1309-H1309)/ABS(G1309)</f>
        <v>0</v>
      </c>
    </row>
    <row r="1310" spans="3:11" x14ac:dyDescent="0.2">
      <c r="C1310" t="s">
        <v>2309</v>
      </c>
      <c r="D1310" t="b">
        <f ca="1">IF(CELL("format",F1310)="G",IF(ABS(F1310-G1310) &lt;= ABS(F1310*B$3),TRUE,FALSE),IF(F1310=G1310,TRUE,FALSE))</f>
        <v>1</v>
      </c>
      <c r="E1310" s="5">
        <f>ABS(F1310-G1310)/ABS(F1310)</f>
        <v>0</v>
      </c>
      <c r="F1310">
        <v>-0.1</v>
      </c>
      <c r="G1310">
        <v>-0.1</v>
      </c>
      <c r="H1310">
        <v>-0.1</v>
      </c>
      <c r="J1310" s="5">
        <f>ABS(F1310-G1310)/ABS(F1310)</f>
        <v>0</v>
      </c>
      <c r="K1310" s="5">
        <f>ABS(G1310-H1310)/ABS(G1310)</f>
        <v>0</v>
      </c>
    </row>
    <row r="1311" spans="3:11" x14ac:dyDescent="0.2">
      <c r="C1311" t="s">
        <v>2310</v>
      </c>
      <c r="D1311" t="b">
        <f ca="1">IF(CELL("format",F1311)="G",IF(ABS(F1311-G1311) &lt;= ABS(F1311*B$3),TRUE,FALSE),IF(F1311=G1311,TRUE,FALSE))</f>
        <v>1</v>
      </c>
      <c r="E1311" s="5">
        <f>ABS(F1311-G1311)/ABS(F1311)</f>
        <v>0</v>
      </c>
      <c r="F1311">
        <v>-2.02</v>
      </c>
      <c r="G1311">
        <v>-2.02</v>
      </c>
      <c r="H1311">
        <v>-2.02</v>
      </c>
      <c r="J1311" s="5">
        <f>ABS(F1311-G1311)/ABS(F1311)</f>
        <v>0</v>
      </c>
      <c r="K1311" s="5">
        <f>ABS(G1311-H1311)/ABS(G1311)</f>
        <v>0</v>
      </c>
    </row>
    <row r="1312" spans="3:11" x14ac:dyDescent="0.2">
      <c r="C1312" t="s">
        <v>2311</v>
      </c>
      <c r="D1312" t="b">
        <f ca="1">IF(CELL("format",F1312)="G",IF(ABS(F1312-G1312) &lt;= ABS(F1312*B$3),TRUE,FALSE),IF(F1312=G1312,TRUE,FALSE))</f>
        <v>1</v>
      </c>
      <c r="E1312" s="5">
        <f>ABS(F1312-G1312)/ABS(F1312)</f>
        <v>0</v>
      </c>
      <c r="F1312">
        <v>-3.96</v>
      </c>
      <c r="G1312">
        <v>-3.96</v>
      </c>
      <c r="H1312">
        <v>-3.96</v>
      </c>
      <c r="J1312" s="5">
        <f>ABS(F1312-G1312)/ABS(F1312)</f>
        <v>0</v>
      </c>
      <c r="K1312" s="5">
        <f>ABS(G1312-H1312)/ABS(G1312)</f>
        <v>0</v>
      </c>
    </row>
    <row r="1313" spans="3:11" x14ac:dyDescent="0.2">
      <c r="C1313" t="s">
        <v>2312</v>
      </c>
      <c r="D1313" t="b">
        <f ca="1">IF(CELL("format",F1313)="G",IF(ABS(F1313-G1313) &lt;= ABS(F1313*B$3),TRUE,FALSE),IF(F1313=G1313,TRUE,FALSE))</f>
        <v>1</v>
      </c>
      <c r="E1313" s="5">
        <f>ABS(F1313-G1313)/ABS(F1313)</f>
        <v>0</v>
      </c>
      <c r="F1313">
        <v>-5.42</v>
      </c>
      <c r="G1313">
        <v>-5.42</v>
      </c>
      <c r="H1313">
        <v>-5.42</v>
      </c>
      <c r="J1313" s="5">
        <f>ABS(F1313-G1313)/ABS(F1313)</f>
        <v>0</v>
      </c>
      <c r="K1313" s="5">
        <f>ABS(G1313-H1313)/ABS(G1313)</f>
        <v>0</v>
      </c>
    </row>
    <row r="1314" spans="3:11" x14ac:dyDescent="0.2">
      <c r="C1314" t="s">
        <v>2313</v>
      </c>
      <c r="D1314" t="b">
        <f ca="1">IF(CELL("format",F1314)="G",IF(ABS(F1314-G1314) &lt;= ABS(F1314*B$3),TRUE,FALSE),IF(F1314=G1314,TRUE,FALSE))</f>
        <v>1</v>
      </c>
      <c r="E1314" s="5">
        <f>ABS(F1314-G1314)/ABS(F1314)</f>
        <v>0</v>
      </c>
      <c r="F1314">
        <v>-6.28</v>
      </c>
      <c r="G1314">
        <v>-6.28</v>
      </c>
      <c r="H1314">
        <v>-6.28</v>
      </c>
      <c r="J1314" s="5">
        <f>ABS(F1314-G1314)/ABS(F1314)</f>
        <v>0</v>
      </c>
      <c r="K1314" s="5">
        <f>ABS(G1314-H1314)/ABS(G1314)</f>
        <v>0</v>
      </c>
    </row>
    <row r="1315" spans="3:11" x14ac:dyDescent="0.2">
      <c r="C1315" t="s">
        <v>2314</v>
      </c>
      <c r="D1315" t="b">
        <f ca="1">IF(CELL("format",F1315)="G",IF(ABS(F1315-G1315) &lt;= ABS(F1315*B$3),TRUE,FALSE),IF(F1315=G1315,TRUE,FALSE))</f>
        <v>1</v>
      </c>
      <c r="E1315" s="5">
        <f>ABS(F1315-G1315)/ABS(F1315)</f>
        <v>0</v>
      </c>
      <c r="F1315">
        <v>-6.31</v>
      </c>
      <c r="G1315">
        <v>-6.31</v>
      </c>
      <c r="H1315">
        <v>-6.31</v>
      </c>
      <c r="J1315" s="5">
        <f>ABS(F1315-G1315)/ABS(F1315)</f>
        <v>0</v>
      </c>
      <c r="K1315" s="5">
        <f>ABS(G1315-H1315)/ABS(G1315)</f>
        <v>0</v>
      </c>
    </row>
    <row r="1316" spans="3:11" x14ac:dyDescent="0.2">
      <c r="C1316" t="s">
        <v>2315</v>
      </c>
      <c r="D1316" t="b">
        <f ca="1">IF(CELL("format",F1316)="G",IF(ABS(F1316-G1316) &lt;= ABS(F1316*B$3),TRUE,FALSE),IF(F1316=G1316,TRUE,FALSE))</f>
        <v>1</v>
      </c>
      <c r="E1316" s="5">
        <f>ABS(F1316-G1316)/ABS(F1316)</f>
        <v>0</v>
      </c>
      <c r="F1316">
        <v>-5.61</v>
      </c>
      <c r="G1316">
        <v>-5.61</v>
      </c>
      <c r="H1316">
        <v>-5.61</v>
      </c>
      <c r="J1316" s="5">
        <f>ABS(F1316-G1316)/ABS(F1316)</f>
        <v>0</v>
      </c>
      <c r="K1316" s="5">
        <f>ABS(G1316-H1316)/ABS(G1316)</f>
        <v>0</v>
      </c>
    </row>
    <row r="1317" spans="3:11" x14ac:dyDescent="0.2">
      <c r="C1317" t="s">
        <v>2316</v>
      </c>
      <c r="D1317" t="b">
        <f ca="1">IF(CELL("format",F1317)="G",IF(ABS(F1317-G1317) &lt;= ABS(F1317*B$3),TRUE,FALSE),IF(F1317=G1317,TRUE,FALSE))</f>
        <v>1</v>
      </c>
      <c r="E1317" s="5">
        <f>ABS(F1317-G1317)/ABS(F1317)</f>
        <v>0</v>
      </c>
      <c r="F1317">
        <v>-4.4000000000000004</v>
      </c>
      <c r="G1317">
        <v>-4.4000000000000004</v>
      </c>
      <c r="H1317">
        <v>-4.4000000000000004</v>
      </c>
      <c r="J1317" s="5">
        <f>ABS(F1317-G1317)/ABS(F1317)</f>
        <v>0</v>
      </c>
      <c r="K1317" s="5">
        <f>ABS(G1317-H1317)/ABS(G1317)</f>
        <v>0</v>
      </c>
    </row>
    <row r="1318" spans="3:11" x14ac:dyDescent="0.2">
      <c r="C1318" t="s">
        <v>2317</v>
      </c>
      <c r="D1318" t="b">
        <f ca="1">IF(CELL("format",F1318)="G",IF(ABS(F1318-G1318) &lt;= ABS(F1318*B$3),TRUE,FALSE),IF(F1318=G1318,TRUE,FALSE))</f>
        <v>1</v>
      </c>
      <c r="E1318" s="5">
        <f>ABS(F1318-G1318)/ABS(F1318)</f>
        <v>0</v>
      </c>
      <c r="F1318">
        <v>-2.7</v>
      </c>
      <c r="G1318">
        <v>-2.7</v>
      </c>
      <c r="H1318">
        <v>-2.7</v>
      </c>
      <c r="J1318" s="5">
        <f>ABS(F1318-G1318)/ABS(F1318)</f>
        <v>0</v>
      </c>
      <c r="K1318" s="5">
        <f>ABS(G1318-H1318)/ABS(G1318)</f>
        <v>0</v>
      </c>
    </row>
    <row r="1319" spans="3:11" x14ac:dyDescent="0.2">
      <c r="C1319" t="s">
        <v>2318</v>
      </c>
      <c r="D1319" t="b">
        <f ca="1">IF(CELL("format",F1319)="G",IF(ABS(F1319-G1319) &lt;= ABS(F1319*B$3),TRUE,FALSE),IF(F1319=G1319,TRUE,FALSE))</f>
        <v>1</v>
      </c>
      <c r="E1319" s="5">
        <f>ABS(F1319-G1319)/ABS(F1319)</f>
        <v>0</v>
      </c>
      <c r="F1319">
        <v>-0.73</v>
      </c>
      <c r="G1319">
        <v>-0.73</v>
      </c>
      <c r="H1319">
        <v>-0.73</v>
      </c>
      <c r="J1319" s="5">
        <f>ABS(F1319-G1319)/ABS(F1319)</f>
        <v>0</v>
      </c>
      <c r="K1319" s="5">
        <f>ABS(G1319-H1319)/ABS(G1319)</f>
        <v>0</v>
      </c>
    </row>
    <row r="1320" spans="3:11" x14ac:dyDescent="0.2">
      <c r="C1320" t="s">
        <v>2319</v>
      </c>
      <c r="D1320" t="b">
        <f ca="1">IF(CELL("format",F1320)="G",IF(ABS(F1320-G1320) &lt;= ABS(F1320*B$3),TRUE,FALSE),IF(F1320=G1320,TRUE,FALSE))</f>
        <v>1</v>
      </c>
      <c r="E1320" s="5">
        <f>ABS(F1320-G1320)/ABS(F1320)</f>
        <v>0</v>
      </c>
      <c r="F1320">
        <v>0.32</v>
      </c>
      <c r="G1320">
        <v>0.32</v>
      </c>
      <c r="H1320">
        <v>0.32</v>
      </c>
      <c r="J1320" s="5">
        <f>ABS(F1320-G1320)/ABS(F1320)</f>
        <v>0</v>
      </c>
      <c r="K1320" s="5">
        <f>ABS(G1320-H1320)/ABS(G1320)</f>
        <v>0</v>
      </c>
    </row>
    <row r="1321" spans="3:11" x14ac:dyDescent="0.2">
      <c r="C1321" t="s">
        <v>2320</v>
      </c>
      <c r="D1321" t="b">
        <f ca="1">IF(CELL("format",F1321)="G",IF(ABS(F1321-G1321) &lt;= ABS(F1321*B$3),TRUE,FALSE),IF(F1321=G1321,TRUE,FALSE))</f>
        <v>1</v>
      </c>
      <c r="E1321" s="5">
        <f>ABS(F1321-G1321)/ABS(F1321)</f>
        <v>0</v>
      </c>
      <c r="F1321">
        <v>0.75</v>
      </c>
      <c r="G1321">
        <v>0.75</v>
      </c>
      <c r="H1321">
        <v>0.75</v>
      </c>
      <c r="J1321" s="5">
        <f>ABS(F1321-G1321)/ABS(F1321)</f>
        <v>0</v>
      </c>
      <c r="K1321" s="5">
        <f>ABS(G1321-H1321)/ABS(G1321)</f>
        <v>0</v>
      </c>
    </row>
    <row r="1322" spans="3:11" x14ac:dyDescent="0.2">
      <c r="C1322" t="s">
        <v>2321</v>
      </c>
      <c r="D1322" t="b">
        <f ca="1">IF(CELL("format",F1322)="G",IF(ABS(F1322-G1322) &lt;= ABS(F1322*B$3),TRUE,FALSE),IF(F1322=G1322,TRUE,FALSE))</f>
        <v>1</v>
      </c>
      <c r="E1322" s="5">
        <f>ABS(F1322-G1322)/ABS(F1322)</f>
        <v>0</v>
      </c>
      <c r="F1322">
        <v>1.04</v>
      </c>
      <c r="G1322">
        <v>1.04</v>
      </c>
      <c r="H1322">
        <v>1.04</v>
      </c>
      <c r="J1322" s="5">
        <f>ABS(F1322-G1322)/ABS(F1322)</f>
        <v>0</v>
      </c>
      <c r="K1322" s="5">
        <f>ABS(G1322-H1322)/ABS(G1322)</f>
        <v>0</v>
      </c>
    </row>
    <row r="1323" spans="3:11" x14ac:dyDescent="0.2">
      <c r="C1323" t="s">
        <v>2322</v>
      </c>
      <c r="D1323" t="b">
        <f ca="1">IF(CELL("format",F1323)="G",IF(ABS(F1323-G1323) &lt;= ABS(F1323*B$3),TRUE,FALSE),IF(F1323=G1323,TRUE,FALSE))</f>
        <v>1</v>
      </c>
      <c r="E1323" s="5">
        <f>ABS(F1323-G1323)/ABS(F1323)</f>
        <v>0</v>
      </c>
      <c r="F1323">
        <v>1.28</v>
      </c>
      <c r="G1323">
        <v>1.28</v>
      </c>
      <c r="H1323">
        <v>1.28</v>
      </c>
      <c r="J1323" s="5">
        <f>ABS(F1323-G1323)/ABS(F1323)</f>
        <v>0</v>
      </c>
      <c r="K1323" s="5">
        <f>ABS(G1323-H1323)/ABS(G1323)</f>
        <v>0</v>
      </c>
    </row>
    <row r="1324" spans="3:11" x14ac:dyDescent="0.2">
      <c r="C1324" t="s">
        <v>2323</v>
      </c>
      <c r="D1324" t="b">
        <f ca="1">IF(CELL("format",F1324)="G",IF(ABS(F1324-G1324) &lt;= ABS(F1324*B$3),TRUE,FALSE),IF(F1324=G1324,TRUE,FALSE))</f>
        <v>1</v>
      </c>
      <c r="E1324" s="5">
        <f>ABS(F1324-G1324)/ABS(F1324)</f>
        <v>0</v>
      </c>
      <c r="F1324">
        <v>1.45</v>
      </c>
      <c r="G1324">
        <v>1.45</v>
      </c>
      <c r="H1324">
        <v>1.45</v>
      </c>
      <c r="J1324" s="5">
        <f>ABS(F1324-G1324)/ABS(F1324)</f>
        <v>0</v>
      </c>
      <c r="K1324" s="5">
        <f>ABS(G1324-H1324)/ABS(G1324)</f>
        <v>0</v>
      </c>
    </row>
    <row r="1325" spans="3:11" x14ac:dyDescent="0.2">
      <c r="C1325" t="s">
        <v>2324</v>
      </c>
      <c r="D1325" t="b">
        <f ca="1">IF(CELL("format",F1325)="G",IF(ABS(F1325-G1325) &lt;= ABS(F1325*B$3),TRUE,FALSE),IF(F1325=G1325,TRUE,FALSE))</f>
        <v>1</v>
      </c>
      <c r="E1325" s="5">
        <f>ABS(F1325-G1325)/ABS(F1325)</f>
        <v>0</v>
      </c>
      <c r="F1325">
        <v>1.54</v>
      </c>
      <c r="G1325">
        <v>1.54</v>
      </c>
      <c r="H1325">
        <v>1.54</v>
      </c>
      <c r="J1325" s="5">
        <f>ABS(F1325-G1325)/ABS(F1325)</f>
        <v>0</v>
      </c>
      <c r="K1325" s="5">
        <f>ABS(G1325-H1325)/ABS(G1325)</f>
        <v>0</v>
      </c>
    </row>
    <row r="1326" spans="3:11" x14ac:dyDescent="0.2">
      <c r="C1326" t="s">
        <v>2301</v>
      </c>
      <c r="D1326" t="b">
        <f ca="1">IF(CELL("format",F1326)="G",IF(ABS(F1326-G1326) &lt;= ABS(F1326*B$3),TRUE,FALSE),IF(F1326=G1326,TRUE,FALSE))</f>
        <v>1</v>
      </c>
      <c r="E1326" s="5">
        <f>ABS(F1326-G1326)/ABS(F1326)</f>
        <v>0</v>
      </c>
      <c r="F1326">
        <v>0.98</v>
      </c>
      <c r="G1326">
        <v>0.98</v>
      </c>
      <c r="H1326">
        <v>0.98</v>
      </c>
      <c r="J1326" s="5">
        <f>ABS(F1326-G1326)/ABS(F1326)</f>
        <v>0</v>
      </c>
      <c r="K1326" s="5">
        <f>ABS(G1326-H1326)/ABS(G1326)</f>
        <v>0</v>
      </c>
    </row>
    <row r="1327" spans="3:11" x14ac:dyDescent="0.2">
      <c r="C1327" t="s">
        <v>2302</v>
      </c>
      <c r="D1327" t="b">
        <f ca="1">IF(CELL("format",F1327)="G",IF(ABS(F1327-G1327) &lt;= ABS(F1327*B$3),TRUE,FALSE),IF(F1327=G1327,TRUE,FALSE))</f>
        <v>1</v>
      </c>
      <c r="E1327" s="5">
        <f>ABS(F1327-G1327)/ABS(F1327)</f>
        <v>0</v>
      </c>
      <c r="F1327">
        <v>1.08</v>
      </c>
      <c r="G1327">
        <v>1.08</v>
      </c>
      <c r="H1327">
        <v>1.08</v>
      </c>
      <c r="J1327" s="5">
        <f>ABS(F1327-G1327)/ABS(F1327)</f>
        <v>0</v>
      </c>
      <c r="K1327" s="5">
        <f>ABS(G1327-H1327)/ABS(G1327)</f>
        <v>0</v>
      </c>
    </row>
    <row r="1328" spans="3:11" x14ac:dyDescent="0.2">
      <c r="C1328" t="s">
        <v>2303</v>
      </c>
      <c r="D1328" t="b">
        <f ca="1">IF(CELL("format",F1328)="G",IF(ABS(F1328-G1328) &lt;= ABS(F1328*B$3),TRUE,FALSE),IF(F1328=G1328,TRUE,FALSE))</f>
        <v>1</v>
      </c>
      <c r="E1328" s="5">
        <f>ABS(F1328-G1328)/ABS(F1328)</f>
        <v>0</v>
      </c>
      <c r="F1328">
        <v>1.18</v>
      </c>
      <c r="G1328">
        <v>1.18</v>
      </c>
      <c r="H1328">
        <v>1.18</v>
      </c>
      <c r="J1328" s="5">
        <f>ABS(F1328-G1328)/ABS(F1328)</f>
        <v>0</v>
      </c>
      <c r="K1328" s="5">
        <f>ABS(G1328-H1328)/ABS(G1328)</f>
        <v>0</v>
      </c>
    </row>
    <row r="1329" spans="3:11" x14ac:dyDescent="0.2">
      <c r="C1329" t="s">
        <v>2304</v>
      </c>
      <c r="D1329" t="b">
        <f ca="1">IF(CELL("format",F1329)="G",IF(ABS(F1329-G1329) &lt;= ABS(F1329*B$3),TRUE,FALSE),IF(F1329=G1329,TRUE,FALSE))</f>
        <v>1</v>
      </c>
      <c r="E1329" s="5">
        <f>ABS(F1329-G1329)/ABS(F1329)</f>
        <v>0</v>
      </c>
      <c r="F1329">
        <v>1.28</v>
      </c>
      <c r="G1329">
        <v>1.28</v>
      </c>
      <c r="H1329">
        <v>1.28</v>
      </c>
      <c r="J1329" s="5">
        <f>ABS(F1329-G1329)/ABS(F1329)</f>
        <v>0</v>
      </c>
      <c r="K1329" s="5">
        <f>ABS(G1329-H1329)/ABS(G1329)</f>
        <v>0</v>
      </c>
    </row>
    <row r="1330" spans="3:11" x14ac:dyDescent="0.2">
      <c r="C1330" t="s">
        <v>2305</v>
      </c>
      <c r="D1330" t="b">
        <f ca="1">IF(CELL("format",F1330)="G",IF(ABS(F1330-G1330) &lt;= ABS(F1330*B$3),TRUE,FALSE),IF(F1330=G1330,TRUE,FALSE))</f>
        <v>1</v>
      </c>
      <c r="E1330" s="5">
        <f>ABS(F1330-G1330)/ABS(F1330)</f>
        <v>0</v>
      </c>
      <c r="F1330">
        <v>1.36</v>
      </c>
      <c r="G1330">
        <v>1.36</v>
      </c>
      <c r="H1330">
        <v>1.36</v>
      </c>
      <c r="J1330" s="5">
        <f>ABS(F1330-G1330)/ABS(F1330)</f>
        <v>0</v>
      </c>
      <c r="K1330" s="5">
        <f>ABS(G1330-H1330)/ABS(G1330)</f>
        <v>0</v>
      </c>
    </row>
    <row r="1331" spans="3:11" x14ac:dyDescent="0.2">
      <c r="C1331" t="s">
        <v>2306</v>
      </c>
      <c r="D1331" t="b">
        <f ca="1">IF(CELL("format",F1331)="G",IF(ABS(F1331-G1331) &lt;= ABS(F1331*B$3),TRUE,FALSE),IF(F1331=G1331,TRUE,FALSE))</f>
        <v>1</v>
      </c>
      <c r="E1331" s="5">
        <f>ABS(F1331-G1331)/ABS(F1331)</f>
        <v>0</v>
      </c>
      <c r="F1331">
        <v>1.44</v>
      </c>
      <c r="G1331">
        <v>1.44</v>
      </c>
      <c r="H1331">
        <v>1.44</v>
      </c>
      <c r="J1331" s="5">
        <f>ABS(F1331-G1331)/ABS(F1331)</f>
        <v>0</v>
      </c>
      <c r="K1331" s="5">
        <f>ABS(G1331-H1331)/ABS(G1331)</f>
        <v>0</v>
      </c>
    </row>
    <row r="1332" spans="3:11" x14ac:dyDescent="0.2">
      <c r="C1332" t="s">
        <v>2307</v>
      </c>
      <c r="D1332" t="b">
        <f ca="1">IF(CELL("format",F1332)="G",IF(ABS(F1332-G1332) &lt;= ABS(F1332*B$3),TRUE,FALSE),IF(F1332=G1332,TRUE,FALSE))</f>
        <v>1</v>
      </c>
      <c r="E1332" s="5">
        <f>ABS(F1332-G1332)/ABS(F1332)</f>
        <v>0</v>
      </c>
      <c r="F1332">
        <v>1.5</v>
      </c>
      <c r="G1332">
        <v>1.5</v>
      </c>
      <c r="H1332">
        <v>1.5</v>
      </c>
      <c r="J1332" s="5">
        <f>ABS(F1332-G1332)/ABS(F1332)</f>
        <v>0</v>
      </c>
      <c r="K1332" s="5">
        <f>ABS(G1332-H1332)/ABS(G1332)</f>
        <v>0</v>
      </c>
    </row>
    <row r="1333" spans="3:11" x14ac:dyDescent="0.2">
      <c r="C1333" t="s">
        <v>2308</v>
      </c>
      <c r="D1333" t="b">
        <f ca="1">IF(CELL("format",F1333)="G",IF(ABS(F1333-G1333) &lt;= ABS(F1333*B$3),TRUE,FALSE),IF(F1333=G1333,TRUE,FALSE))</f>
        <v>1</v>
      </c>
      <c r="E1333" s="5">
        <f>ABS(F1333-G1333)/ABS(F1333)</f>
        <v>0</v>
      </c>
      <c r="F1333">
        <v>1.32</v>
      </c>
      <c r="G1333">
        <v>1.32</v>
      </c>
      <c r="H1333">
        <v>1.32</v>
      </c>
      <c r="J1333" s="5">
        <f>ABS(F1333-G1333)/ABS(F1333)</f>
        <v>0</v>
      </c>
      <c r="K1333" s="5">
        <f>ABS(G1333-H1333)/ABS(G1333)</f>
        <v>0</v>
      </c>
    </row>
    <row r="1334" spans="3:11" x14ac:dyDescent="0.2">
      <c r="C1334" t="s">
        <v>2309</v>
      </c>
      <c r="D1334" t="b">
        <f ca="1">IF(CELL("format",F1334)="G",IF(ABS(F1334-G1334) &lt;= ABS(F1334*B$3),TRUE,FALSE),IF(F1334=G1334,TRUE,FALSE))</f>
        <v>1</v>
      </c>
      <c r="E1334" s="5">
        <f>ABS(F1334-G1334)/ABS(F1334)</f>
        <v>0</v>
      </c>
      <c r="F1334">
        <v>0.78</v>
      </c>
      <c r="G1334">
        <v>0.78</v>
      </c>
      <c r="H1334">
        <v>0.78</v>
      </c>
      <c r="J1334" s="5">
        <f>ABS(F1334-G1334)/ABS(F1334)</f>
        <v>0</v>
      </c>
      <c r="K1334" s="5">
        <f>ABS(G1334-H1334)/ABS(G1334)</f>
        <v>0</v>
      </c>
    </row>
    <row r="1335" spans="3:11" x14ac:dyDescent="0.2">
      <c r="C1335" t="s">
        <v>2310</v>
      </c>
      <c r="D1335" t="b">
        <f ca="1">IF(CELL("format",F1335)="G",IF(ABS(F1335-G1335) &lt;= ABS(F1335*B$3),TRUE,FALSE),IF(F1335=G1335,TRUE,FALSE))</f>
        <v>1</v>
      </c>
      <c r="E1335" s="5">
        <f>ABS(F1335-G1335)/ABS(F1335)</f>
        <v>0</v>
      </c>
      <c r="F1335">
        <v>0.26</v>
      </c>
      <c r="G1335">
        <v>0.26</v>
      </c>
      <c r="H1335">
        <v>0.26</v>
      </c>
      <c r="J1335" s="5">
        <f>ABS(F1335-G1335)/ABS(F1335)</f>
        <v>0</v>
      </c>
      <c r="K1335" s="5">
        <f>ABS(G1335-H1335)/ABS(G1335)</f>
        <v>0</v>
      </c>
    </row>
    <row r="1336" spans="3:11" x14ac:dyDescent="0.2">
      <c r="C1336" t="s">
        <v>2311</v>
      </c>
      <c r="D1336" t="b">
        <f ca="1">IF(CELL("format",F1336)="G",IF(ABS(F1336-G1336) &lt;= ABS(F1336*B$3),TRUE,FALSE),IF(F1336=G1336,TRUE,FALSE))</f>
        <v>1</v>
      </c>
      <c r="E1336" s="5" t="e">
        <f>ABS(F1336-G1336)/ABS(F1336)</f>
        <v>#DIV/0!</v>
      </c>
      <c r="F1336">
        <v>0</v>
      </c>
      <c r="G1336">
        <v>0</v>
      </c>
      <c r="H1336">
        <v>0</v>
      </c>
      <c r="J1336" s="5" t="e">
        <f>ABS(F1336-G1336)/ABS(F1336)</f>
        <v>#DIV/0!</v>
      </c>
      <c r="K1336" s="5" t="e">
        <f>ABS(G1336-H1336)/ABS(G1336)</f>
        <v>#DIV/0!</v>
      </c>
    </row>
    <row r="1337" spans="3:11" x14ac:dyDescent="0.2">
      <c r="C1337" t="s">
        <v>2312</v>
      </c>
      <c r="D1337" t="b">
        <f ca="1">IF(CELL("format",F1337)="G",IF(ABS(F1337-G1337) &lt;= ABS(F1337*B$3),TRUE,FALSE),IF(F1337=G1337,TRUE,FALSE))</f>
        <v>1</v>
      </c>
      <c r="E1337" s="5" t="e">
        <f>ABS(F1337-G1337)/ABS(F1337)</f>
        <v>#DIV/0!</v>
      </c>
      <c r="F1337">
        <v>0</v>
      </c>
      <c r="G1337">
        <v>0</v>
      </c>
      <c r="H1337">
        <v>0</v>
      </c>
      <c r="J1337" s="5" t="e">
        <f>ABS(F1337-G1337)/ABS(F1337)</f>
        <v>#DIV/0!</v>
      </c>
      <c r="K1337" s="5" t="e">
        <f>ABS(G1337-H1337)/ABS(G1337)</f>
        <v>#DIV/0!</v>
      </c>
    </row>
    <row r="1338" spans="3:11" x14ac:dyDescent="0.2">
      <c r="C1338" t="s">
        <v>2313</v>
      </c>
      <c r="D1338" t="b">
        <f ca="1">IF(CELL("format",F1338)="G",IF(ABS(F1338-G1338) &lt;= ABS(F1338*B$3),TRUE,FALSE),IF(F1338=G1338,TRUE,FALSE))</f>
        <v>1</v>
      </c>
      <c r="E1338" s="5" t="e">
        <f>ABS(F1338-G1338)/ABS(F1338)</f>
        <v>#DIV/0!</v>
      </c>
      <c r="F1338">
        <v>0</v>
      </c>
      <c r="G1338">
        <v>0</v>
      </c>
      <c r="H1338">
        <v>0</v>
      </c>
      <c r="J1338" s="5" t="e">
        <f>ABS(F1338-G1338)/ABS(F1338)</f>
        <v>#DIV/0!</v>
      </c>
      <c r="K1338" s="5" t="e">
        <f>ABS(G1338-H1338)/ABS(G1338)</f>
        <v>#DIV/0!</v>
      </c>
    </row>
    <row r="1339" spans="3:11" x14ac:dyDescent="0.2">
      <c r="C1339" t="s">
        <v>2314</v>
      </c>
      <c r="D1339" t="b">
        <f ca="1">IF(CELL("format",F1339)="G",IF(ABS(F1339-G1339) &lt;= ABS(F1339*B$3),TRUE,FALSE),IF(F1339=G1339,TRUE,FALSE))</f>
        <v>1</v>
      </c>
      <c r="E1339" s="5" t="e">
        <f>ABS(F1339-G1339)/ABS(F1339)</f>
        <v>#DIV/0!</v>
      </c>
      <c r="F1339">
        <v>0</v>
      </c>
      <c r="G1339">
        <v>0</v>
      </c>
      <c r="H1339">
        <v>0</v>
      </c>
      <c r="J1339" s="5" t="e">
        <f>ABS(F1339-G1339)/ABS(F1339)</f>
        <v>#DIV/0!</v>
      </c>
      <c r="K1339" s="5" t="e">
        <f>ABS(G1339-H1339)/ABS(G1339)</f>
        <v>#DIV/0!</v>
      </c>
    </row>
    <row r="1340" spans="3:11" x14ac:dyDescent="0.2">
      <c r="C1340" t="s">
        <v>2315</v>
      </c>
      <c r="D1340" t="b">
        <f ca="1">IF(CELL("format",F1340)="G",IF(ABS(F1340-G1340) &lt;= ABS(F1340*B$3),TRUE,FALSE),IF(F1340=G1340,TRUE,FALSE))</f>
        <v>1</v>
      </c>
      <c r="E1340" s="5">
        <f>ABS(F1340-G1340)/ABS(F1340)</f>
        <v>0</v>
      </c>
      <c r="F1340">
        <v>-0.06</v>
      </c>
      <c r="G1340">
        <v>-0.06</v>
      </c>
      <c r="H1340">
        <v>-0.06</v>
      </c>
      <c r="J1340" s="5">
        <f>ABS(F1340-G1340)/ABS(F1340)</f>
        <v>0</v>
      </c>
      <c r="K1340" s="5">
        <f>ABS(G1340-H1340)/ABS(G1340)</f>
        <v>0</v>
      </c>
    </row>
    <row r="1341" spans="3:11" x14ac:dyDescent="0.2">
      <c r="C1341" t="s">
        <v>2316</v>
      </c>
      <c r="D1341" t="b">
        <f ca="1">IF(CELL("format",F1341)="G",IF(ABS(F1341-G1341) &lt;= ABS(F1341*B$3),TRUE,FALSE),IF(F1341=G1341,TRUE,FALSE))</f>
        <v>1</v>
      </c>
      <c r="E1341" s="5">
        <f>ABS(F1341-G1341)/ABS(F1341)</f>
        <v>0</v>
      </c>
      <c r="F1341">
        <v>-0.04</v>
      </c>
      <c r="G1341">
        <v>-0.04</v>
      </c>
      <c r="H1341">
        <v>-0.04</v>
      </c>
      <c r="J1341" s="5">
        <f>ABS(F1341-G1341)/ABS(F1341)</f>
        <v>0</v>
      </c>
      <c r="K1341" s="5">
        <f>ABS(G1341-H1341)/ABS(G1341)</f>
        <v>0</v>
      </c>
    </row>
    <row r="1342" spans="3:11" x14ac:dyDescent="0.2">
      <c r="C1342" t="s">
        <v>2317</v>
      </c>
      <c r="D1342" t="b">
        <f ca="1">IF(CELL("format",F1342)="G",IF(ABS(F1342-G1342) &lt;= ABS(F1342*B$3),TRUE,FALSE),IF(F1342=G1342,TRUE,FALSE))</f>
        <v>1</v>
      </c>
      <c r="E1342" s="5" t="e">
        <f>ABS(F1342-G1342)/ABS(F1342)</f>
        <v>#DIV/0!</v>
      </c>
      <c r="F1342">
        <v>0</v>
      </c>
      <c r="G1342">
        <v>0</v>
      </c>
      <c r="H1342">
        <v>0</v>
      </c>
      <c r="J1342" s="5" t="e">
        <f>ABS(F1342-G1342)/ABS(F1342)</f>
        <v>#DIV/0!</v>
      </c>
      <c r="K1342" s="5" t="e">
        <f>ABS(G1342-H1342)/ABS(G1342)</f>
        <v>#DIV/0!</v>
      </c>
    </row>
    <row r="1343" spans="3:11" x14ac:dyDescent="0.2">
      <c r="C1343" t="s">
        <v>2318</v>
      </c>
      <c r="D1343" t="b">
        <f ca="1">IF(CELL("format",F1343)="G",IF(ABS(F1343-G1343) &lt;= ABS(F1343*B$3),TRUE,FALSE),IF(F1343=G1343,TRUE,FALSE))</f>
        <v>1</v>
      </c>
      <c r="E1343" s="5" t="e">
        <f>ABS(F1343-G1343)/ABS(F1343)</f>
        <v>#DIV/0!</v>
      </c>
      <c r="F1343">
        <v>0</v>
      </c>
      <c r="G1343">
        <v>0</v>
      </c>
      <c r="H1343">
        <v>0</v>
      </c>
      <c r="J1343" s="5" t="e">
        <f>ABS(F1343-G1343)/ABS(F1343)</f>
        <v>#DIV/0!</v>
      </c>
      <c r="K1343" s="5" t="e">
        <f>ABS(G1343-H1343)/ABS(G1343)</f>
        <v>#DIV/0!</v>
      </c>
    </row>
    <row r="1344" spans="3:11" x14ac:dyDescent="0.2">
      <c r="C1344" t="s">
        <v>2319</v>
      </c>
      <c r="D1344" t="b">
        <f ca="1">IF(CELL("format",F1344)="G",IF(ABS(F1344-G1344) &lt;= ABS(F1344*B$3),TRUE,FALSE),IF(F1344=G1344,TRUE,FALSE))</f>
        <v>1</v>
      </c>
      <c r="E1344" s="5" t="e">
        <f>ABS(F1344-G1344)/ABS(F1344)</f>
        <v>#DIV/0!</v>
      </c>
      <c r="F1344">
        <v>0</v>
      </c>
      <c r="G1344">
        <v>0</v>
      </c>
      <c r="H1344">
        <v>0</v>
      </c>
      <c r="J1344" s="5" t="e">
        <f>ABS(F1344-G1344)/ABS(F1344)</f>
        <v>#DIV/0!</v>
      </c>
      <c r="K1344" s="5" t="e">
        <f>ABS(G1344-H1344)/ABS(G1344)</f>
        <v>#DIV/0!</v>
      </c>
    </row>
    <row r="1345" spans="3:11" x14ac:dyDescent="0.2">
      <c r="C1345" t="s">
        <v>2320</v>
      </c>
      <c r="D1345" t="b">
        <f ca="1">IF(CELL("format",F1345)="G",IF(ABS(F1345-G1345) &lt;= ABS(F1345*B$3),TRUE,FALSE),IF(F1345=G1345,TRUE,FALSE))</f>
        <v>1</v>
      </c>
      <c r="E1345" s="5" t="e">
        <f>ABS(F1345-G1345)/ABS(F1345)</f>
        <v>#DIV/0!</v>
      </c>
      <c r="F1345">
        <v>0</v>
      </c>
      <c r="G1345">
        <v>0</v>
      </c>
      <c r="H1345">
        <v>0</v>
      </c>
      <c r="J1345" s="5" t="e">
        <f>ABS(F1345-G1345)/ABS(F1345)</f>
        <v>#DIV/0!</v>
      </c>
      <c r="K1345" s="5" t="e">
        <f>ABS(G1345-H1345)/ABS(G1345)</f>
        <v>#DIV/0!</v>
      </c>
    </row>
    <row r="1346" spans="3:11" x14ac:dyDescent="0.2">
      <c r="C1346" t="s">
        <v>2321</v>
      </c>
      <c r="D1346" t="b">
        <f ca="1">IF(CELL("format",F1346)="G",IF(ABS(F1346-G1346) &lt;= ABS(F1346*B$3),TRUE,FALSE),IF(F1346=G1346,TRUE,FALSE))</f>
        <v>1</v>
      </c>
      <c r="E1346" s="5" t="e">
        <f>ABS(F1346-G1346)/ABS(F1346)</f>
        <v>#DIV/0!</v>
      </c>
      <c r="F1346">
        <v>0</v>
      </c>
      <c r="G1346">
        <v>0</v>
      </c>
      <c r="H1346">
        <v>0</v>
      </c>
      <c r="J1346" s="5" t="e">
        <f>ABS(F1346-G1346)/ABS(F1346)</f>
        <v>#DIV/0!</v>
      </c>
      <c r="K1346" s="5" t="e">
        <f>ABS(G1346-H1346)/ABS(G1346)</f>
        <v>#DIV/0!</v>
      </c>
    </row>
    <row r="1347" spans="3:11" x14ac:dyDescent="0.2">
      <c r="C1347" t="s">
        <v>2322</v>
      </c>
      <c r="D1347" t="b">
        <f ca="1">IF(CELL("format",F1347)="G",IF(ABS(F1347-G1347) &lt;= ABS(F1347*B$3),TRUE,FALSE),IF(F1347=G1347,TRUE,FALSE))</f>
        <v>1</v>
      </c>
      <c r="E1347" s="5" t="e">
        <f>ABS(F1347-G1347)/ABS(F1347)</f>
        <v>#DIV/0!</v>
      </c>
      <c r="F1347">
        <v>0</v>
      </c>
      <c r="G1347">
        <v>0</v>
      </c>
      <c r="H1347">
        <v>0</v>
      </c>
      <c r="J1347" s="5" t="e">
        <f>ABS(F1347-G1347)/ABS(F1347)</f>
        <v>#DIV/0!</v>
      </c>
      <c r="K1347" s="5" t="e">
        <f>ABS(G1347-H1347)/ABS(G1347)</f>
        <v>#DIV/0!</v>
      </c>
    </row>
    <row r="1348" spans="3:11" x14ac:dyDescent="0.2">
      <c r="C1348" t="s">
        <v>2323</v>
      </c>
      <c r="D1348" t="b">
        <f ca="1">IF(CELL("format",F1348)="G",IF(ABS(F1348-G1348) &lt;= ABS(F1348*B$3),TRUE,FALSE),IF(F1348=G1348,TRUE,FALSE))</f>
        <v>1</v>
      </c>
      <c r="E1348" s="5">
        <f>ABS(F1348-G1348)/ABS(F1348)</f>
        <v>0</v>
      </c>
      <c r="F1348">
        <v>0.17</v>
      </c>
      <c r="G1348">
        <v>0.17</v>
      </c>
      <c r="H1348">
        <v>0.17</v>
      </c>
      <c r="J1348" s="5">
        <f>ABS(F1348-G1348)/ABS(F1348)</f>
        <v>0</v>
      </c>
      <c r="K1348" s="5">
        <f>ABS(G1348-H1348)/ABS(G1348)</f>
        <v>0</v>
      </c>
    </row>
    <row r="1349" spans="3:11" x14ac:dyDescent="0.2">
      <c r="C1349" t="s">
        <v>2324</v>
      </c>
      <c r="D1349" t="b">
        <f ca="1">IF(CELL("format",F1349)="G",IF(ABS(F1349-G1349) &lt;= ABS(F1349*B$3),TRUE,FALSE),IF(F1349=G1349,TRUE,FALSE))</f>
        <v>1</v>
      </c>
      <c r="E1349" s="5">
        <f>ABS(F1349-G1349)/ABS(F1349)</f>
        <v>0</v>
      </c>
      <c r="F1349">
        <v>0.39</v>
      </c>
      <c r="G1349">
        <v>0.39</v>
      </c>
      <c r="H1349">
        <v>0.39</v>
      </c>
      <c r="J1349" s="5">
        <f>ABS(F1349-G1349)/ABS(F1349)</f>
        <v>0</v>
      </c>
      <c r="K1349" s="5">
        <f>ABS(G1349-H1349)/ABS(G1349)</f>
        <v>0</v>
      </c>
    </row>
    <row r="1350" spans="3:11" x14ac:dyDescent="0.2">
      <c r="C1350" t="s">
        <v>2301</v>
      </c>
      <c r="D1350" t="b">
        <f ca="1">IF(CELL("format",F1350)="G",IF(ABS(F1350-G1350) &lt;= ABS(F1350*B$3),TRUE,FALSE),IF(F1350=G1350,TRUE,FALSE))</f>
        <v>1</v>
      </c>
      <c r="E1350" s="5" t="e">
        <f>ABS(F1350-G1350)/ABS(F1350)</f>
        <v>#DIV/0!</v>
      </c>
      <c r="F1350">
        <v>0</v>
      </c>
      <c r="G1350">
        <v>0</v>
      </c>
      <c r="H1350">
        <v>0</v>
      </c>
      <c r="J1350" s="5" t="e">
        <f>ABS(F1350-G1350)/ABS(F1350)</f>
        <v>#DIV/0!</v>
      </c>
      <c r="K1350" s="5" t="e">
        <f>ABS(G1350-H1350)/ABS(G1350)</f>
        <v>#DIV/0!</v>
      </c>
    </row>
    <row r="1351" spans="3:11" x14ac:dyDescent="0.2">
      <c r="C1351" t="s">
        <v>2302</v>
      </c>
      <c r="D1351" t="b">
        <f ca="1">IF(CELL("format",F1351)="G",IF(ABS(F1351-G1351) &lt;= ABS(F1351*B$3),TRUE,FALSE),IF(F1351=G1351,TRUE,FALSE))</f>
        <v>1</v>
      </c>
      <c r="E1351" s="5" t="e">
        <f>ABS(F1351-G1351)/ABS(F1351)</f>
        <v>#DIV/0!</v>
      </c>
      <c r="F1351">
        <v>0</v>
      </c>
      <c r="G1351">
        <v>0</v>
      </c>
      <c r="H1351">
        <v>0</v>
      </c>
      <c r="J1351" s="5" t="e">
        <f>ABS(F1351-G1351)/ABS(F1351)</f>
        <v>#DIV/0!</v>
      </c>
      <c r="K1351" s="5" t="e">
        <f>ABS(G1351-H1351)/ABS(G1351)</f>
        <v>#DIV/0!</v>
      </c>
    </row>
    <row r="1352" spans="3:11" x14ac:dyDescent="0.2">
      <c r="C1352" t="s">
        <v>2303</v>
      </c>
      <c r="D1352" t="b">
        <f ca="1">IF(CELL("format",F1352)="G",IF(ABS(F1352-G1352) &lt;= ABS(F1352*B$3),TRUE,FALSE),IF(F1352=G1352,TRUE,FALSE))</f>
        <v>1</v>
      </c>
      <c r="E1352" s="5" t="e">
        <f>ABS(F1352-G1352)/ABS(F1352)</f>
        <v>#DIV/0!</v>
      </c>
      <c r="F1352">
        <v>0</v>
      </c>
      <c r="G1352">
        <v>0</v>
      </c>
      <c r="H1352">
        <v>0</v>
      </c>
      <c r="J1352" s="5" t="e">
        <f>ABS(F1352-G1352)/ABS(F1352)</f>
        <v>#DIV/0!</v>
      </c>
      <c r="K1352" s="5" t="e">
        <f>ABS(G1352-H1352)/ABS(G1352)</f>
        <v>#DIV/0!</v>
      </c>
    </row>
    <row r="1353" spans="3:11" x14ac:dyDescent="0.2">
      <c r="C1353" t="s">
        <v>2304</v>
      </c>
      <c r="D1353" t="b">
        <f ca="1">IF(CELL("format",F1353)="G",IF(ABS(F1353-G1353) &lt;= ABS(F1353*B$3),TRUE,FALSE),IF(F1353=G1353,TRUE,FALSE))</f>
        <v>1</v>
      </c>
      <c r="E1353" s="5" t="e">
        <f>ABS(F1353-G1353)/ABS(F1353)</f>
        <v>#DIV/0!</v>
      </c>
      <c r="F1353">
        <v>0</v>
      </c>
      <c r="G1353">
        <v>0</v>
      </c>
      <c r="H1353">
        <v>0</v>
      </c>
      <c r="J1353" s="5" t="e">
        <f>ABS(F1353-G1353)/ABS(F1353)</f>
        <v>#DIV/0!</v>
      </c>
      <c r="K1353" s="5" t="e">
        <f>ABS(G1353-H1353)/ABS(G1353)</f>
        <v>#DIV/0!</v>
      </c>
    </row>
    <row r="1354" spans="3:11" x14ac:dyDescent="0.2">
      <c r="C1354" t="s">
        <v>2305</v>
      </c>
      <c r="D1354" t="b">
        <f ca="1">IF(CELL("format",F1354)="G",IF(ABS(F1354-G1354) &lt;= ABS(F1354*B$3),TRUE,FALSE),IF(F1354=G1354,TRUE,FALSE))</f>
        <v>1</v>
      </c>
      <c r="E1354" s="5" t="e">
        <f>ABS(F1354-G1354)/ABS(F1354)</f>
        <v>#DIV/0!</v>
      </c>
      <c r="F1354">
        <v>0</v>
      </c>
      <c r="G1354">
        <v>0</v>
      </c>
      <c r="H1354">
        <v>0</v>
      </c>
      <c r="J1354" s="5" t="e">
        <f>ABS(F1354-G1354)/ABS(F1354)</f>
        <v>#DIV/0!</v>
      </c>
      <c r="K1354" s="5" t="e">
        <f>ABS(G1354-H1354)/ABS(G1354)</f>
        <v>#DIV/0!</v>
      </c>
    </row>
    <row r="1355" spans="3:11" x14ac:dyDescent="0.2">
      <c r="C1355" t="s">
        <v>2306</v>
      </c>
      <c r="D1355" t="b">
        <f ca="1">IF(CELL("format",F1355)="G",IF(ABS(F1355-G1355) &lt;= ABS(F1355*B$3),TRUE,FALSE),IF(F1355=G1355,TRUE,FALSE))</f>
        <v>1</v>
      </c>
      <c r="E1355" s="5" t="e">
        <f>ABS(F1355-G1355)/ABS(F1355)</f>
        <v>#DIV/0!</v>
      </c>
      <c r="F1355">
        <v>0</v>
      </c>
      <c r="G1355">
        <v>0</v>
      </c>
      <c r="H1355">
        <v>0</v>
      </c>
      <c r="J1355" s="5" t="e">
        <f>ABS(F1355-G1355)/ABS(F1355)</f>
        <v>#DIV/0!</v>
      </c>
      <c r="K1355" s="5" t="e">
        <f>ABS(G1355-H1355)/ABS(G1355)</f>
        <v>#DIV/0!</v>
      </c>
    </row>
    <row r="1356" spans="3:11" x14ac:dyDescent="0.2">
      <c r="C1356" t="s">
        <v>2307</v>
      </c>
      <c r="D1356" t="b">
        <f ca="1">IF(CELL("format",F1356)="G",IF(ABS(F1356-G1356) &lt;= ABS(F1356*B$3),TRUE,FALSE),IF(F1356=G1356,TRUE,FALSE))</f>
        <v>1</v>
      </c>
      <c r="E1356" s="5" t="e">
        <f>ABS(F1356-G1356)/ABS(F1356)</f>
        <v>#DIV/0!</v>
      </c>
      <c r="F1356">
        <v>0</v>
      </c>
      <c r="G1356">
        <v>0</v>
      </c>
      <c r="H1356">
        <v>0</v>
      </c>
      <c r="J1356" s="5" t="e">
        <f>ABS(F1356-G1356)/ABS(F1356)</f>
        <v>#DIV/0!</v>
      </c>
      <c r="K1356" s="5" t="e">
        <f>ABS(G1356-H1356)/ABS(G1356)</f>
        <v>#DIV/0!</v>
      </c>
    </row>
    <row r="1357" spans="3:11" x14ac:dyDescent="0.2">
      <c r="C1357" t="s">
        <v>2308</v>
      </c>
      <c r="D1357" t="b">
        <f ca="1">IF(CELL("format",F1357)="G",IF(ABS(F1357-G1357) &lt;= ABS(F1357*B$3),TRUE,FALSE),IF(F1357=G1357,TRUE,FALSE))</f>
        <v>1</v>
      </c>
      <c r="E1357" s="5">
        <f>ABS(F1357-G1357)/ABS(F1357)</f>
        <v>0</v>
      </c>
      <c r="F1357">
        <v>1.26</v>
      </c>
      <c r="G1357">
        <v>1.26</v>
      </c>
      <c r="H1357">
        <v>1.26</v>
      </c>
      <c r="J1357" s="5">
        <f>ABS(F1357-G1357)/ABS(F1357)</f>
        <v>0</v>
      </c>
      <c r="K1357" s="5">
        <f>ABS(G1357-H1357)/ABS(G1357)</f>
        <v>0</v>
      </c>
    </row>
    <row r="1358" spans="3:11" x14ac:dyDescent="0.2">
      <c r="C1358" t="s">
        <v>2309</v>
      </c>
      <c r="D1358" t="b">
        <f ca="1">IF(CELL("format",F1358)="G",IF(ABS(F1358-G1358) &lt;= ABS(F1358*B$3),TRUE,FALSE),IF(F1358=G1358,TRUE,FALSE))</f>
        <v>1</v>
      </c>
      <c r="E1358" s="5">
        <f>ABS(F1358-G1358)/ABS(F1358)</f>
        <v>0</v>
      </c>
      <c r="F1358">
        <v>1.53</v>
      </c>
      <c r="G1358">
        <v>1.53</v>
      </c>
      <c r="H1358">
        <v>1.53</v>
      </c>
      <c r="J1358" s="5">
        <f>ABS(F1358-G1358)/ABS(F1358)</f>
        <v>0</v>
      </c>
      <c r="K1358" s="5">
        <f>ABS(G1358-H1358)/ABS(G1358)</f>
        <v>0</v>
      </c>
    </row>
    <row r="1359" spans="3:11" x14ac:dyDescent="0.2">
      <c r="C1359" t="s">
        <v>2310</v>
      </c>
      <c r="D1359" t="b">
        <f ca="1">IF(CELL("format",F1359)="G",IF(ABS(F1359-G1359) &lt;= ABS(F1359*B$3),TRUE,FALSE),IF(F1359=G1359,TRUE,FALSE))</f>
        <v>1</v>
      </c>
      <c r="E1359" s="5">
        <f>ABS(F1359-G1359)/ABS(F1359)</f>
        <v>0</v>
      </c>
      <c r="F1359">
        <v>0.82</v>
      </c>
      <c r="G1359">
        <v>0.82</v>
      </c>
      <c r="H1359">
        <v>0.82</v>
      </c>
      <c r="J1359" s="5">
        <f>ABS(F1359-G1359)/ABS(F1359)</f>
        <v>0</v>
      </c>
      <c r="K1359" s="5">
        <f>ABS(G1359-H1359)/ABS(G1359)</f>
        <v>0</v>
      </c>
    </row>
    <row r="1360" spans="3:11" x14ac:dyDescent="0.2">
      <c r="C1360" t="s">
        <v>2311</v>
      </c>
      <c r="D1360" t="b">
        <f ca="1">IF(CELL("format",F1360)="G",IF(ABS(F1360-G1360) &lt;= ABS(F1360*B$3),TRUE,FALSE),IF(F1360=G1360,TRUE,FALSE))</f>
        <v>1</v>
      </c>
      <c r="E1360" s="5">
        <f>ABS(F1360-G1360)/ABS(F1360)</f>
        <v>0</v>
      </c>
      <c r="F1360">
        <v>0.28000000000000003</v>
      </c>
      <c r="G1360">
        <v>0.28000000000000003</v>
      </c>
      <c r="H1360">
        <v>0.28000000000000003</v>
      </c>
      <c r="J1360" s="5">
        <f>ABS(F1360-G1360)/ABS(F1360)</f>
        <v>0</v>
      </c>
      <c r="K1360" s="5">
        <f>ABS(G1360-H1360)/ABS(G1360)</f>
        <v>0</v>
      </c>
    </row>
    <row r="1361" spans="3:11" x14ac:dyDescent="0.2">
      <c r="C1361" t="s">
        <v>2312</v>
      </c>
      <c r="D1361" t="b">
        <f ca="1">IF(CELL("format",F1361)="G",IF(ABS(F1361-G1361) &lt;= ABS(F1361*B$3),TRUE,FALSE),IF(F1361=G1361,TRUE,FALSE))</f>
        <v>1</v>
      </c>
      <c r="E1361" s="5" t="e">
        <f>ABS(F1361-G1361)/ABS(F1361)</f>
        <v>#DIV/0!</v>
      </c>
      <c r="F1361">
        <v>0</v>
      </c>
      <c r="G1361">
        <v>0</v>
      </c>
      <c r="H1361">
        <v>0</v>
      </c>
      <c r="J1361" s="5" t="e">
        <f>ABS(F1361-G1361)/ABS(F1361)</f>
        <v>#DIV/0!</v>
      </c>
      <c r="K1361" s="5" t="e">
        <f>ABS(G1361-H1361)/ABS(G1361)</f>
        <v>#DIV/0!</v>
      </c>
    </row>
    <row r="1362" spans="3:11" x14ac:dyDescent="0.2">
      <c r="C1362" t="s">
        <v>2313</v>
      </c>
      <c r="D1362" t="b">
        <f ca="1">IF(CELL("format",F1362)="G",IF(ABS(F1362-G1362) &lt;= ABS(F1362*B$3),TRUE,FALSE),IF(F1362=G1362,TRUE,FALSE))</f>
        <v>1</v>
      </c>
      <c r="E1362" s="5" t="e">
        <f>ABS(F1362-G1362)/ABS(F1362)</f>
        <v>#DIV/0!</v>
      </c>
      <c r="F1362">
        <v>0</v>
      </c>
      <c r="G1362">
        <v>0</v>
      </c>
      <c r="H1362">
        <v>0</v>
      </c>
      <c r="J1362" s="5" t="e">
        <f>ABS(F1362-G1362)/ABS(F1362)</f>
        <v>#DIV/0!</v>
      </c>
      <c r="K1362" s="5" t="e">
        <f>ABS(G1362-H1362)/ABS(G1362)</f>
        <v>#DIV/0!</v>
      </c>
    </row>
    <row r="1363" spans="3:11" x14ac:dyDescent="0.2">
      <c r="C1363" t="s">
        <v>2314</v>
      </c>
      <c r="D1363" t="b">
        <f ca="1">IF(CELL("format",F1363)="G",IF(ABS(F1363-G1363) &lt;= ABS(F1363*B$3),TRUE,FALSE),IF(F1363=G1363,TRUE,FALSE))</f>
        <v>1</v>
      </c>
      <c r="E1363" s="5" t="e">
        <f>ABS(F1363-G1363)/ABS(F1363)</f>
        <v>#DIV/0!</v>
      </c>
      <c r="F1363">
        <v>0</v>
      </c>
      <c r="G1363">
        <v>0</v>
      </c>
      <c r="H1363">
        <v>0</v>
      </c>
      <c r="J1363" s="5" t="e">
        <f>ABS(F1363-G1363)/ABS(F1363)</f>
        <v>#DIV/0!</v>
      </c>
      <c r="K1363" s="5" t="e">
        <f>ABS(G1363-H1363)/ABS(G1363)</f>
        <v>#DIV/0!</v>
      </c>
    </row>
    <row r="1364" spans="3:11" x14ac:dyDescent="0.2">
      <c r="C1364" t="s">
        <v>2315</v>
      </c>
      <c r="D1364" t="b">
        <f ca="1">IF(CELL("format",F1364)="G",IF(ABS(F1364-G1364) &lt;= ABS(F1364*B$3),TRUE,FALSE),IF(F1364=G1364,TRUE,FALSE))</f>
        <v>1</v>
      </c>
      <c r="E1364" s="5" t="e">
        <f>ABS(F1364-G1364)/ABS(F1364)</f>
        <v>#DIV/0!</v>
      </c>
      <c r="F1364">
        <v>0</v>
      </c>
      <c r="G1364">
        <v>0</v>
      </c>
      <c r="H1364">
        <v>0</v>
      </c>
      <c r="J1364" s="5" t="e">
        <f>ABS(F1364-G1364)/ABS(F1364)</f>
        <v>#DIV/0!</v>
      </c>
      <c r="K1364" s="5" t="e">
        <f>ABS(G1364-H1364)/ABS(G1364)</f>
        <v>#DIV/0!</v>
      </c>
    </row>
    <row r="1365" spans="3:11" x14ac:dyDescent="0.2">
      <c r="C1365" t="s">
        <v>2316</v>
      </c>
      <c r="D1365" t="b">
        <f ca="1">IF(CELL("format",F1365)="G",IF(ABS(F1365-G1365) &lt;= ABS(F1365*B$3),TRUE,FALSE),IF(F1365=G1365,TRUE,FALSE))</f>
        <v>1</v>
      </c>
      <c r="E1365" s="5" t="e">
        <f>ABS(F1365-G1365)/ABS(F1365)</f>
        <v>#DIV/0!</v>
      </c>
      <c r="F1365">
        <v>0</v>
      </c>
      <c r="G1365">
        <v>0</v>
      </c>
      <c r="H1365">
        <v>0</v>
      </c>
      <c r="J1365" s="5" t="e">
        <f>ABS(F1365-G1365)/ABS(F1365)</f>
        <v>#DIV/0!</v>
      </c>
      <c r="K1365" s="5" t="e">
        <f>ABS(G1365-H1365)/ABS(G1365)</f>
        <v>#DIV/0!</v>
      </c>
    </row>
    <row r="1366" spans="3:11" x14ac:dyDescent="0.2">
      <c r="C1366" t="s">
        <v>2317</v>
      </c>
      <c r="D1366" t="b">
        <f ca="1">IF(CELL("format",F1366)="G",IF(ABS(F1366-G1366) &lt;= ABS(F1366*B$3),TRUE,FALSE),IF(F1366=G1366,TRUE,FALSE))</f>
        <v>1</v>
      </c>
      <c r="E1366" s="5" t="e">
        <f>ABS(F1366-G1366)/ABS(F1366)</f>
        <v>#DIV/0!</v>
      </c>
      <c r="F1366">
        <v>0</v>
      </c>
      <c r="G1366">
        <v>0</v>
      </c>
      <c r="H1366">
        <v>0</v>
      </c>
      <c r="J1366" s="5" t="e">
        <f>ABS(F1366-G1366)/ABS(F1366)</f>
        <v>#DIV/0!</v>
      </c>
      <c r="K1366" s="5" t="e">
        <f>ABS(G1366-H1366)/ABS(G1366)</f>
        <v>#DIV/0!</v>
      </c>
    </row>
    <row r="1367" spans="3:11" x14ac:dyDescent="0.2">
      <c r="C1367" t="s">
        <v>2318</v>
      </c>
      <c r="D1367" t="b">
        <f ca="1">IF(CELL("format",F1367)="G",IF(ABS(F1367-G1367) &lt;= ABS(F1367*B$3),TRUE,FALSE),IF(F1367=G1367,TRUE,FALSE))</f>
        <v>1</v>
      </c>
      <c r="E1367" s="5" t="e">
        <f>ABS(F1367-G1367)/ABS(F1367)</f>
        <v>#DIV/0!</v>
      </c>
      <c r="F1367">
        <v>0</v>
      </c>
      <c r="G1367">
        <v>0</v>
      </c>
      <c r="H1367">
        <v>0</v>
      </c>
      <c r="J1367" s="5" t="e">
        <f>ABS(F1367-G1367)/ABS(F1367)</f>
        <v>#DIV/0!</v>
      </c>
      <c r="K1367" s="5" t="e">
        <f>ABS(G1367-H1367)/ABS(G1367)</f>
        <v>#DIV/0!</v>
      </c>
    </row>
    <row r="1368" spans="3:11" x14ac:dyDescent="0.2">
      <c r="C1368" t="s">
        <v>2319</v>
      </c>
      <c r="D1368" t="b">
        <f ca="1">IF(CELL("format",F1368)="G",IF(ABS(F1368-G1368) &lt;= ABS(F1368*B$3),TRUE,FALSE),IF(F1368=G1368,TRUE,FALSE))</f>
        <v>1</v>
      </c>
      <c r="E1368" s="5" t="e">
        <f>ABS(F1368-G1368)/ABS(F1368)</f>
        <v>#DIV/0!</v>
      </c>
      <c r="F1368">
        <v>0</v>
      </c>
      <c r="G1368">
        <v>0</v>
      </c>
      <c r="H1368">
        <v>0</v>
      </c>
      <c r="J1368" s="5" t="e">
        <f>ABS(F1368-G1368)/ABS(F1368)</f>
        <v>#DIV/0!</v>
      </c>
      <c r="K1368" s="5" t="e">
        <f>ABS(G1368-H1368)/ABS(G1368)</f>
        <v>#DIV/0!</v>
      </c>
    </row>
    <row r="1369" spans="3:11" x14ac:dyDescent="0.2">
      <c r="C1369" t="s">
        <v>2320</v>
      </c>
      <c r="D1369" t="b">
        <f ca="1">IF(CELL("format",F1369)="G",IF(ABS(F1369-G1369) &lt;= ABS(F1369*B$3),TRUE,FALSE),IF(F1369=G1369,TRUE,FALSE))</f>
        <v>1</v>
      </c>
      <c r="E1369" s="5" t="e">
        <f>ABS(F1369-G1369)/ABS(F1369)</f>
        <v>#DIV/0!</v>
      </c>
      <c r="F1369">
        <v>0</v>
      </c>
      <c r="G1369">
        <v>0</v>
      </c>
      <c r="H1369">
        <v>0</v>
      </c>
      <c r="J1369" s="5" t="e">
        <f>ABS(F1369-G1369)/ABS(F1369)</f>
        <v>#DIV/0!</v>
      </c>
      <c r="K1369" s="5" t="e">
        <f>ABS(G1369-H1369)/ABS(G1369)</f>
        <v>#DIV/0!</v>
      </c>
    </row>
    <row r="1370" spans="3:11" x14ac:dyDescent="0.2">
      <c r="C1370" t="s">
        <v>2321</v>
      </c>
      <c r="D1370" t="b">
        <f ca="1">IF(CELL("format",F1370)="G",IF(ABS(F1370-G1370) &lt;= ABS(F1370*B$3),TRUE,FALSE),IF(F1370=G1370,TRUE,FALSE))</f>
        <v>1</v>
      </c>
      <c r="E1370" s="5">
        <f>ABS(F1370-G1370)/ABS(F1370)</f>
        <v>0</v>
      </c>
      <c r="F1370">
        <v>0.11</v>
      </c>
      <c r="G1370">
        <v>0.11</v>
      </c>
      <c r="H1370">
        <v>0.11</v>
      </c>
      <c r="J1370" s="5">
        <f>ABS(F1370-G1370)/ABS(F1370)</f>
        <v>0</v>
      </c>
      <c r="K1370" s="5">
        <f>ABS(G1370-H1370)/ABS(G1370)</f>
        <v>0</v>
      </c>
    </row>
    <row r="1371" spans="3:11" x14ac:dyDescent="0.2">
      <c r="C1371" t="s">
        <v>2322</v>
      </c>
      <c r="D1371" t="b">
        <f ca="1">IF(CELL("format",F1371)="G",IF(ABS(F1371-G1371) &lt;= ABS(F1371*B$3),TRUE,FALSE),IF(F1371=G1371,TRUE,FALSE))</f>
        <v>1</v>
      </c>
      <c r="E1371" s="5">
        <f>ABS(F1371-G1371)/ABS(F1371)</f>
        <v>0</v>
      </c>
      <c r="F1371">
        <v>0.38</v>
      </c>
      <c r="G1371">
        <v>0.38</v>
      </c>
      <c r="H1371">
        <v>0.38</v>
      </c>
      <c r="J1371" s="5">
        <f>ABS(F1371-G1371)/ABS(F1371)</f>
        <v>0</v>
      </c>
      <c r="K1371" s="5">
        <f>ABS(G1371-H1371)/ABS(G1371)</f>
        <v>0</v>
      </c>
    </row>
    <row r="1372" spans="3:11" x14ac:dyDescent="0.2">
      <c r="C1372" t="s">
        <v>2323</v>
      </c>
      <c r="D1372" t="b">
        <f ca="1">IF(CELL("format",F1372)="G",IF(ABS(F1372-G1372) &lt;= ABS(F1372*B$3),TRUE,FALSE),IF(F1372=G1372,TRUE,FALSE))</f>
        <v>1</v>
      </c>
      <c r="E1372" s="5">
        <f>ABS(F1372-G1372)/ABS(F1372)</f>
        <v>0</v>
      </c>
      <c r="F1372">
        <v>0.6</v>
      </c>
      <c r="G1372">
        <v>0.6</v>
      </c>
      <c r="H1372">
        <v>0.6</v>
      </c>
      <c r="J1372" s="5">
        <f>ABS(F1372-G1372)/ABS(F1372)</f>
        <v>0</v>
      </c>
      <c r="K1372" s="5">
        <f>ABS(G1372-H1372)/ABS(G1372)</f>
        <v>0</v>
      </c>
    </row>
    <row r="1373" spans="3:11" x14ac:dyDescent="0.2">
      <c r="C1373" t="s">
        <v>2324</v>
      </c>
      <c r="D1373" t="b">
        <f ca="1">IF(CELL("format",F1373)="G",IF(ABS(F1373-G1373) &lt;= ABS(F1373*B$3),TRUE,FALSE),IF(F1373=G1373,TRUE,FALSE))</f>
        <v>1</v>
      </c>
      <c r="E1373" s="5" t="e">
        <f>ABS(F1373-G1373)/ABS(F1373)</f>
        <v>#DIV/0!</v>
      </c>
      <c r="F1373">
        <v>0</v>
      </c>
      <c r="G1373">
        <v>0</v>
      </c>
      <c r="H1373">
        <v>0</v>
      </c>
      <c r="J1373" s="5" t="e">
        <f>ABS(F1373-G1373)/ABS(F1373)</f>
        <v>#DIV/0!</v>
      </c>
      <c r="K1373" s="5" t="e">
        <f>ABS(G1373-H1373)/ABS(G1373)</f>
        <v>#DIV/0!</v>
      </c>
    </row>
    <row r="1374" spans="3:11" x14ac:dyDescent="0.2">
      <c r="C1374" t="s">
        <v>2301</v>
      </c>
      <c r="D1374" t="b">
        <f ca="1">IF(CELL("format",F1374)="G",IF(ABS(F1374-G1374) &lt;= ABS(F1374*B$3),TRUE,FALSE),IF(F1374=G1374,TRUE,FALSE))</f>
        <v>1</v>
      </c>
      <c r="E1374" s="5" t="e">
        <f>ABS(F1374-G1374)/ABS(F1374)</f>
        <v>#DIV/0!</v>
      </c>
      <c r="F1374">
        <v>0</v>
      </c>
      <c r="G1374">
        <v>0</v>
      </c>
      <c r="H1374">
        <v>0</v>
      </c>
      <c r="J1374" s="5" t="e">
        <f>ABS(F1374-G1374)/ABS(F1374)</f>
        <v>#DIV/0!</v>
      </c>
      <c r="K1374" s="5" t="e">
        <f>ABS(G1374-H1374)/ABS(G1374)</f>
        <v>#DIV/0!</v>
      </c>
    </row>
    <row r="1375" spans="3:11" x14ac:dyDescent="0.2">
      <c r="C1375" t="s">
        <v>2302</v>
      </c>
      <c r="D1375" t="b">
        <f ca="1">IF(CELL("format",F1375)="G",IF(ABS(F1375-G1375) &lt;= ABS(F1375*B$3),TRUE,FALSE),IF(F1375=G1375,TRUE,FALSE))</f>
        <v>1</v>
      </c>
      <c r="E1375" s="5" t="e">
        <f>ABS(F1375-G1375)/ABS(F1375)</f>
        <v>#DIV/0!</v>
      </c>
      <c r="F1375">
        <v>0</v>
      </c>
      <c r="G1375">
        <v>0</v>
      </c>
      <c r="H1375">
        <v>0</v>
      </c>
      <c r="J1375" s="5" t="e">
        <f>ABS(F1375-G1375)/ABS(F1375)</f>
        <v>#DIV/0!</v>
      </c>
      <c r="K1375" s="5" t="e">
        <f>ABS(G1375-H1375)/ABS(G1375)</f>
        <v>#DIV/0!</v>
      </c>
    </row>
    <row r="1376" spans="3:11" x14ac:dyDescent="0.2">
      <c r="C1376" t="s">
        <v>2303</v>
      </c>
      <c r="D1376" t="b">
        <f ca="1">IF(CELL("format",F1376)="G",IF(ABS(F1376-G1376) &lt;= ABS(F1376*B$3),TRUE,FALSE),IF(F1376=G1376,TRUE,FALSE))</f>
        <v>1</v>
      </c>
      <c r="E1376" s="5" t="e">
        <f>ABS(F1376-G1376)/ABS(F1376)</f>
        <v>#DIV/0!</v>
      </c>
      <c r="F1376">
        <v>0</v>
      </c>
      <c r="G1376">
        <v>0</v>
      </c>
      <c r="H1376">
        <v>0</v>
      </c>
      <c r="J1376" s="5" t="e">
        <f>ABS(F1376-G1376)/ABS(F1376)</f>
        <v>#DIV/0!</v>
      </c>
      <c r="K1376" s="5" t="e">
        <f>ABS(G1376-H1376)/ABS(G1376)</f>
        <v>#DIV/0!</v>
      </c>
    </row>
    <row r="1377" spans="3:11" x14ac:dyDescent="0.2">
      <c r="C1377" t="s">
        <v>2304</v>
      </c>
      <c r="D1377" t="b">
        <f ca="1">IF(CELL("format",F1377)="G",IF(ABS(F1377-G1377) &lt;= ABS(F1377*B$3),TRUE,FALSE),IF(F1377=G1377,TRUE,FALSE))</f>
        <v>1</v>
      </c>
      <c r="E1377" s="5" t="e">
        <f>ABS(F1377-G1377)/ABS(F1377)</f>
        <v>#DIV/0!</v>
      </c>
      <c r="F1377">
        <v>0</v>
      </c>
      <c r="G1377">
        <v>0</v>
      </c>
      <c r="H1377">
        <v>0</v>
      </c>
      <c r="J1377" s="5" t="e">
        <f>ABS(F1377-G1377)/ABS(F1377)</f>
        <v>#DIV/0!</v>
      </c>
      <c r="K1377" s="5" t="e">
        <f>ABS(G1377-H1377)/ABS(G1377)</f>
        <v>#DIV/0!</v>
      </c>
    </row>
    <row r="1378" spans="3:11" x14ac:dyDescent="0.2">
      <c r="C1378" t="s">
        <v>2305</v>
      </c>
      <c r="D1378" t="b">
        <f ca="1">IF(CELL("format",F1378)="G",IF(ABS(F1378-G1378) &lt;= ABS(F1378*B$3),TRUE,FALSE),IF(F1378=G1378,TRUE,FALSE))</f>
        <v>1</v>
      </c>
      <c r="E1378" s="5">
        <f>ABS(F1378-G1378)/ABS(F1378)</f>
        <v>0</v>
      </c>
      <c r="F1378">
        <v>0.1</v>
      </c>
      <c r="G1378">
        <v>0.1</v>
      </c>
      <c r="H1378">
        <v>0.1</v>
      </c>
      <c r="J1378" s="5">
        <f>ABS(F1378-G1378)/ABS(F1378)</f>
        <v>0</v>
      </c>
      <c r="K1378" s="5">
        <f>ABS(G1378-H1378)/ABS(G1378)</f>
        <v>0</v>
      </c>
    </row>
    <row r="1379" spans="3:11" x14ac:dyDescent="0.2">
      <c r="C1379" t="s">
        <v>2306</v>
      </c>
      <c r="D1379" t="b">
        <f ca="1">IF(CELL("format",F1379)="G",IF(ABS(F1379-G1379) &lt;= ABS(F1379*B$3),TRUE,FALSE),IF(F1379=G1379,TRUE,FALSE))</f>
        <v>1</v>
      </c>
      <c r="E1379" s="5">
        <f>ABS(F1379-G1379)/ABS(F1379)</f>
        <v>0</v>
      </c>
      <c r="F1379">
        <v>0.22</v>
      </c>
      <c r="G1379">
        <v>0.22</v>
      </c>
      <c r="H1379">
        <v>0.22</v>
      </c>
      <c r="J1379" s="5">
        <f>ABS(F1379-G1379)/ABS(F1379)</f>
        <v>0</v>
      </c>
      <c r="K1379" s="5">
        <f>ABS(G1379-H1379)/ABS(G1379)</f>
        <v>0</v>
      </c>
    </row>
    <row r="1380" spans="3:11" x14ac:dyDescent="0.2">
      <c r="C1380" t="s">
        <v>2307</v>
      </c>
      <c r="D1380" t="b">
        <f ca="1">IF(CELL("format",F1380)="G",IF(ABS(F1380-G1380) &lt;= ABS(F1380*B$3),TRUE,FALSE),IF(F1380=G1380,TRUE,FALSE))</f>
        <v>1</v>
      </c>
      <c r="E1380" s="5">
        <f>ABS(F1380-G1380)/ABS(F1380)</f>
        <v>0</v>
      </c>
      <c r="F1380">
        <v>0.31</v>
      </c>
      <c r="G1380">
        <v>0.31</v>
      </c>
      <c r="H1380">
        <v>0.31</v>
      </c>
      <c r="J1380" s="5">
        <f>ABS(F1380-G1380)/ABS(F1380)</f>
        <v>0</v>
      </c>
      <c r="K1380" s="5">
        <f>ABS(G1380-H1380)/ABS(G1380)</f>
        <v>0</v>
      </c>
    </row>
    <row r="1381" spans="3:11" x14ac:dyDescent="0.2">
      <c r="C1381" t="s">
        <v>2308</v>
      </c>
      <c r="D1381" t="b">
        <f ca="1">IF(CELL("format",F1381)="G",IF(ABS(F1381-G1381) &lt;= ABS(F1381*B$3),TRUE,FALSE),IF(F1381=G1381,TRUE,FALSE))</f>
        <v>1</v>
      </c>
      <c r="E1381" s="5">
        <f>ABS(F1381-G1381)/ABS(F1381)</f>
        <v>0</v>
      </c>
      <c r="F1381">
        <v>0.18</v>
      </c>
      <c r="G1381">
        <v>0.18</v>
      </c>
      <c r="H1381">
        <v>0.18</v>
      </c>
      <c r="J1381" s="5">
        <f>ABS(F1381-G1381)/ABS(F1381)</f>
        <v>0</v>
      </c>
      <c r="K1381" s="5">
        <f>ABS(G1381-H1381)/ABS(G1381)</f>
        <v>0</v>
      </c>
    </row>
    <row r="1382" spans="3:11" x14ac:dyDescent="0.2">
      <c r="C1382" t="s">
        <v>2309</v>
      </c>
      <c r="D1382" t="b">
        <f ca="1">IF(CELL("format",F1382)="G",IF(ABS(F1382-G1382) &lt;= ABS(F1382*B$3),TRUE,FALSE),IF(F1382=G1382,TRUE,FALSE))</f>
        <v>1</v>
      </c>
      <c r="E1382" s="5" t="e">
        <f>ABS(F1382-G1382)/ABS(F1382)</f>
        <v>#DIV/0!</v>
      </c>
      <c r="F1382">
        <v>0</v>
      </c>
      <c r="G1382">
        <v>0</v>
      </c>
      <c r="H1382">
        <v>0</v>
      </c>
      <c r="J1382" s="5" t="e">
        <f>ABS(F1382-G1382)/ABS(F1382)</f>
        <v>#DIV/0!</v>
      </c>
      <c r="K1382" s="5" t="e">
        <f>ABS(G1382-H1382)/ABS(G1382)</f>
        <v>#DIV/0!</v>
      </c>
    </row>
    <row r="1383" spans="3:11" x14ac:dyDescent="0.2">
      <c r="C1383" t="s">
        <v>2310</v>
      </c>
      <c r="D1383" t="b">
        <f ca="1">IF(CELL("format",F1383)="G",IF(ABS(F1383-G1383) &lt;= ABS(F1383*B$3),TRUE,FALSE),IF(F1383=G1383,TRUE,FALSE))</f>
        <v>1</v>
      </c>
      <c r="E1383" s="5" t="e">
        <f>ABS(F1383-G1383)/ABS(F1383)</f>
        <v>#DIV/0!</v>
      </c>
      <c r="F1383">
        <v>0</v>
      </c>
      <c r="G1383">
        <v>0</v>
      </c>
      <c r="H1383">
        <v>0</v>
      </c>
      <c r="J1383" s="5" t="e">
        <f>ABS(F1383-G1383)/ABS(F1383)</f>
        <v>#DIV/0!</v>
      </c>
      <c r="K1383" s="5" t="e">
        <f>ABS(G1383-H1383)/ABS(G1383)</f>
        <v>#DIV/0!</v>
      </c>
    </row>
    <row r="1384" spans="3:11" x14ac:dyDescent="0.2">
      <c r="C1384" t="s">
        <v>2311</v>
      </c>
      <c r="D1384" t="b">
        <f ca="1">IF(CELL("format",F1384)="G",IF(ABS(F1384-G1384) &lt;= ABS(F1384*B$3),TRUE,FALSE),IF(F1384=G1384,TRUE,FALSE))</f>
        <v>1</v>
      </c>
      <c r="E1384" s="5" t="e">
        <f>ABS(F1384-G1384)/ABS(F1384)</f>
        <v>#DIV/0!</v>
      </c>
      <c r="F1384">
        <v>0</v>
      </c>
      <c r="G1384">
        <v>0</v>
      </c>
      <c r="H1384">
        <v>0</v>
      </c>
      <c r="J1384" s="5" t="e">
        <f>ABS(F1384-G1384)/ABS(F1384)</f>
        <v>#DIV/0!</v>
      </c>
      <c r="K1384" s="5" t="e">
        <f>ABS(G1384-H1384)/ABS(G1384)</f>
        <v>#DIV/0!</v>
      </c>
    </row>
    <row r="1385" spans="3:11" x14ac:dyDescent="0.2">
      <c r="C1385" t="s">
        <v>2312</v>
      </c>
      <c r="D1385" t="b">
        <f ca="1">IF(CELL("format",F1385)="G",IF(ABS(F1385-G1385) &lt;= ABS(F1385*B$3),TRUE,FALSE),IF(F1385=G1385,TRUE,FALSE))</f>
        <v>1</v>
      </c>
      <c r="E1385" s="5">
        <f>ABS(F1385-G1385)/ABS(F1385)</f>
        <v>0</v>
      </c>
      <c r="F1385">
        <v>-0.13</v>
      </c>
      <c r="G1385">
        <v>-0.13</v>
      </c>
      <c r="H1385">
        <v>-0.13</v>
      </c>
      <c r="J1385" s="5">
        <f>ABS(F1385-G1385)/ABS(F1385)</f>
        <v>0</v>
      </c>
      <c r="K1385" s="5">
        <f>ABS(G1385-H1385)/ABS(G1385)</f>
        <v>0</v>
      </c>
    </row>
    <row r="1386" spans="3:11" x14ac:dyDescent="0.2">
      <c r="C1386" t="s">
        <v>2313</v>
      </c>
      <c r="D1386" t="b">
        <f ca="1">IF(CELL("format",F1386)="G",IF(ABS(F1386-G1386) &lt;= ABS(F1386*B$3),TRUE,FALSE),IF(F1386=G1386,TRUE,FALSE))</f>
        <v>1</v>
      </c>
      <c r="E1386" s="5">
        <f>ABS(F1386-G1386)/ABS(F1386)</f>
        <v>0</v>
      </c>
      <c r="F1386">
        <v>-0.77</v>
      </c>
      <c r="G1386">
        <v>-0.77</v>
      </c>
      <c r="H1386">
        <v>-0.77</v>
      </c>
      <c r="J1386" s="5">
        <f>ABS(F1386-G1386)/ABS(F1386)</f>
        <v>0</v>
      </c>
      <c r="K1386" s="5">
        <f>ABS(G1386-H1386)/ABS(G1386)</f>
        <v>0</v>
      </c>
    </row>
    <row r="1387" spans="3:11" x14ac:dyDescent="0.2">
      <c r="C1387" t="s">
        <v>2314</v>
      </c>
      <c r="D1387" t="b">
        <f ca="1">IF(CELL("format",F1387)="G",IF(ABS(F1387-G1387) &lt;= ABS(F1387*B$3),TRUE,FALSE),IF(F1387=G1387,TRUE,FALSE))</f>
        <v>1</v>
      </c>
      <c r="E1387" s="5">
        <f>ABS(F1387-G1387)/ABS(F1387)</f>
        <v>0</v>
      </c>
      <c r="F1387">
        <v>-1.2</v>
      </c>
      <c r="G1387">
        <v>-1.2</v>
      </c>
      <c r="H1387">
        <v>-1.2</v>
      </c>
      <c r="J1387" s="5">
        <f>ABS(F1387-G1387)/ABS(F1387)</f>
        <v>0</v>
      </c>
      <c r="K1387" s="5">
        <f>ABS(G1387-H1387)/ABS(G1387)</f>
        <v>0</v>
      </c>
    </row>
    <row r="1388" spans="3:11" x14ac:dyDescent="0.2">
      <c r="C1388" t="s">
        <v>2315</v>
      </c>
      <c r="D1388" t="b">
        <f ca="1">IF(CELL("format",F1388)="G",IF(ABS(F1388-G1388) &lt;= ABS(F1388*B$3),TRUE,FALSE),IF(F1388=G1388,TRUE,FALSE))</f>
        <v>1</v>
      </c>
      <c r="E1388" s="5">
        <f>ABS(F1388-G1388)/ABS(F1388)</f>
        <v>0</v>
      </c>
      <c r="F1388">
        <v>-1.37</v>
      </c>
      <c r="G1388">
        <v>-1.37</v>
      </c>
      <c r="H1388">
        <v>-1.37</v>
      </c>
      <c r="J1388" s="5">
        <f>ABS(F1388-G1388)/ABS(F1388)</f>
        <v>0</v>
      </c>
      <c r="K1388" s="5">
        <f>ABS(G1388-H1388)/ABS(G1388)</f>
        <v>0</v>
      </c>
    </row>
    <row r="1389" spans="3:11" x14ac:dyDescent="0.2">
      <c r="C1389" t="s">
        <v>2316</v>
      </c>
      <c r="D1389" t="b">
        <f ca="1">IF(CELL("format",F1389)="G",IF(ABS(F1389-G1389) &lt;= ABS(F1389*B$3),TRUE,FALSE),IF(F1389=G1389,TRUE,FALSE))</f>
        <v>1</v>
      </c>
      <c r="E1389" s="5">
        <f>ABS(F1389-G1389)/ABS(F1389)</f>
        <v>0</v>
      </c>
      <c r="F1389">
        <v>-1.3</v>
      </c>
      <c r="G1389">
        <v>-1.3</v>
      </c>
      <c r="H1389">
        <v>-1.3</v>
      </c>
      <c r="J1389" s="5">
        <f>ABS(F1389-G1389)/ABS(F1389)</f>
        <v>0</v>
      </c>
      <c r="K1389" s="5">
        <f>ABS(G1389-H1389)/ABS(G1389)</f>
        <v>0</v>
      </c>
    </row>
    <row r="1390" spans="3:11" x14ac:dyDescent="0.2">
      <c r="C1390" t="s">
        <v>2317</v>
      </c>
      <c r="D1390" t="b">
        <f ca="1">IF(CELL("format",F1390)="G",IF(ABS(F1390-G1390) &lt;= ABS(F1390*B$3),TRUE,FALSE),IF(F1390=G1390,TRUE,FALSE))</f>
        <v>1</v>
      </c>
      <c r="E1390" s="5">
        <f>ABS(F1390-G1390)/ABS(F1390)</f>
        <v>0</v>
      </c>
      <c r="F1390">
        <v>-0.9</v>
      </c>
      <c r="G1390">
        <v>-0.9</v>
      </c>
      <c r="H1390">
        <v>-0.9</v>
      </c>
      <c r="J1390" s="5">
        <f>ABS(F1390-G1390)/ABS(F1390)</f>
        <v>0</v>
      </c>
      <c r="K1390" s="5">
        <f>ABS(G1390-H1390)/ABS(G1390)</f>
        <v>0</v>
      </c>
    </row>
    <row r="1391" spans="3:11" x14ac:dyDescent="0.2">
      <c r="C1391" t="s">
        <v>2318</v>
      </c>
      <c r="D1391" t="b">
        <f ca="1">IF(CELL("format",F1391)="G",IF(ABS(F1391-G1391) &lt;= ABS(F1391*B$3),TRUE,FALSE),IF(F1391=G1391,TRUE,FALSE))</f>
        <v>1</v>
      </c>
      <c r="E1391" s="5">
        <f>ABS(F1391-G1391)/ABS(F1391)</f>
        <v>0</v>
      </c>
      <c r="F1391">
        <v>-0.23</v>
      </c>
      <c r="G1391">
        <v>-0.23</v>
      </c>
      <c r="H1391">
        <v>-0.23</v>
      </c>
      <c r="J1391" s="5">
        <f>ABS(F1391-G1391)/ABS(F1391)</f>
        <v>0</v>
      </c>
      <c r="K1391" s="5">
        <f>ABS(G1391-H1391)/ABS(G1391)</f>
        <v>0</v>
      </c>
    </row>
    <row r="1392" spans="3:11" x14ac:dyDescent="0.2">
      <c r="C1392" t="s">
        <v>2319</v>
      </c>
      <c r="D1392" t="b">
        <f ca="1">IF(CELL("format",F1392)="G",IF(ABS(F1392-G1392) &lt;= ABS(F1392*B$3),TRUE,FALSE),IF(F1392=G1392,TRUE,FALSE))</f>
        <v>1</v>
      </c>
      <c r="E1392" s="5" t="e">
        <f>ABS(F1392-G1392)/ABS(F1392)</f>
        <v>#DIV/0!</v>
      </c>
      <c r="F1392">
        <v>0</v>
      </c>
      <c r="G1392">
        <v>0</v>
      </c>
      <c r="H1392">
        <v>0</v>
      </c>
      <c r="J1392" s="5" t="e">
        <f>ABS(F1392-G1392)/ABS(F1392)</f>
        <v>#DIV/0!</v>
      </c>
      <c r="K1392" s="5" t="e">
        <f>ABS(G1392-H1392)/ABS(G1392)</f>
        <v>#DIV/0!</v>
      </c>
    </row>
    <row r="1393" spans="3:11" x14ac:dyDescent="0.2">
      <c r="C1393" t="s">
        <v>2320</v>
      </c>
      <c r="D1393" t="b">
        <f ca="1">IF(CELL("format",F1393)="G",IF(ABS(F1393-G1393) &lt;= ABS(F1393*B$3),TRUE,FALSE),IF(F1393=G1393,TRUE,FALSE))</f>
        <v>1</v>
      </c>
      <c r="E1393" s="5" t="e">
        <f>ABS(F1393-G1393)/ABS(F1393)</f>
        <v>#DIV/0!</v>
      </c>
      <c r="F1393">
        <v>0</v>
      </c>
      <c r="G1393">
        <v>0</v>
      </c>
      <c r="H1393">
        <v>0</v>
      </c>
      <c r="J1393" s="5" t="e">
        <f>ABS(F1393-G1393)/ABS(F1393)</f>
        <v>#DIV/0!</v>
      </c>
      <c r="K1393" s="5" t="e">
        <f>ABS(G1393-H1393)/ABS(G1393)</f>
        <v>#DIV/0!</v>
      </c>
    </row>
    <row r="1394" spans="3:11" x14ac:dyDescent="0.2">
      <c r="C1394" t="s">
        <v>2321</v>
      </c>
      <c r="D1394" t="b">
        <f ca="1">IF(CELL("format",F1394)="G",IF(ABS(F1394-G1394) &lt;= ABS(F1394*B$3),TRUE,FALSE),IF(F1394=G1394,TRUE,FALSE))</f>
        <v>1</v>
      </c>
      <c r="E1394" s="5" t="e">
        <f>ABS(F1394-G1394)/ABS(F1394)</f>
        <v>#DIV/0!</v>
      </c>
      <c r="F1394">
        <v>0</v>
      </c>
      <c r="G1394">
        <v>0</v>
      </c>
      <c r="H1394">
        <v>0</v>
      </c>
      <c r="J1394" s="5" t="e">
        <f>ABS(F1394-G1394)/ABS(F1394)</f>
        <v>#DIV/0!</v>
      </c>
      <c r="K1394" s="5" t="e">
        <f>ABS(G1394-H1394)/ABS(G1394)</f>
        <v>#DIV/0!</v>
      </c>
    </row>
    <row r="1395" spans="3:11" x14ac:dyDescent="0.2">
      <c r="C1395" t="s">
        <v>2322</v>
      </c>
      <c r="D1395" t="b">
        <f ca="1">IF(CELL("format",F1395)="G",IF(ABS(F1395-G1395) &lt;= ABS(F1395*B$3),TRUE,FALSE),IF(F1395=G1395,TRUE,FALSE))</f>
        <v>1</v>
      </c>
      <c r="E1395" s="5" t="e">
        <f>ABS(F1395-G1395)/ABS(F1395)</f>
        <v>#DIV/0!</v>
      </c>
      <c r="F1395">
        <v>0</v>
      </c>
      <c r="G1395">
        <v>0</v>
      </c>
      <c r="H1395">
        <v>0</v>
      </c>
      <c r="J1395" s="5" t="e">
        <f>ABS(F1395-G1395)/ABS(F1395)</f>
        <v>#DIV/0!</v>
      </c>
      <c r="K1395" s="5" t="e">
        <f>ABS(G1395-H1395)/ABS(G1395)</f>
        <v>#DIV/0!</v>
      </c>
    </row>
    <row r="1396" spans="3:11" x14ac:dyDescent="0.2">
      <c r="C1396" t="s">
        <v>2323</v>
      </c>
      <c r="D1396" t="b">
        <f ca="1">IF(CELL("format",F1396)="G",IF(ABS(F1396-G1396) &lt;= ABS(F1396*B$3),TRUE,FALSE),IF(F1396=G1396,TRUE,FALSE))</f>
        <v>1</v>
      </c>
      <c r="E1396" s="5" t="e">
        <f>ABS(F1396-G1396)/ABS(F1396)</f>
        <v>#DIV/0!</v>
      </c>
      <c r="F1396">
        <v>0</v>
      </c>
      <c r="G1396">
        <v>0</v>
      </c>
      <c r="H1396">
        <v>0</v>
      </c>
      <c r="J1396" s="5" t="e">
        <f>ABS(F1396-G1396)/ABS(F1396)</f>
        <v>#DIV/0!</v>
      </c>
      <c r="K1396" s="5" t="e">
        <f>ABS(G1396-H1396)/ABS(G1396)</f>
        <v>#DIV/0!</v>
      </c>
    </row>
    <row r="1397" spans="3:11" x14ac:dyDescent="0.2">
      <c r="C1397" t="s">
        <v>2324</v>
      </c>
      <c r="D1397" t="b">
        <f ca="1">IF(CELL("format",F1397)="G",IF(ABS(F1397-G1397) &lt;= ABS(F1397*B$3),TRUE,FALSE),IF(F1397=G1397,TRUE,FALSE))</f>
        <v>1</v>
      </c>
      <c r="E1397" s="5" t="e">
        <f>ABS(F1397-G1397)/ABS(F1397)</f>
        <v>#DIV/0!</v>
      </c>
      <c r="F1397">
        <v>0</v>
      </c>
      <c r="G1397">
        <v>0</v>
      </c>
      <c r="H1397">
        <v>0</v>
      </c>
      <c r="J1397" s="5" t="e">
        <f>ABS(F1397-G1397)/ABS(F1397)</f>
        <v>#DIV/0!</v>
      </c>
      <c r="K1397" s="5" t="e">
        <f>ABS(G1397-H1397)/ABS(G1397)</f>
        <v>#DIV/0!</v>
      </c>
    </row>
    <row r="1398" spans="3:11" x14ac:dyDescent="0.2">
      <c r="C1398" t="s">
        <v>2301</v>
      </c>
      <c r="D1398" t="b">
        <f ca="1">IF(CELL("format",F1398)="G",IF(ABS(F1398-G1398) &lt;= ABS(F1398*B$3),TRUE,FALSE),IF(F1398=G1398,TRUE,FALSE))</f>
        <v>1</v>
      </c>
      <c r="E1398" s="5">
        <f>ABS(F1398-G1398)/ABS(F1398)</f>
        <v>0</v>
      </c>
      <c r="F1398">
        <v>1.1299999999999999</v>
      </c>
      <c r="G1398">
        <v>1.1299999999999999</v>
      </c>
      <c r="H1398">
        <v>1.1299999999999999</v>
      </c>
      <c r="J1398" s="5">
        <f>ABS(F1398-G1398)/ABS(F1398)</f>
        <v>0</v>
      </c>
      <c r="K1398" s="5">
        <f>ABS(G1398-H1398)/ABS(G1398)</f>
        <v>0</v>
      </c>
    </row>
    <row r="1399" spans="3:11" x14ac:dyDescent="0.2">
      <c r="C1399" t="s">
        <v>2302</v>
      </c>
      <c r="D1399" t="b">
        <f ca="1">IF(CELL("format",F1399)="G",IF(ABS(F1399-G1399) &lt;= ABS(F1399*B$3),TRUE,FALSE),IF(F1399=G1399,TRUE,FALSE))</f>
        <v>1</v>
      </c>
      <c r="E1399" s="5">
        <f>ABS(F1399-G1399)/ABS(F1399)</f>
        <v>0</v>
      </c>
      <c r="F1399">
        <v>1.23</v>
      </c>
      <c r="G1399">
        <v>1.23</v>
      </c>
      <c r="H1399">
        <v>1.23</v>
      </c>
      <c r="J1399" s="5">
        <f>ABS(F1399-G1399)/ABS(F1399)</f>
        <v>0</v>
      </c>
      <c r="K1399" s="5">
        <f>ABS(G1399-H1399)/ABS(G1399)</f>
        <v>0</v>
      </c>
    </row>
    <row r="1400" spans="3:11" x14ac:dyDescent="0.2">
      <c r="C1400" t="s">
        <v>2303</v>
      </c>
      <c r="D1400" t="b">
        <f ca="1">IF(CELL("format",F1400)="G",IF(ABS(F1400-G1400) &lt;= ABS(F1400*B$3),TRUE,FALSE),IF(F1400=G1400,TRUE,FALSE))</f>
        <v>1</v>
      </c>
      <c r="E1400" s="5">
        <f>ABS(F1400-G1400)/ABS(F1400)</f>
        <v>0</v>
      </c>
      <c r="F1400">
        <v>1.33</v>
      </c>
      <c r="G1400">
        <v>1.33</v>
      </c>
      <c r="H1400">
        <v>1.33</v>
      </c>
      <c r="J1400" s="5">
        <f>ABS(F1400-G1400)/ABS(F1400)</f>
        <v>0</v>
      </c>
      <c r="K1400" s="5">
        <f>ABS(G1400-H1400)/ABS(G1400)</f>
        <v>0</v>
      </c>
    </row>
    <row r="1401" spans="3:11" x14ac:dyDescent="0.2">
      <c r="C1401" t="s">
        <v>2304</v>
      </c>
      <c r="D1401" t="b">
        <f ca="1">IF(CELL("format",F1401)="G",IF(ABS(F1401-G1401) &lt;= ABS(F1401*B$3),TRUE,FALSE),IF(F1401=G1401,TRUE,FALSE))</f>
        <v>1</v>
      </c>
      <c r="E1401" s="5">
        <f>ABS(F1401-G1401)/ABS(F1401)</f>
        <v>0</v>
      </c>
      <c r="F1401">
        <v>1.43</v>
      </c>
      <c r="G1401">
        <v>1.43</v>
      </c>
      <c r="H1401">
        <v>1.43</v>
      </c>
      <c r="J1401" s="5">
        <f>ABS(F1401-G1401)/ABS(F1401)</f>
        <v>0</v>
      </c>
      <c r="K1401" s="5">
        <f>ABS(G1401-H1401)/ABS(G1401)</f>
        <v>0</v>
      </c>
    </row>
    <row r="1402" spans="3:11" x14ac:dyDescent="0.2">
      <c r="C1402" t="s">
        <v>2305</v>
      </c>
      <c r="D1402" t="b">
        <f ca="1">IF(CELL("format",F1402)="G",IF(ABS(F1402-G1402) &lt;= ABS(F1402*B$3),TRUE,FALSE),IF(F1402=G1402,TRUE,FALSE))</f>
        <v>1</v>
      </c>
      <c r="E1402" s="5">
        <f>ABS(F1402-G1402)/ABS(F1402)</f>
        <v>0</v>
      </c>
      <c r="F1402">
        <v>1.5</v>
      </c>
      <c r="G1402">
        <v>1.5</v>
      </c>
      <c r="H1402">
        <v>1.5</v>
      </c>
      <c r="J1402" s="5">
        <f>ABS(F1402-G1402)/ABS(F1402)</f>
        <v>0</v>
      </c>
      <c r="K1402" s="5">
        <f>ABS(G1402-H1402)/ABS(G1402)</f>
        <v>0</v>
      </c>
    </row>
    <row r="1403" spans="3:11" x14ac:dyDescent="0.2">
      <c r="C1403" t="s">
        <v>2306</v>
      </c>
      <c r="D1403" t="b">
        <f ca="1">IF(CELL("format",F1403)="G",IF(ABS(F1403-G1403) &lt;= ABS(F1403*B$3),TRUE,FALSE),IF(F1403=G1403,TRUE,FALSE))</f>
        <v>1</v>
      </c>
      <c r="E1403" s="5">
        <f>ABS(F1403-G1403)/ABS(F1403)</f>
        <v>0</v>
      </c>
      <c r="F1403">
        <v>1.56</v>
      </c>
      <c r="G1403">
        <v>1.56</v>
      </c>
      <c r="H1403">
        <v>1.56</v>
      </c>
      <c r="J1403" s="5">
        <f>ABS(F1403-G1403)/ABS(F1403)</f>
        <v>0</v>
      </c>
      <c r="K1403" s="5">
        <f>ABS(G1403-H1403)/ABS(G1403)</f>
        <v>0</v>
      </c>
    </row>
    <row r="1404" spans="3:11" x14ac:dyDescent="0.2">
      <c r="C1404" t="s">
        <v>2307</v>
      </c>
      <c r="D1404" t="b">
        <f ca="1">IF(CELL("format",F1404)="G",IF(ABS(F1404-G1404) &lt;= ABS(F1404*B$3),TRUE,FALSE),IF(F1404=G1404,TRUE,FALSE))</f>
        <v>1</v>
      </c>
      <c r="E1404" s="5">
        <f>ABS(F1404-G1404)/ABS(F1404)</f>
        <v>0</v>
      </c>
      <c r="F1404">
        <v>1.62</v>
      </c>
      <c r="G1404">
        <v>1.62</v>
      </c>
      <c r="H1404">
        <v>1.62</v>
      </c>
      <c r="J1404" s="5">
        <f>ABS(F1404-G1404)/ABS(F1404)</f>
        <v>0</v>
      </c>
      <c r="K1404" s="5">
        <f>ABS(G1404-H1404)/ABS(G1404)</f>
        <v>0</v>
      </c>
    </row>
    <row r="1405" spans="3:11" x14ac:dyDescent="0.2">
      <c r="C1405" t="s">
        <v>2308</v>
      </c>
      <c r="D1405" t="b">
        <f ca="1">IF(CELL("format",F1405)="G",IF(ABS(F1405-G1405) &lt;= ABS(F1405*B$3),TRUE,FALSE),IF(F1405=G1405,TRUE,FALSE))</f>
        <v>1</v>
      </c>
      <c r="E1405" s="5">
        <f>ABS(F1405-G1405)/ABS(F1405)</f>
        <v>0</v>
      </c>
      <c r="F1405">
        <v>1.43</v>
      </c>
      <c r="G1405">
        <v>1.43</v>
      </c>
      <c r="H1405">
        <v>1.43</v>
      </c>
      <c r="J1405" s="5">
        <f>ABS(F1405-G1405)/ABS(F1405)</f>
        <v>0</v>
      </c>
      <c r="K1405" s="5">
        <f>ABS(G1405-H1405)/ABS(G1405)</f>
        <v>0</v>
      </c>
    </row>
    <row r="1406" spans="3:11" x14ac:dyDescent="0.2">
      <c r="C1406" t="s">
        <v>2309</v>
      </c>
      <c r="D1406" t="b">
        <f ca="1">IF(CELL("format",F1406)="G",IF(ABS(F1406-G1406) &lt;= ABS(F1406*B$3),TRUE,FALSE),IF(F1406=G1406,TRUE,FALSE))</f>
        <v>1</v>
      </c>
      <c r="E1406" s="5">
        <f>ABS(F1406-G1406)/ABS(F1406)</f>
        <v>0</v>
      </c>
      <c r="F1406">
        <v>0.86</v>
      </c>
      <c r="G1406">
        <v>0.86</v>
      </c>
      <c r="H1406">
        <v>0.86</v>
      </c>
      <c r="J1406" s="5">
        <f>ABS(F1406-G1406)/ABS(F1406)</f>
        <v>0</v>
      </c>
      <c r="K1406" s="5">
        <f>ABS(G1406-H1406)/ABS(G1406)</f>
        <v>0</v>
      </c>
    </row>
    <row r="1407" spans="3:11" x14ac:dyDescent="0.2">
      <c r="C1407" t="s">
        <v>2310</v>
      </c>
      <c r="D1407" t="b">
        <f ca="1">IF(CELL("format",F1407)="G",IF(ABS(F1407-G1407) &lt;= ABS(F1407*B$3),TRUE,FALSE),IF(F1407=G1407,TRUE,FALSE))</f>
        <v>1</v>
      </c>
      <c r="E1407" s="5">
        <f>ABS(F1407-G1407)/ABS(F1407)</f>
        <v>0</v>
      </c>
      <c r="F1407">
        <v>0.35</v>
      </c>
      <c r="G1407">
        <v>0.35</v>
      </c>
      <c r="H1407">
        <v>0.35</v>
      </c>
      <c r="J1407" s="5">
        <f>ABS(F1407-G1407)/ABS(F1407)</f>
        <v>0</v>
      </c>
      <c r="K1407" s="5">
        <f>ABS(G1407-H1407)/ABS(G1407)</f>
        <v>0</v>
      </c>
    </row>
    <row r="1408" spans="3:11" x14ac:dyDescent="0.2">
      <c r="C1408" t="s">
        <v>2311</v>
      </c>
      <c r="D1408" t="b">
        <f ca="1">IF(CELL("format",F1408)="G",IF(ABS(F1408-G1408) &lt;= ABS(F1408*B$3),TRUE,FALSE),IF(F1408=G1408,TRUE,FALSE))</f>
        <v>1</v>
      </c>
      <c r="E1408" s="5">
        <f>ABS(F1408-G1408)/ABS(F1408)</f>
        <v>0</v>
      </c>
      <c r="F1408">
        <v>-0.27</v>
      </c>
      <c r="G1408">
        <v>-0.27</v>
      </c>
      <c r="H1408">
        <v>-0.27</v>
      </c>
      <c r="J1408" s="5">
        <f>ABS(F1408-G1408)/ABS(F1408)</f>
        <v>0</v>
      </c>
      <c r="K1408" s="5">
        <f>ABS(G1408-H1408)/ABS(G1408)</f>
        <v>0</v>
      </c>
    </row>
    <row r="1409" spans="3:11" x14ac:dyDescent="0.2">
      <c r="C1409" t="s">
        <v>2312</v>
      </c>
      <c r="D1409" t="b">
        <f ca="1">IF(CELL("format",F1409)="G",IF(ABS(F1409-G1409) &lt;= ABS(F1409*B$3),TRUE,FALSE),IF(F1409=G1409,TRUE,FALSE))</f>
        <v>1</v>
      </c>
      <c r="E1409" s="5">
        <f>ABS(F1409-G1409)/ABS(F1409)</f>
        <v>0</v>
      </c>
      <c r="F1409">
        <v>-0.96</v>
      </c>
      <c r="G1409">
        <v>-0.96</v>
      </c>
      <c r="H1409">
        <v>-0.96</v>
      </c>
      <c r="J1409" s="5">
        <f>ABS(F1409-G1409)/ABS(F1409)</f>
        <v>0</v>
      </c>
      <c r="K1409" s="5">
        <f>ABS(G1409-H1409)/ABS(G1409)</f>
        <v>0</v>
      </c>
    </row>
    <row r="1410" spans="3:11" x14ac:dyDescent="0.2">
      <c r="C1410" t="s">
        <v>2313</v>
      </c>
      <c r="D1410" t="b">
        <f ca="1">IF(CELL("format",F1410)="G",IF(ABS(F1410-G1410) &lt;= ABS(F1410*B$3),TRUE,FALSE),IF(F1410=G1410,TRUE,FALSE))</f>
        <v>1</v>
      </c>
      <c r="E1410" s="5">
        <f>ABS(F1410-G1410)/ABS(F1410)</f>
        <v>0</v>
      </c>
      <c r="F1410">
        <v>-1.66</v>
      </c>
      <c r="G1410">
        <v>-1.66</v>
      </c>
      <c r="H1410">
        <v>-1.66</v>
      </c>
      <c r="J1410" s="5">
        <f>ABS(F1410-G1410)/ABS(F1410)</f>
        <v>0</v>
      </c>
      <c r="K1410" s="5">
        <f>ABS(G1410-H1410)/ABS(G1410)</f>
        <v>0</v>
      </c>
    </row>
    <row r="1411" spans="3:11" x14ac:dyDescent="0.2">
      <c r="C1411" t="s">
        <v>2314</v>
      </c>
      <c r="D1411" t="b">
        <f ca="1">IF(CELL("format",F1411)="G",IF(ABS(F1411-G1411) &lt;= ABS(F1411*B$3),TRUE,FALSE),IF(F1411=G1411,TRUE,FALSE))</f>
        <v>1</v>
      </c>
      <c r="E1411" s="5">
        <f>ABS(F1411-G1411)/ABS(F1411)</f>
        <v>0</v>
      </c>
      <c r="F1411">
        <v>-2.0499999999999998</v>
      </c>
      <c r="G1411">
        <v>-2.0499999999999998</v>
      </c>
      <c r="H1411">
        <v>-2.0499999999999998</v>
      </c>
      <c r="J1411" s="5">
        <f>ABS(F1411-G1411)/ABS(F1411)</f>
        <v>0</v>
      </c>
      <c r="K1411" s="5">
        <f>ABS(G1411-H1411)/ABS(G1411)</f>
        <v>0</v>
      </c>
    </row>
    <row r="1412" spans="3:11" x14ac:dyDescent="0.2">
      <c r="C1412" t="s">
        <v>2315</v>
      </c>
      <c r="D1412" t="b">
        <f ca="1">IF(CELL("format",F1412)="G",IF(ABS(F1412-G1412) &lt;= ABS(F1412*B$3),TRUE,FALSE),IF(F1412=G1412,TRUE,FALSE))</f>
        <v>1</v>
      </c>
      <c r="E1412" s="5">
        <f>ABS(F1412-G1412)/ABS(F1412)</f>
        <v>0</v>
      </c>
      <c r="F1412">
        <v>-2.09</v>
      </c>
      <c r="G1412">
        <v>-2.09</v>
      </c>
      <c r="H1412">
        <v>-2.09</v>
      </c>
      <c r="J1412" s="5">
        <f>ABS(F1412-G1412)/ABS(F1412)</f>
        <v>0</v>
      </c>
      <c r="K1412" s="5">
        <f>ABS(G1412-H1412)/ABS(G1412)</f>
        <v>0</v>
      </c>
    </row>
    <row r="1413" spans="3:11" x14ac:dyDescent="0.2">
      <c r="C1413" t="s">
        <v>2316</v>
      </c>
      <c r="D1413" t="b">
        <f ca="1">IF(CELL("format",F1413)="G",IF(ABS(F1413-G1413) &lt;= ABS(F1413*B$3),TRUE,FALSE),IF(F1413=G1413,TRUE,FALSE))</f>
        <v>1</v>
      </c>
      <c r="E1413" s="5">
        <f>ABS(F1413-G1413)/ABS(F1413)</f>
        <v>0</v>
      </c>
      <c r="F1413">
        <v>-1.91</v>
      </c>
      <c r="G1413">
        <v>-1.91</v>
      </c>
      <c r="H1413">
        <v>-1.91</v>
      </c>
      <c r="J1413" s="5">
        <f>ABS(F1413-G1413)/ABS(F1413)</f>
        <v>0</v>
      </c>
      <c r="K1413" s="5">
        <f>ABS(G1413-H1413)/ABS(G1413)</f>
        <v>0</v>
      </c>
    </row>
    <row r="1414" spans="3:11" x14ac:dyDescent="0.2">
      <c r="C1414" t="s">
        <v>2317</v>
      </c>
      <c r="D1414" t="b">
        <f ca="1">IF(CELL("format",F1414)="G",IF(ABS(F1414-G1414) &lt;= ABS(F1414*B$3),TRUE,FALSE),IF(F1414=G1414,TRUE,FALSE))</f>
        <v>1</v>
      </c>
      <c r="E1414" s="5">
        <f>ABS(F1414-G1414)/ABS(F1414)</f>
        <v>0</v>
      </c>
      <c r="F1414">
        <v>-1.41</v>
      </c>
      <c r="G1414">
        <v>-1.41</v>
      </c>
      <c r="H1414">
        <v>-1.41</v>
      </c>
      <c r="J1414" s="5">
        <f>ABS(F1414-G1414)/ABS(F1414)</f>
        <v>0</v>
      </c>
      <c r="K1414" s="5">
        <f>ABS(G1414-H1414)/ABS(G1414)</f>
        <v>0</v>
      </c>
    </row>
    <row r="1415" spans="3:11" x14ac:dyDescent="0.2">
      <c r="C1415" t="s">
        <v>2318</v>
      </c>
      <c r="D1415" t="b">
        <f ca="1">IF(CELL("format",F1415)="G",IF(ABS(F1415-G1415) &lt;= ABS(F1415*B$3),TRUE,FALSE),IF(F1415=G1415,TRUE,FALSE))</f>
        <v>1</v>
      </c>
      <c r="E1415" s="5">
        <f>ABS(F1415-G1415)/ABS(F1415)</f>
        <v>0</v>
      </c>
      <c r="F1415">
        <v>-0.64</v>
      </c>
      <c r="G1415">
        <v>-0.64</v>
      </c>
      <c r="H1415">
        <v>-0.64</v>
      </c>
      <c r="J1415" s="5">
        <f>ABS(F1415-G1415)/ABS(F1415)</f>
        <v>0</v>
      </c>
      <c r="K1415" s="5">
        <f>ABS(G1415-H1415)/ABS(G1415)</f>
        <v>0</v>
      </c>
    </row>
    <row r="1416" spans="3:11" x14ac:dyDescent="0.2">
      <c r="C1416" t="s">
        <v>2319</v>
      </c>
      <c r="D1416" t="b">
        <f ca="1">IF(CELL("format",F1416)="G",IF(ABS(F1416-G1416) &lt;= ABS(F1416*B$3),TRUE,FALSE),IF(F1416=G1416,TRUE,FALSE))</f>
        <v>1</v>
      </c>
      <c r="E1416" s="5">
        <f>ABS(F1416-G1416)/ABS(F1416)</f>
        <v>0</v>
      </c>
      <c r="F1416">
        <v>-0.19</v>
      </c>
      <c r="G1416">
        <v>-0.19</v>
      </c>
      <c r="H1416">
        <v>-0.19</v>
      </c>
      <c r="J1416" s="5">
        <f>ABS(F1416-G1416)/ABS(F1416)</f>
        <v>0</v>
      </c>
      <c r="K1416" s="5">
        <f>ABS(G1416-H1416)/ABS(G1416)</f>
        <v>0</v>
      </c>
    </row>
    <row r="1417" spans="3:11" x14ac:dyDescent="0.2">
      <c r="C1417" t="s">
        <v>2320</v>
      </c>
      <c r="D1417" t="b">
        <f ca="1">IF(CELL("format",F1417)="G",IF(ABS(F1417-G1417) &lt;= ABS(F1417*B$3),TRUE,FALSE),IF(F1417=G1417,TRUE,FALSE))</f>
        <v>1</v>
      </c>
      <c r="E1417" s="5">
        <f>ABS(F1417-G1417)/ABS(F1417)</f>
        <v>0</v>
      </c>
      <c r="F1417">
        <v>0.1</v>
      </c>
      <c r="G1417">
        <v>0.1</v>
      </c>
      <c r="H1417">
        <v>0.1</v>
      </c>
      <c r="J1417" s="5">
        <f>ABS(F1417-G1417)/ABS(F1417)</f>
        <v>0</v>
      </c>
      <c r="K1417" s="5">
        <f>ABS(G1417-H1417)/ABS(G1417)</f>
        <v>0</v>
      </c>
    </row>
    <row r="1418" spans="3:11" x14ac:dyDescent="0.2">
      <c r="C1418" t="s">
        <v>2321</v>
      </c>
      <c r="D1418" t="b">
        <f ca="1">IF(CELL("format",F1418)="G",IF(ABS(F1418-G1418) &lt;= ABS(F1418*B$3),TRUE,FALSE),IF(F1418=G1418,TRUE,FALSE))</f>
        <v>1</v>
      </c>
      <c r="E1418" s="5">
        <f>ABS(F1418-G1418)/ABS(F1418)</f>
        <v>0</v>
      </c>
      <c r="F1418">
        <v>0.33</v>
      </c>
      <c r="G1418">
        <v>0.33</v>
      </c>
      <c r="H1418">
        <v>0.33</v>
      </c>
      <c r="J1418" s="5">
        <f>ABS(F1418-G1418)/ABS(F1418)</f>
        <v>0</v>
      </c>
      <c r="K1418" s="5">
        <f>ABS(G1418-H1418)/ABS(G1418)</f>
        <v>0</v>
      </c>
    </row>
    <row r="1419" spans="3:11" x14ac:dyDescent="0.2">
      <c r="C1419" t="s">
        <v>2322</v>
      </c>
      <c r="D1419" t="b">
        <f ca="1">IF(CELL("format",F1419)="G",IF(ABS(F1419-G1419) &lt;= ABS(F1419*B$3),TRUE,FALSE),IF(F1419=G1419,TRUE,FALSE))</f>
        <v>1</v>
      </c>
      <c r="E1419" s="5">
        <f>ABS(F1419-G1419)/ABS(F1419)</f>
        <v>0</v>
      </c>
      <c r="F1419">
        <v>0.56000000000000005</v>
      </c>
      <c r="G1419">
        <v>0.56000000000000005</v>
      </c>
      <c r="H1419">
        <v>0.56000000000000005</v>
      </c>
      <c r="J1419" s="5">
        <f>ABS(F1419-G1419)/ABS(F1419)</f>
        <v>0</v>
      </c>
      <c r="K1419" s="5">
        <f>ABS(G1419-H1419)/ABS(G1419)</f>
        <v>0</v>
      </c>
    </row>
    <row r="1420" spans="3:11" x14ac:dyDescent="0.2">
      <c r="C1420" t="s">
        <v>2323</v>
      </c>
      <c r="D1420" t="b">
        <f ca="1">IF(CELL("format",F1420)="G",IF(ABS(F1420-G1420) &lt;= ABS(F1420*B$3),TRUE,FALSE),IF(F1420=G1420,TRUE,FALSE))</f>
        <v>1</v>
      </c>
      <c r="E1420" s="5">
        <f>ABS(F1420-G1420)/ABS(F1420)</f>
        <v>0</v>
      </c>
      <c r="F1420">
        <v>0.75</v>
      </c>
      <c r="G1420">
        <v>0.75</v>
      </c>
      <c r="H1420">
        <v>0.75</v>
      </c>
      <c r="J1420" s="5">
        <f>ABS(F1420-G1420)/ABS(F1420)</f>
        <v>0</v>
      </c>
      <c r="K1420" s="5">
        <f>ABS(G1420-H1420)/ABS(G1420)</f>
        <v>0</v>
      </c>
    </row>
    <row r="1421" spans="3:11" x14ac:dyDescent="0.2">
      <c r="C1421" t="s">
        <v>2324</v>
      </c>
      <c r="D1421" t="b">
        <f ca="1">IF(CELL("format",F1421)="G",IF(ABS(F1421-G1421) &lt;= ABS(F1421*B$3),TRUE,FALSE),IF(F1421=G1421,TRUE,FALSE))</f>
        <v>1</v>
      </c>
      <c r="E1421" s="5">
        <f>ABS(F1421-G1421)/ABS(F1421)</f>
        <v>0</v>
      </c>
      <c r="F1421">
        <v>0.89</v>
      </c>
      <c r="G1421">
        <v>0.89</v>
      </c>
      <c r="H1421">
        <v>0.89</v>
      </c>
      <c r="J1421" s="5">
        <f>ABS(F1421-G1421)/ABS(F1421)</f>
        <v>0</v>
      </c>
      <c r="K1421" s="5">
        <f>ABS(G1421-H1421)/ABS(G1421)</f>
        <v>0</v>
      </c>
    </row>
    <row r="1422" spans="3:11" x14ac:dyDescent="0.2">
      <c r="C1422" t="s">
        <v>2301</v>
      </c>
      <c r="D1422" t="b">
        <f ca="1">IF(CELL("format",F1422)="G",IF(ABS(F1422-G1422) &lt;= ABS(F1422*B$3),TRUE,FALSE),IF(F1422=G1422,TRUE,FALSE))</f>
        <v>1</v>
      </c>
      <c r="E1422" s="5">
        <f>ABS(F1422-G1422)/ABS(F1422)</f>
        <v>0</v>
      </c>
      <c r="F1422">
        <v>0.5</v>
      </c>
      <c r="G1422">
        <v>0.5</v>
      </c>
      <c r="H1422">
        <v>0.5</v>
      </c>
      <c r="J1422" s="5">
        <f>ABS(F1422-G1422)/ABS(F1422)</f>
        <v>0</v>
      </c>
      <c r="K1422" s="5">
        <f>ABS(G1422-H1422)/ABS(G1422)</f>
        <v>0</v>
      </c>
    </row>
    <row r="1423" spans="3:11" x14ac:dyDescent="0.2">
      <c r="C1423" t="s">
        <v>2302</v>
      </c>
      <c r="D1423" t="b">
        <f ca="1">IF(CELL("format",F1423)="G",IF(ABS(F1423-G1423) &lt;= ABS(F1423*B$3),TRUE,FALSE),IF(F1423=G1423,TRUE,FALSE))</f>
        <v>1</v>
      </c>
      <c r="E1423" s="5">
        <f>ABS(F1423-G1423)/ABS(F1423)</f>
        <v>0</v>
      </c>
      <c r="F1423">
        <v>0.59</v>
      </c>
      <c r="G1423">
        <v>0.59</v>
      </c>
      <c r="H1423">
        <v>0.59</v>
      </c>
      <c r="J1423" s="5">
        <f>ABS(F1423-G1423)/ABS(F1423)</f>
        <v>0</v>
      </c>
      <c r="K1423" s="5">
        <f>ABS(G1423-H1423)/ABS(G1423)</f>
        <v>0</v>
      </c>
    </row>
    <row r="1424" spans="3:11" x14ac:dyDescent="0.2">
      <c r="C1424" t="s">
        <v>2303</v>
      </c>
      <c r="D1424" t="b">
        <f ca="1">IF(CELL("format",F1424)="G",IF(ABS(F1424-G1424) &lt;= ABS(F1424*B$3),TRUE,FALSE),IF(F1424=G1424,TRUE,FALSE))</f>
        <v>1</v>
      </c>
      <c r="E1424" s="5">
        <f>ABS(F1424-G1424)/ABS(F1424)</f>
        <v>0</v>
      </c>
      <c r="F1424">
        <v>0.67</v>
      </c>
      <c r="G1424">
        <v>0.67</v>
      </c>
      <c r="H1424">
        <v>0.67</v>
      </c>
      <c r="J1424" s="5">
        <f>ABS(F1424-G1424)/ABS(F1424)</f>
        <v>0</v>
      </c>
      <c r="K1424" s="5">
        <f>ABS(G1424-H1424)/ABS(G1424)</f>
        <v>0</v>
      </c>
    </row>
    <row r="1425" spans="3:11" x14ac:dyDescent="0.2">
      <c r="C1425" t="s">
        <v>2304</v>
      </c>
      <c r="D1425" t="b">
        <f ca="1">IF(CELL("format",F1425)="G",IF(ABS(F1425-G1425) &lt;= ABS(F1425*B$3),TRUE,FALSE),IF(F1425=G1425,TRUE,FALSE))</f>
        <v>1</v>
      </c>
      <c r="E1425" s="5">
        <f>ABS(F1425-G1425)/ABS(F1425)</f>
        <v>0</v>
      </c>
      <c r="F1425">
        <v>0.74</v>
      </c>
      <c r="G1425">
        <v>0.74</v>
      </c>
      <c r="H1425">
        <v>0.74</v>
      </c>
      <c r="J1425" s="5">
        <f>ABS(F1425-G1425)/ABS(F1425)</f>
        <v>0</v>
      </c>
      <c r="K1425" s="5">
        <f>ABS(G1425-H1425)/ABS(G1425)</f>
        <v>0</v>
      </c>
    </row>
    <row r="1426" spans="3:11" x14ac:dyDescent="0.2">
      <c r="C1426" t="s">
        <v>2305</v>
      </c>
      <c r="D1426" t="b">
        <f ca="1">IF(CELL("format",F1426)="G",IF(ABS(F1426-G1426) &lt;= ABS(F1426*B$3),TRUE,FALSE),IF(F1426=G1426,TRUE,FALSE))</f>
        <v>1</v>
      </c>
      <c r="E1426" s="5">
        <f>ABS(F1426-G1426)/ABS(F1426)</f>
        <v>0</v>
      </c>
      <c r="F1426">
        <v>0.78</v>
      </c>
      <c r="G1426">
        <v>0.78</v>
      </c>
      <c r="H1426">
        <v>0.78</v>
      </c>
      <c r="J1426" s="5">
        <f>ABS(F1426-G1426)/ABS(F1426)</f>
        <v>0</v>
      </c>
      <c r="K1426" s="5">
        <f>ABS(G1426-H1426)/ABS(G1426)</f>
        <v>0</v>
      </c>
    </row>
    <row r="1427" spans="3:11" x14ac:dyDescent="0.2">
      <c r="C1427" t="s">
        <v>2306</v>
      </c>
      <c r="D1427" t="b">
        <f ca="1">IF(CELL("format",F1427)="G",IF(ABS(F1427-G1427) &lt;= ABS(F1427*B$3),TRUE,FALSE),IF(F1427=G1427,TRUE,FALSE))</f>
        <v>1</v>
      </c>
      <c r="E1427" s="5">
        <f>ABS(F1427-G1427)/ABS(F1427)</f>
        <v>0</v>
      </c>
      <c r="F1427">
        <v>0.81</v>
      </c>
      <c r="G1427">
        <v>0.81</v>
      </c>
      <c r="H1427">
        <v>0.81</v>
      </c>
      <c r="J1427" s="5">
        <f>ABS(F1427-G1427)/ABS(F1427)</f>
        <v>0</v>
      </c>
      <c r="K1427" s="5">
        <f>ABS(G1427-H1427)/ABS(G1427)</f>
        <v>0</v>
      </c>
    </row>
    <row r="1428" spans="3:11" x14ac:dyDescent="0.2">
      <c r="C1428" t="s">
        <v>2307</v>
      </c>
      <c r="D1428" t="b">
        <f ca="1">IF(CELL("format",F1428)="G",IF(ABS(F1428-G1428) &lt;= ABS(F1428*B$3),TRUE,FALSE),IF(F1428=G1428,TRUE,FALSE))</f>
        <v>1</v>
      </c>
      <c r="E1428" s="5">
        <f>ABS(F1428-G1428)/ABS(F1428)</f>
        <v>0</v>
      </c>
      <c r="F1428">
        <v>0.84</v>
      </c>
      <c r="G1428">
        <v>0.84</v>
      </c>
      <c r="H1428">
        <v>0.84</v>
      </c>
      <c r="J1428" s="5">
        <f>ABS(F1428-G1428)/ABS(F1428)</f>
        <v>0</v>
      </c>
      <c r="K1428" s="5">
        <f>ABS(G1428-H1428)/ABS(G1428)</f>
        <v>0</v>
      </c>
    </row>
    <row r="1429" spans="3:11" x14ac:dyDescent="0.2">
      <c r="C1429" t="s">
        <v>2308</v>
      </c>
      <c r="D1429" t="b">
        <f ca="1">IF(CELL("format",F1429)="G",IF(ABS(F1429-G1429) &lt;= ABS(F1429*B$3),TRUE,FALSE),IF(F1429=G1429,TRUE,FALSE))</f>
        <v>1</v>
      </c>
      <c r="E1429" s="5">
        <f>ABS(F1429-G1429)/ABS(F1429)</f>
        <v>0</v>
      </c>
      <c r="F1429">
        <v>0.68</v>
      </c>
      <c r="G1429">
        <v>0.68</v>
      </c>
      <c r="H1429">
        <v>0.68</v>
      </c>
      <c r="J1429" s="5">
        <f>ABS(F1429-G1429)/ABS(F1429)</f>
        <v>0</v>
      </c>
      <c r="K1429" s="5">
        <f>ABS(G1429-H1429)/ABS(G1429)</f>
        <v>0</v>
      </c>
    </row>
    <row r="1430" spans="3:11" x14ac:dyDescent="0.2">
      <c r="C1430" t="s">
        <v>2309</v>
      </c>
      <c r="D1430" t="b">
        <f ca="1">IF(CELL("format",F1430)="G",IF(ABS(F1430-G1430) &lt;= ABS(F1430*B$3),TRUE,FALSE),IF(F1430=G1430,TRUE,FALSE))</f>
        <v>1</v>
      </c>
      <c r="E1430" s="5">
        <f>ABS(F1430-G1430)/ABS(F1430)</f>
        <v>0</v>
      </c>
      <c r="F1430">
        <v>0.23</v>
      </c>
      <c r="G1430">
        <v>0.23</v>
      </c>
      <c r="H1430">
        <v>0.23</v>
      </c>
      <c r="J1430" s="5">
        <f>ABS(F1430-G1430)/ABS(F1430)</f>
        <v>0</v>
      </c>
      <c r="K1430" s="5">
        <f>ABS(G1430-H1430)/ABS(G1430)</f>
        <v>0</v>
      </c>
    </row>
    <row r="1431" spans="3:11" x14ac:dyDescent="0.2">
      <c r="C1431" t="s">
        <v>2310</v>
      </c>
      <c r="D1431" t="b">
        <f ca="1">IF(CELL("format",F1431)="G",IF(ABS(F1431-G1431) &lt;= ABS(F1431*B$3),TRUE,FALSE),IF(F1431=G1431,TRUE,FALSE))</f>
        <v>1</v>
      </c>
      <c r="E1431" s="5">
        <f>ABS(F1431-G1431)/ABS(F1431)</f>
        <v>0</v>
      </c>
      <c r="F1431">
        <v>-0.37</v>
      </c>
      <c r="G1431">
        <v>-0.37</v>
      </c>
      <c r="H1431">
        <v>-0.37</v>
      </c>
      <c r="J1431" s="5">
        <f>ABS(F1431-G1431)/ABS(F1431)</f>
        <v>0</v>
      </c>
      <c r="K1431" s="5">
        <f>ABS(G1431-H1431)/ABS(G1431)</f>
        <v>0</v>
      </c>
    </row>
    <row r="1432" spans="3:11" x14ac:dyDescent="0.2">
      <c r="C1432" t="s">
        <v>2311</v>
      </c>
      <c r="D1432" t="b">
        <f ca="1">IF(CELL("format",F1432)="G",IF(ABS(F1432-G1432) &lt;= ABS(F1432*B$3),TRUE,FALSE),IF(F1432=G1432,TRUE,FALSE))</f>
        <v>1</v>
      </c>
      <c r="E1432" s="5">
        <f>ABS(F1432-G1432)/ABS(F1432)</f>
        <v>0</v>
      </c>
      <c r="F1432">
        <v>-1.07</v>
      </c>
      <c r="G1432">
        <v>-1.07</v>
      </c>
      <c r="H1432">
        <v>-1.07</v>
      </c>
      <c r="J1432" s="5">
        <f>ABS(F1432-G1432)/ABS(F1432)</f>
        <v>0</v>
      </c>
      <c r="K1432" s="5">
        <f>ABS(G1432-H1432)/ABS(G1432)</f>
        <v>0</v>
      </c>
    </row>
    <row r="1433" spans="3:11" x14ac:dyDescent="0.2">
      <c r="C1433" t="s">
        <v>2312</v>
      </c>
      <c r="D1433" t="b">
        <f ca="1">IF(CELL("format",F1433)="G",IF(ABS(F1433-G1433) &lt;= ABS(F1433*B$3),TRUE,FALSE),IF(F1433=G1433,TRUE,FALSE))</f>
        <v>1</v>
      </c>
      <c r="E1433" s="5">
        <f>ABS(F1433-G1433)/ABS(F1433)</f>
        <v>0</v>
      </c>
      <c r="F1433">
        <v>-1.83</v>
      </c>
      <c r="G1433">
        <v>-1.83</v>
      </c>
      <c r="H1433">
        <v>-1.83</v>
      </c>
      <c r="J1433" s="5">
        <f>ABS(F1433-G1433)/ABS(F1433)</f>
        <v>0</v>
      </c>
      <c r="K1433" s="5">
        <f>ABS(G1433-H1433)/ABS(G1433)</f>
        <v>0</v>
      </c>
    </row>
    <row r="1434" spans="3:11" x14ac:dyDescent="0.2">
      <c r="C1434" t="s">
        <v>2313</v>
      </c>
      <c r="D1434" t="b">
        <f ca="1">IF(CELL("format",F1434)="G",IF(ABS(F1434-G1434) &lt;= ABS(F1434*B$3),TRUE,FALSE),IF(F1434=G1434,TRUE,FALSE))</f>
        <v>1</v>
      </c>
      <c r="E1434" s="5">
        <f>ABS(F1434-G1434)/ABS(F1434)</f>
        <v>0</v>
      </c>
      <c r="F1434">
        <v>-2.5299999999999998</v>
      </c>
      <c r="G1434">
        <v>-2.5299999999999998</v>
      </c>
      <c r="H1434">
        <v>-2.5299999999999998</v>
      </c>
      <c r="J1434" s="5">
        <f>ABS(F1434-G1434)/ABS(F1434)</f>
        <v>0</v>
      </c>
      <c r="K1434" s="5">
        <f>ABS(G1434-H1434)/ABS(G1434)</f>
        <v>0</v>
      </c>
    </row>
    <row r="1435" spans="3:11" x14ac:dyDescent="0.2">
      <c r="C1435" t="s">
        <v>2314</v>
      </c>
      <c r="D1435" t="b">
        <f ca="1">IF(CELL("format",F1435)="G",IF(ABS(F1435-G1435) &lt;= ABS(F1435*B$3),TRUE,FALSE),IF(F1435=G1435,TRUE,FALSE))</f>
        <v>1</v>
      </c>
      <c r="E1435" s="5">
        <f>ABS(F1435-G1435)/ABS(F1435)</f>
        <v>0</v>
      </c>
      <c r="F1435">
        <v>-2.89</v>
      </c>
      <c r="G1435">
        <v>-2.89</v>
      </c>
      <c r="H1435">
        <v>-2.89</v>
      </c>
      <c r="J1435" s="5">
        <f>ABS(F1435-G1435)/ABS(F1435)</f>
        <v>0</v>
      </c>
      <c r="K1435" s="5">
        <f>ABS(G1435-H1435)/ABS(G1435)</f>
        <v>0</v>
      </c>
    </row>
    <row r="1436" spans="3:11" x14ac:dyDescent="0.2">
      <c r="C1436" t="s">
        <v>2315</v>
      </c>
      <c r="D1436" t="b">
        <f ca="1">IF(CELL("format",F1436)="G",IF(ABS(F1436-G1436) &lt;= ABS(F1436*B$3),TRUE,FALSE),IF(F1436=G1436,TRUE,FALSE))</f>
        <v>1</v>
      </c>
      <c r="E1436" s="5">
        <f>ABS(F1436-G1436)/ABS(F1436)</f>
        <v>0</v>
      </c>
      <c r="F1436">
        <v>-2.94</v>
      </c>
      <c r="G1436">
        <v>-2.94</v>
      </c>
      <c r="H1436">
        <v>-2.94</v>
      </c>
      <c r="J1436" s="5">
        <f>ABS(F1436-G1436)/ABS(F1436)</f>
        <v>0</v>
      </c>
      <c r="K1436" s="5">
        <f>ABS(G1436-H1436)/ABS(G1436)</f>
        <v>0</v>
      </c>
    </row>
    <row r="1437" spans="3:11" x14ac:dyDescent="0.2">
      <c r="C1437" t="s">
        <v>2316</v>
      </c>
      <c r="D1437" t="b">
        <f ca="1">IF(CELL("format",F1437)="G",IF(ABS(F1437-G1437) &lt;= ABS(F1437*B$3),TRUE,FALSE),IF(F1437=G1437,TRUE,FALSE))</f>
        <v>1</v>
      </c>
      <c r="E1437" s="5">
        <f>ABS(F1437-G1437)/ABS(F1437)</f>
        <v>0</v>
      </c>
      <c r="F1437">
        <v>-2.75</v>
      </c>
      <c r="G1437">
        <v>-2.75</v>
      </c>
      <c r="H1437">
        <v>-2.75</v>
      </c>
      <c r="J1437" s="5">
        <f>ABS(F1437-G1437)/ABS(F1437)</f>
        <v>0</v>
      </c>
      <c r="K1437" s="5">
        <f>ABS(G1437-H1437)/ABS(G1437)</f>
        <v>0</v>
      </c>
    </row>
    <row r="1438" spans="3:11" x14ac:dyDescent="0.2">
      <c r="C1438" t="s">
        <v>2317</v>
      </c>
      <c r="D1438" t="b">
        <f ca="1">IF(CELL("format",F1438)="G",IF(ABS(F1438-G1438) &lt;= ABS(F1438*B$3),TRUE,FALSE),IF(F1438=G1438,TRUE,FALSE))</f>
        <v>1</v>
      </c>
      <c r="E1438" s="5">
        <f>ABS(F1438-G1438)/ABS(F1438)</f>
        <v>0</v>
      </c>
      <c r="F1438">
        <v>-2.23</v>
      </c>
      <c r="G1438">
        <v>-2.23</v>
      </c>
      <c r="H1438">
        <v>-2.23</v>
      </c>
      <c r="J1438" s="5">
        <f>ABS(F1438-G1438)/ABS(F1438)</f>
        <v>0</v>
      </c>
      <c r="K1438" s="5">
        <f>ABS(G1438-H1438)/ABS(G1438)</f>
        <v>0</v>
      </c>
    </row>
    <row r="1439" spans="3:11" x14ac:dyDescent="0.2">
      <c r="C1439" t="s">
        <v>2318</v>
      </c>
      <c r="D1439" t="b">
        <f ca="1">IF(CELL("format",F1439)="G",IF(ABS(F1439-G1439) &lt;= ABS(F1439*B$3),TRUE,FALSE),IF(F1439=G1439,TRUE,FALSE))</f>
        <v>1</v>
      </c>
      <c r="E1439" s="5">
        <f>ABS(F1439-G1439)/ABS(F1439)</f>
        <v>0</v>
      </c>
      <c r="F1439">
        <v>-1.41</v>
      </c>
      <c r="G1439">
        <v>-1.41</v>
      </c>
      <c r="H1439">
        <v>-1.41</v>
      </c>
      <c r="J1439" s="5">
        <f>ABS(F1439-G1439)/ABS(F1439)</f>
        <v>0</v>
      </c>
      <c r="K1439" s="5">
        <f>ABS(G1439-H1439)/ABS(G1439)</f>
        <v>0</v>
      </c>
    </row>
    <row r="1440" spans="3:11" x14ac:dyDescent="0.2">
      <c r="C1440" t="s">
        <v>2319</v>
      </c>
      <c r="D1440" t="b">
        <f ca="1">IF(CELL("format",F1440)="G",IF(ABS(F1440-G1440) &lt;= ABS(F1440*B$3),TRUE,FALSE),IF(F1440=G1440,TRUE,FALSE))</f>
        <v>1</v>
      </c>
      <c r="E1440" s="5">
        <f>ABS(F1440-G1440)/ABS(F1440)</f>
        <v>0</v>
      </c>
      <c r="F1440">
        <v>-0.93</v>
      </c>
      <c r="G1440">
        <v>-0.93</v>
      </c>
      <c r="H1440">
        <v>-0.93</v>
      </c>
      <c r="J1440" s="5">
        <f>ABS(F1440-G1440)/ABS(F1440)</f>
        <v>0</v>
      </c>
      <c r="K1440" s="5">
        <f>ABS(G1440-H1440)/ABS(G1440)</f>
        <v>0</v>
      </c>
    </row>
    <row r="1441" spans="3:11" x14ac:dyDescent="0.2">
      <c r="C1441" t="s">
        <v>2320</v>
      </c>
      <c r="D1441" t="b">
        <f ca="1">IF(CELL("format",F1441)="G",IF(ABS(F1441-G1441) &lt;= ABS(F1441*B$3),TRUE,FALSE),IF(F1441=G1441,TRUE,FALSE))</f>
        <v>1</v>
      </c>
      <c r="E1441" s="5">
        <f>ABS(F1441-G1441)/ABS(F1441)</f>
        <v>0</v>
      </c>
      <c r="F1441">
        <v>-0.62</v>
      </c>
      <c r="G1441">
        <v>-0.62</v>
      </c>
      <c r="H1441">
        <v>-0.62</v>
      </c>
      <c r="J1441" s="5">
        <f>ABS(F1441-G1441)/ABS(F1441)</f>
        <v>0</v>
      </c>
      <c r="K1441" s="5">
        <f>ABS(G1441-H1441)/ABS(G1441)</f>
        <v>0</v>
      </c>
    </row>
    <row r="1442" spans="3:11" x14ac:dyDescent="0.2">
      <c r="C1442" t="s">
        <v>2321</v>
      </c>
      <c r="D1442" t="b">
        <f ca="1">IF(CELL("format",F1442)="G",IF(ABS(F1442-G1442) &lt;= ABS(F1442*B$3),TRUE,FALSE),IF(F1442=G1442,TRUE,FALSE))</f>
        <v>1</v>
      </c>
      <c r="E1442" s="5">
        <f>ABS(F1442-G1442)/ABS(F1442)</f>
        <v>0</v>
      </c>
      <c r="F1442">
        <v>-0.37</v>
      </c>
      <c r="G1442">
        <v>-0.37</v>
      </c>
      <c r="H1442">
        <v>-0.37</v>
      </c>
      <c r="J1442" s="5">
        <f>ABS(F1442-G1442)/ABS(F1442)</f>
        <v>0</v>
      </c>
      <c r="K1442" s="5">
        <f>ABS(G1442-H1442)/ABS(G1442)</f>
        <v>0</v>
      </c>
    </row>
    <row r="1443" spans="3:11" x14ac:dyDescent="0.2">
      <c r="C1443" t="s">
        <v>2322</v>
      </c>
      <c r="D1443" t="b">
        <f ca="1">IF(CELL("format",F1443)="G",IF(ABS(F1443-G1443) &lt;= ABS(F1443*B$3),TRUE,FALSE),IF(F1443=G1443,TRUE,FALSE))</f>
        <v>1</v>
      </c>
      <c r="E1443" s="5">
        <f>ABS(F1443-G1443)/ABS(F1443)</f>
        <v>0</v>
      </c>
      <c r="F1443">
        <v>-0.14000000000000001</v>
      </c>
      <c r="G1443">
        <v>-0.14000000000000001</v>
      </c>
      <c r="H1443">
        <v>-0.14000000000000001</v>
      </c>
      <c r="J1443" s="5">
        <f>ABS(F1443-G1443)/ABS(F1443)</f>
        <v>0</v>
      </c>
      <c r="K1443" s="5">
        <f>ABS(G1443-H1443)/ABS(G1443)</f>
        <v>0</v>
      </c>
    </row>
    <row r="1444" spans="3:11" x14ac:dyDescent="0.2">
      <c r="C1444" t="s">
        <v>2323</v>
      </c>
      <c r="D1444" t="b">
        <f ca="1">IF(CELL("format",F1444)="G",IF(ABS(F1444-G1444) &lt;= ABS(F1444*B$3),TRUE,FALSE),IF(F1444=G1444,TRUE,FALSE))</f>
        <v>1</v>
      </c>
      <c r="E1444" s="5">
        <f>ABS(F1444-G1444)/ABS(F1444)</f>
        <v>0</v>
      </c>
      <c r="F1444">
        <v>0.05</v>
      </c>
      <c r="G1444">
        <v>0.05</v>
      </c>
      <c r="H1444">
        <v>0.05</v>
      </c>
      <c r="J1444" s="5">
        <f>ABS(F1444-G1444)/ABS(F1444)</f>
        <v>0</v>
      </c>
      <c r="K1444" s="5">
        <f>ABS(G1444-H1444)/ABS(G1444)</f>
        <v>0</v>
      </c>
    </row>
    <row r="1445" spans="3:11" x14ac:dyDescent="0.2">
      <c r="C1445" t="s">
        <v>2324</v>
      </c>
      <c r="D1445" t="b">
        <f ca="1">IF(CELL("format",F1445)="G",IF(ABS(F1445-G1445) &lt;= ABS(F1445*B$3),TRUE,FALSE),IF(F1445=G1445,TRUE,FALSE))</f>
        <v>1</v>
      </c>
      <c r="E1445" s="5">
        <f>ABS(F1445-G1445)/ABS(F1445)</f>
        <v>0</v>
      </c>
      <c r="F1445">
        <v>0.19</v>
      </c>
      <c r="G1445">
        <v>0.19</v>
      </c>
      <c r="H1445">
        <v>0.19</v>
      </c>
      <c r="J1445" s="5">
        <f>ABS(F1445-G1445)/ABS(F1445)</f>
        <v>0</v>
      </c>
      <c r="K1445" s="5">
        <f>ABS(G1445-H1445)/ABS(G1445)</f>
        <v>0</v>
      </c>
    </row>
    <row r="1446" spans="3:11" x14ac:dyDescent="0.2">
      <c r="C1446" t="s">
        <v>2301</v>
      </c>
      <c r="D1446" t="b">
        <f ca="1">IF(CELL("format",F1446)="G",IF(ABS(F1446-G1446) &lt;= ABS(F1446*B$3),TRUE,FALSE),IF(F1446=G1446,TRUE,FALSE))</f>
        <v>1</v>
      </c>
      <c r="E1446" s="5" t="e">
        <f>ABS(F1446-G1446)/ABS(F1446)</f>
        <v>#DIV/0!</v>
      </c>
      <c r="F1446">
        <v>0</v>
      </c>
      <c r="G1446">
        <v>0</v>
      </c>
      <c r="H1446">
        <v>0</v>
      </c>
      <c r="J1446" s="5" t="e">
        <f>ABS(F1446-G1446)/ABS(F1446)</f>
        <v>#DIV/0!</v>
      </c>
      <c r="K1446" s="5" t="e">
        <f>ABS(G1446-H1446)/ABS(G1446)</f>
        <v>#DIV/0!</v>
      </c>
    </row>
    <row r="1447" spans="3:11" x14ac:dyDescent="0.2">
      <c r="C1447" t="s">
        <v>2302</v>
      </c>
      <c r="D1447" t="b">
        <f ca="1">IF(CELL("format",F1447)="G",IF(ABS(F1447-G1447) &lt;= ABS(F1447*B$3),TRUE,FALSE),IF(F1447=G1447,TRUE,FALSE))</f>
        <v>1</v>
      </c>
      <c r="E1447" s="5" t="e">
        <f>ABS(F1447-G1447)/ABS(F1447)</f>
        <v>#DIV/0!</v>
      </c>
      <c r="F1447">
        <v>0</v>
      </c>
      <c r="G1447">
        <v>0</v>
      </c>
      <c r="H1447">
        <v>0</v>
      </c>
      <c r="J1447" s="5" t="e">
        <f>ABS(F1447-G1447)/ABS(F1447)</f>
        <v>#DIV/0!</v>
      </c>
      <c r="K1447" s="5" t="e">
        <f>ABS(G1447-H1447)/ABS(G1447)</f>
        <v>#DIV/0!</v>
      </c>
    </row>
    <row r="1448" spans="3:11" x14ac:dyDescent="0.2">
      <c r="C1448" t="s">
        <v>2303</v>
      </c>
      <c r="D1448" t="b">
        <f ca="1">IF(CELL("format",F1448)="G",IF(ABS(F1448-G1448) &lt;= ABS(F1448*B$3),TRUE,FALSE),IF(F1448=G1448,TRUE,FALSE))</f>
        <v>1</v>
      </c>
      <c r="E1448" s="5" t="e">
        <f>ABS(F1448-G1448)/ABS(F1448)</f>
        <v>#DIV/0!</v>
      </c>
      <c r="F1448">
        <v>0</v>
      </c>
      <c r="G1448">
        <v>0</v>
      </c>
      <c r="H1448">
        <v>0</v>
      </c>
      <c r="J1448" s="5" t="e">
        <f>ABS(F1448-G1448)/ABS(F1448)</f>
        <v>#DIV/0!</v>
      </c>
      <c r="K1448" s="5" t="e">
        <f>ABS(G1448-H1448)/ABS(G1448)</f>
        <v>#DIV/0!</v>
      </c>
    </row>
    <row r="1449" spans="3:11" x14ac:dyDescent="0.2">
      <c r="C1449" t="s">
        <v>2304</v>
      </c>
      <c r="D1449" t="b">
        <f ca="1">IF(CELL("format",F1449)="G",IF(ABS(F1449-G1449) &lt;= ABS(F1449*B$3),TRUE,FALSE),IF(F1449=G1449,TRUE,FALSE))</f>
        <v>1</v>
      </c>
      <c r="E1449" s="5" t="e">
        <f>ABS(F1449-G1449)/ABS(F1449)</f>
        <v>#DIV/0!</v>
      </c>
      <c r="F1449">
        <v>0</v>
      </c>
      <c r="G1449">
        <v>0</v>
      </c>
      <c r="H1449">
        <v>0</v>
      </c>
      <c r="J1449" s="5" t="e">
        <f>ABS(F1449-G1449)/ABS(F1449)</f>
        <v>#DIV/0!</v>
      </c>
      <c r="K1449" s="5" t="e">
        <f>ABS(G1449-H1449)/ABS(G1449)</f>
        <v>#DIV/0!</v>
      </c>
    </row>
    <row r="1450" spans="3:11" x14ac:dyDescent="0.2">
      <c r="C1450" t="s">
        <v>2305</v>
      </c>
      <c r="D1450" t="b">
        <f ca="1">IF(CELL("format",F1450)="G",IF(ABS(F1450-G1450) &lt;= ABS(F1450*B$3),TRUE,FALSE),IF(F1450=G1450,TRUE,FALSE))</f>
        <v>1</v>
      </c>
      <c r="E1450" s="5" t="e">
        <f>ABS(F1450-G1450)/ABS(F1450)</f>
        <v>#DIV/0!</v>
      </c>
      <c r="F1450">
        <v>0</v>
      </c>
      <c r="G1450">
        <v>0</v>
      </c>
      <c r="H1450">
        <v>0</v>
      </c>
      <c r="J1450" s="5" t="e">
        <f>ABS(F1450-G1450)/ABS(F1450)</f>
        <v>#DIV/0!</v>
      </c>
      <c r="K1450" s="5" t="e">
        <f>ABS(G1450-H1450)/ABS(G1450)</f>
        <v>#DIV/0!</v>
      </c>
    </row>
    <row r="1451" spans="3:11" x14ac:dyDescent="0.2">
      <c r="C1451" t="s">
        <v>2306</v>
      </c>
      <c r="D1451" t="b">
        <f ca="1">IF(CELL("format",F1451)="G",IF(ABS(F1451-G1451) &lt;= ABS(F1451*B$3),TRUE,FALSE),IF(F1451=G1451,TRUE,FALSE))</f>
        <v>1</v>
      </c>
      <c r="E1451" s="5" t="e">
        <f>ABS(F1451-G1451)/ABS(F1451)</f>
        <v>#DIV/0!</v>
      </c>
      <c r="F1451">
        <v>0</v>
      </c>
      <c r="G1451">
        <v>0</v>
      </c>
      <c r="H1451">
        <v>0</v>
      </c>
      <c r="J1451" s="5" t="e">
        <f>ABS(F1451-G1451)/ABS(F1451)</f>
        <v>#DIV/0!</v>
      </c>
      <c r="K1451" s="5" t="e">
        <f>ABS(G1451-H1451)/ABS(G1451)</f>
        <v>#DIV/0!</v>
      </c>
    </row>
    <row r="1452" spans="3:11" x14ac:dyDescent="0.2">
      <c r="C1452" t="s">
        <v>2307</v>
      </c>
      <c r="D1452" t="b">
        <f ca="1">IF(CELL("format",F1452)="G",IF(ABS(F1452-G1452) &lt;= ABS(F1452*B$3),TRUE,FALSE),IF(F1452=G1452,TRUE,FALSE))</f>
        <v>1</v>
      </c>
      <c r="E1452" s="5" t="e">
        <f>ABS(F1452-G1452)/ABS(F1452)</f>
        <v>#DIV/0!</v>
      </c>
      <c r="F1452">
        <v>0</v>
      </c>
      <c r="G1452">
        <v>0</v>
      </c>
      <c r="H1452">
        <v>0</v>
      </c>
      <c r="J1452" s="5" t="e">
        <f>ABS(F1452-G1452)/ABS(F1452)</f>
        <v>#DIV/0!</v>
      </c>
      <c r="K1452" s="5" t="e">
        <f>ABS(G1452-H1452)/ABS(G1452)</f>
        <v>#DIV/0!</v>
      </c>
    </row>
    <row r="1453" spans="3:11" x14ac:dyDescent="0.2">
      <c r="C1453" t="s">
        <v>2308</v>
      </c>
      <c r="D1453" t="b">
        <f ca="1">IF(CELL("format",F1453)="G",IF(ABS(F1453-G1453) &lt;= ABS(F1453*B$3),TRUE,FALSE),IF(F1453=G1453,TRUE,FALSE))</f>
        <v>1</v>
      </c>
      <c r="E1453" s="5" t="e">
        <f>ABS(F1453-G1453)/ABS(F1453)</f>
        <v>#DIV/0!</v>
      </c>
      <c r="F1453">
        <v>0</v>
      </c>
      <c r="G1453">
        <v>0</v>
      </c>
      <c r="H1453">
        <v>0</v>
      </c>
      <c r="J1453" s="5" t="e">
        <f>ABS(F1453-G1453)/ABS(F1453)</f>
        <v>#DIV/0!</v>
      </c>
      <c r="K1453" s="5" t="e">
        <f>ABS(G1453-H1453)/ABS(G1453)</f>
        <v>#DIV/0!</v>
      </c>
    </row>
    <row r="1454" spans="3:11" x14ac:dyDescent="0.2">
      <c r="C1454" t="s">
        <v>2309</v>
      </c>
      <c r="D1454" t="b">
        <f ca="1">IF(CELL("format",F1454)="G",IF(ABS(F1454-G1454) &lt;= ABS(F1454*B$3),TRUE,FALSE),IF(F1454=G1454,TRUE,FALSE))</f>
        <v>1</v>
      </c>
      <c r="E1454" s="5" t="e">
        <f>ABS(F1454-G1454)/ABS(F1454)</f>
        <v>#DIV/0!</v>
      </c>
      <c r="F1454">
        <v>0</v>
      </c>
      <c r="G1454">
        <v>0</v>
      </c>
      <c r="H1454">
        <v>0</v>
      </c>
      <c r="J1454" s="5" t="e">
        <f>ABS(F1454-G1454)/ABS(F1454)</f>
        <v>#DIV/0!</v>
      </c>
      <c r="K1454" s="5" t="e">
        <f>ABS(G1454-H1454)/ABS(G1454)</f>
        <v>#DIV/0!</v>
      </c>
    </row>
    <row r="1455" spans="3:11" x14ac:dyDescent="0.2">
      <c r="C1455" t="s">
        <v>2310</v>
      </c>
      <c r="D1455" t="b">
        <f ca="1">IF(CELL("format",F1455)="G",IF(ABS(F1455-G1455) &lt;= ABS(F1455*B$3),TRUE,FALSE),IF(F1455=G1455,TRUE,FALSE))</f>
        <v>1</v>
      </c>
      <c r="E1455" s="5">
        <f>ABS(F1455-G1455)/ABS(F1455)</f>
        <v>0</v>
      </c>
      <c r="F1455">
        <v>-0.36</v>
      </c>
      <c r="G1455">
        <v>-0.36</v>
      </c>
      <c r="H1455">
        <v>-0.36</v>
      </c>
      <c r="J1455" s="5">
        <f>ABS(F1455-G1455)/ABS(F1455)</f>
        <v>0</v>
      </c>
      <c r="K1455" s="5">
        <f>ABS(G1455-H1455)/ABS(G1455)</f>
        <v>0</v>
      </c>
    </row>
    <row r="1456" spans="3:11" x14ac:dyDescent="0.2">
      <c r="C1456" t="s">
        <v>2311</v>
      </c>
      <c r="D1456" t="b">
        <f ca="1">IF(CELL("format",F1456)="G",IF(ABS(F1456-G1456) &lt;= ABS(F1456*B$3),TRUE,FALSE),IF(F1456=G1456,TRUE,FALSE))</f>
        <v>1</v>
      </c>
      <c r="E1456" s="5">
        <f>ABS(F1456-G1456)/ABS(F1456)</f>
        <v>0</v>
      </c>
      <c r="F1456">
        <v>-1.46</v>
      </c>
      <c r="G1456">
        <v>-1.46</v>
      </c>
      <c r="H1456">
        <v>-1.46</v>
      </c>
      <c r="J1456" s="5">
        <f>ABS(F1456-G1456)/ABS(F1456)</f>
        <v>0</v>
      </c>
      <c r="K1456" s="5">
        <f>ABS(G1456-H1456)/ABS(G1456)</f>
        <v>0</v>
      </c>
    </row>
    <row r="1457" spans="3:11" x14ac:dyDescent="0.2">
      <c r="C1457" t="s">
        <v>2312</v>
      </c>
      <c r="D1457" t="b">
        <f ca="1">IF(CELL("format",F1457)="G",IF(ABS(F1457-G1457) &lt;= ABS(F1457*B$3),TRUE,FALSE),IF(F1457=G1457,TRUE,FALSE))</f>
        <v>1</v>
      </c>
      <c r="E1457" s="5">
        <f>ABS(F1457-G1457)/ABS(F1457)</f>
        <v>0</v>
      </c>
      <c r="F1457">
        <v>-2.42</v>
      </c>
      <c r="G1457">
        <v>-2.42</v>
      </c>
      <c r="H1457">
        <v>-2.42</v>
      </c>
      <c r="J1457" s="5">
        <f>ABS(F1457-G1457)/ABS(F1457)</f>
        <v>0</v>
      </c>
      <c r="K1457" s="5">
        <f>ABS(G1457-H1457)/ABS(G1457)</f>
        <v>0</v>
      </c>
    </row>
    <row r="1458" spans="3:11" x14ac:dyDescent="0.2">
      <c r="C1458" t="s">
        <v>2313</v>
      </c>
      <c r="D1458" t="b">
        <f ca="1">IF(CELL("format",F1458)="G",IF(ABS(F1458-G1458) &lt;= ABS(F1458*B$3),TRUE,FALSE),IF(F1458=G1458,TRUE,FALSE))</f>
        <v>1</v>
      </c>
      <c r="E1458" s="5">
        <f>ABS(F1458-G1458)/ABS(F1458)</f>
        <v>0</v>
      </c>
      <c r="F1458">
        <v>-2.85</v>
      </c>
      <c r="G1458">
        <v>-2.85</v>
      </c>
      <c r="H1458">
        <v>-2.85</v>
      </c>
      <c r="J1458" s="5">
        <f>ABS(F1458-G1458)/ABS(F1458)</f>
        <v>0</v>
      </c>
      <c r="K1458" s="5">
        <f>ABS(G1458-H1458)/ABS(G1458)</f>
        <v>0</v>
      </c>
    </row>
    <row r="1459" spans="3:11" x14ac:dyDescent="0.2">
      <c r="C1459" t="s">
        <v>2314</v>
      </c>
      <c r="D1459" t="b">
        <f ca="1">IF(CELL("format",F1459)="G",IF(ABS(F1459-G1459) &lt;= ABS(F1459*B$3),TRUE,FALSE),IF(F1459=G1459,TRUE,FALSE))</f>
        <v>1</v>
      </c>
      <c r="E1459" s="5">
        <f>ABS(F1459-G1459)/ABS(F1459)</f>
        <v>0</v>
      </c>
      <c r="F1459">
        <v>-2.91</v>
      </c>
      <c r="G1459">
        <v>-2.91</v>
      </c>
      <c r="H1459">
        <v>-2.91</v>
      </c>
      <c r="J1459" s="5">
        <f>ABS(F1459-G1459)/ABS(F1459)</f>
        <v>0</v>
      </c>
      <c r="K1459" s="5">
        <f>ABS(G1459-H1459)/ABS(G1459)</f>
        <v>0</v>
      </c>
    </row>
    <row r="1460" spans="3:11" x14ac:dyDescent="0.2">
      <c r="C1460" t="s">
        <v>2315</v>
      </c>
      <c r="D1460" t="b">
        <f ca="1">IF(CELL("format",F1460)="G",IF(ABS(F1460-G1460) &lt;= ABS(F1460*B$3),TRUE,FALSE),IF(F1460=G1460,TRUE,FALSE))</f>
        <v>1</v>
      </c>
      <c r="E1460" s="5">
        <f>ABS(F1460-G1460)/ABS(F1460)</f>
        <v>0</v>
      </c>
      <c r="F1460">
        <v>-2.64</v>
      </c>
      <c r="G1460">
        <v>-2.64</v>
      </c>
      <c r="H1460">
        <v>-2.64</v>
      </c>
      <c r="J1460" s="5">
        <f>ABS(F1460-G1460)/ABS(F1460)</f>
        <v>0</v>
      </c>
      <c r="K1460" s="5">
        <f>ABS(G1460-H1460)/ABS(G1460)</f>
        <v>0</v>
      </c>
    </row>
    <row r="1461" spans="3:11" x14ac:dyDescent="0.2">
      <c r="C1461" t="s">
        <v>2316</v>
      </c>
      <c r="D1461" t="b">
        <f ca="1">IF(CELL("format",F1461)="G",IF(ABS(F1461-G1461) &lt;= ABS(F1461*B$3),TRUE,FALSE),IF(F1461=G1461,TRUE,FALSE))</f>
        <v>1</v>
      </c>
      <c r="E1461" s="5">
        <f>ABS(F1461-G1461)/ABS(F1461)</f>
        <v>0</v>
      </c>
      <c r="F1461">
        <v>-2.2200000000000002</v>
      </c>
      <c r="G1461">
        <v>-2.2200000000000002</v>
      </c>
      <c r="H1461">
        <v>-2.2200000000000002</v>
      </c>
      <c r="J1461" s="5">
        <f>ABS(F1461-G1461)/ABS(F1461)</f>
        <v>0</v>
      </c>
      <c r="K1461" s="5">
        <f>ABS(G1461-H1461)/ABS(G1461)</f>
        <v>0</v>
      </c>
    </row>
    <row r="1462" spans="3:11" x14ac:dyDescent="0.2">
      <c r="C1462" t="s">
        <v>2317</v>
      </c>
      <c r="D1462" t="b">
        <f ca="1">IF(CELL("format",F1462)="G",IF(ABS(F1462-G1462) &lt;= ABS(F1462*B$3),TRUE,FALSE),IF(F1462=G1462,TRUE,FALSE))</f>
        <v>1</v>
      </c>
      <c r="E1462" s="5">
        <f>ABS(F1462-G1462)/ABS(F1462)</f>
        <v>0</v>
      </c>
      <c r="F1462">
        <v>-1.76</v>
      </c>
      <c r="G1462">
        <v>-1.76</v>
      </c>
      <c r="H1462">
        <v>-1.76</v>
      </c>
      <c r="J1462" s="5">
        <f>ABS(F1462-G1462)/ABS(F1462)</f>
        <v>0</v>
      </c>
      <c r="K1462" s="5">
        <f>ABS(G1462-H1462)/ABS(G1462)</f>
        <v>0</v>
      </c>
    </row>
    <row r="1463" spans="3:11" x14ac:dyDescent="0.2">
      <c r="C1463" t="s">
        <v>2318</v>
      </c>
      <c r="D1463" t="b">
        <f ca="1">IF(CELL("format",F1463)="G",IF(ABS(F1463-G1463) &lt;= ABS(F1463*B$3),TRUE,FALSE),IF(F1463=G1463,TRUE,FALSE))</f>
        <v>1</v>
      </c>
      <c r="E1463" s="5">
        <f>ABS(F1463-G1463)/ABS(F1463)</f>
        <v>0</v>
      </c>
      <c r="F1463">
        <v>-1.37</v>
      </c>
      <c r="G1463">
        <v>-1.37</v>
      </c>
      <c r="H1463">
        <v>-1.37</v>
      </c>
      <c r="J1463" s="5">
        <f>ABS(F1463-G1463)/ABS(F1463)</f>
        <v>0</v>
      </c>
      <c r="K1463" s="5">
        <f>ABS(G1463-H1463)/ABS(G1463)</f>
        <v>0</v>
      </c>
    </row>
    <row r="1464" spans="3:11" x14ac:dyDescent="0.2">
      <c r="C1464" t="s">
        <v>2319</v>
      </c>
      <c r="D1464" t="b">
        <f ca="1">IF(CELL("format",F1464)="G",IF(ABS(F1464-G1464) &lt;= ABS(F1464*B$3),TRUE,FALSE),IF(F1464=G1464,TRUE,FALSE))</f>
        <v>1</v>
      </c>
      <c r="E1464" s="5">
        <f>ABS(F1464-G1464)/ABS(F1464)</f>
        <v>0</v>
      </c>
      <c r="F1464">
        <v>-0.98</v>
      </c>
      <c r="G1464">
        <v>-0.98</v>
      </c>
      <c r="H1464">
        <v>-0.98</v>
      </c>
      <c r="J1464" s="5">
        <f>ABS(F1464-G1464)/ABS(F1464)</f>
        <v>0</v>
      </c>
      <c r="K1464" s="5">
        <f>ABS(G1464-H1464)/ABS(G1464)</f>
        <v>0</v>
      </c>
    </row>
    <row r="1465" spans="3:11" x14ac:dyDescent="0.2">
      <c r="C1465" t="s">
        <v>2320</v>
      </c>
      <c r="D1465" t="b">
        <f ca="1">IF(CELL("format",F1465)="G",IF(ABS(F1465-G1465) &lt;= ABS(F1465*B$3),TRUE,FALSE),IF(F1465=G1465,TRUE,FALSE))</f>
        <v>1</v>
      </c>
      <c r="E1465" s="5">
        <f>ABS(F1465-G1465)/ABS(F1465)</f>
        <v>0</v>
      </c>
      <c r="F1465">
        <v>-0.56999999999999995</v>
      </c>
      <c r="G1465">
        <v>-0.56999999999999995</v>
      </c>
      <c r="H1465">
        <v>-0.56999999999999995</v>
      </c>
      <c r="J1465" s="5">
        <f>ABS(F1465-G1465)/ABS(F1465)</f>
        <v>0</v>
      </c>
      <c r="K1465" s="5">
        <f>ABS(G1465-H1465)/ABS(G1465)</f>
        <v>0</v>
      </c>
    </row>
    <row r="1466" spans="3:11" x14ac:dyDescent="0.2">
      <c r="C1466" t="s">
        <v>2321</v>
      </c>
      <c r="D1466" t="b">
        <f ca="1">IF(CELL("format",F1466)="G",IF(ABS(F1466-G1466) &lt;= ABS(F1466*B$3),TRUE,FALSE),IF(F1466=G1466,TRUE,FALSE))</f>
        <v>1</v>
      </c>
      <c r="E1466" s="5">
        <f>ABS(F1466-G1466)/ABS(F1466)</f>
        <v>0</v>
      </c>
      <c r="F1466">
        <v>-0.23</v>
      </c>
      <c r="G1466">
        <v>-0.23</v>
      </c>
      <c r="H1466">
        <v>-0.23</v>
      </c>
      <c r="J1466" s="5">
        <f>ABS(F1466-G1466)/ABS(F1466)</f>
        <v>0</v>
      </c>
      <c r="K1466" s="5">
        <f>ABS(G1466-H1466)/ABS(G1466)</f>
        <v>0</v>
      </c>
    </row>
    <row r="1467" spans="3:11" x14ac:dyDescent="0.2">
      <c r="C1467" t="s">
        <v>2322</v>
      </c>
      <c r="D1467" t="b">
        <f ca="1">IF(CELL("format",F1467)="G",IF(ABS(F1467-G1467) &lt;= ABS(F1467*B$3),TRUE,FALSE),IF(F1467=G1467,TRUE,FALSE))</f>
        <v>1</v>
      </c>
      <c r="E1467" s="5">
        <f>ABS(F1467-G1467)/ABS(F1467)</f>
        <v>0</v>
      </c>
      <c r="F1467">
        <v>-0.05</v>
      </c>
      <c r="G1467">
        <v>-0.05</v>
      </c>
      <c r="H1467">
        <v>-0.05</v>
      </c>
      <c r="J1467" s="5">
        <f>ABS(F1467-G1467)/ABS(F1467)</f>
        <v>0</v>
      </c>
      <c r="K1467" s="5">
        <f>ABS(G1467-H1467)/ABS(G1467)</f>
        <v>0</v>
      </c>
    </row>
    <row r="1468" spans="3:11" x14ac:dyDescent="0.2">
      <c r="C1468" t="s">
        <v>2323</v>
      </c>
      <c r="D1468" t="b">
        <f ca="1">IF(CELL("format",F1468)="G",IF(ABS(F1468-G1468) &lt;= ABS(F1468*B$3),TRUE,FALSE),IF(F1468=G1468,TRUE,FALSE))</f>
        <v>1</v>
      </c>
      <c r="E1468" s="5" t="e">
        <f>ABS(F1468-G1468)/ABS(F1468)</f>
        <v>#DIV/0!</v>
      </c>
      <c r="F1468">
        <v>0</v>
      </c>
      <c r="G1468">
        <v>0</v>
      </c>
      <c r="H1468">
        <v>0</v>
      </c>
      <c r="J1468" s="5" t="e">
        <f>ABS(F1468-G1468)/ABS(F1468)</f>
        <v>#DIV/0!</v>
      </c>
      <c r="K1468" s="5" t="e">
        <f>ABS(G1468-H1468)/ABS(G1468)</f>
        <v>#DIV/0!</v>
      </c>
    </row>
    <row r="1469" spans="3:11" x14ac:dyDescent="0.2">
      <c r="C1469" t="s">
        <v>2324</v>
      </c>
      <c r="D1469" t="b">
        <f ca="1">IF(CELL("format",F1469)="G",IF(ABS(F1469-G1469) &lt;= ABS(F1469*B$3),TRUE,FALSE),IF(F1469=G1469,TRUE,FALSE))</f>
        <v>1</v>
      </c>
      <c r="E1469" s="5" t="e">
        <f>ABS(F1469-G1469)/ABS(F1469)</f>
        <v>#DIV/0!</v>
      </c>
      <c r="F1469">
        <v>0</v>
      </c>
      <c r="G1469">
        <v>0</v>
      </c>
      <c r="H1469">
        <v>0</v>
      </c>
      <c r="J1469" s="5" t="e">
        <f>ABS(F1469-G1469)/ABS(F1469)</f>
        <v>#DIV/0!</v>
      </c>
      <c r="K1469" s="5" t="e">
        <f>ABS(G1469-H1469)/ABS(G1469)</f>
        <v>#DIV/0!</v>
      </c>
    </row>
    <row r="1470" spans="3:11" x14ac:dyDescent="0.2">
      <c r="C1470" t="s">
        <v>2301</v>
      </c>
      <c r="D1470" t="b">
        <f ca="1">IF(CELL("format",F1470)="G",IF(ABS(F1470-G1470) &lt;= ABS(F1470*B$3),TRUE,FALSE),IF(F1470=G1470,TRUE,FALSE))</f>
        <v>1</v>
      </c>
      <c r="E1470" s="5" t="e">
        <f>ABS(F1470-G1470)/ABS(F1470)</f>
        <v>#DIV/0!</v>
      </c>
      <c r="F1470">
        <v>0</v>
      </c>
      <c r="G1470">
        <v>0</v>
      </c>
      <c r="H1470">
        <v>0</v>
      </c>
      <c r="J1470" s="5" t="e">
        <f>ABS(F1470-G1470)/ABS(F1470)</f>
        <v>#DIV/0!</v>
      </c>
      <c r="K1470" s="5" t="e">
        <f>ABS(G1470-H1470)/ABS(G1470)</f>
        <v>#DIV/0!</v>
      </c>
    </row>
    <row r="1471" spans="3:11" x14ac:dyDescent="0.2">
      <c r="C1471" t="s">
        <v>2302</v>
      </c>
      <c r="D1471" t="b">
        <f ca="1">IF(CELL("format",F1471)="G",IF(ABS(F1471-G1471) &lt;= ABS(F1471*B$3),TRUE,FALSE),IF(F1471=G1471,TRUE,FALSE))</f>
        <v>1</v>
      </c>
      <c r="E1471" s="5" t="e">
        <f>ABS(F1471-G1471)/ABS(F1471)</f>
        <v>#DIV/0!</v>
      </c>
      <c r="F1471">
        <v>0</v>
      </c>
      <c r="G1471">
        <v>0</v>
      </c>
      <c r="H1471">
        <v>0</v>
      </c>
      <c r="J1471" s="5" t="e">
        <f>ABS(F1471-G1471)/ABS(F1471)</f>
        <v>#DIV/0!</v>
      </c>
      <c r="K1471" s="5" t="e">
        <f>ABS(G1471-H1471)/ABS(G1471)</f>
        <v>#DIV/0!</v>
      </c>
    </row>
    <row r="1472" spans="3:11" x14ac:dyDescent="0.2">
      <c r="C1472" t="s">
        <v>2303</v>
      </c>
      <c r="D1472" t="b">
        <f ca="1">IF(CELL("format",F1472)="G",IF(ABS(F1472-G1472) &lt;= ABS(F1472*B$3),TRUE,FALSE),IF(F1472=G1472,TRUE,FALSE))</f>
        <v>1</v>
      </c>
      <c r="E1472" s="5" t="e">
        <f>ABS(F1472-G1472)/ABS(F1472)</f>
        <v>#DIV/0!</v>
      </c>
      <c r="F1472">
        <v>0</v>
      </c>
      <c r="G1472">
        <v>0</v>
      </c>
      <c r="H1472">
        <v>0</v>
      </c>
      <c r="J1472" s="5" t="e">
        <f>ABS(F1472-G1472)/ABS(F1472)</f>
        <v>#DIV/0!</v>
      </c>
      <c r="K1472" s="5" t="e">
        <f>ABS(G1472-H1472)/ABS(G1472)</f>
        <v>#DIV/0!</v>
      </c>
    </row>
    <row r="1473" spans="3:11" x14ac:dyDescent="0.2">
      <c r="C1473" t="s">
        <v>2304</v>
      </c>
      <c r="D1473" t="b">
        <f ca="1">IF(CELL("format",F1473)="G",IF(ABS(F1473-G1473) &lt;= ABS(F1473*B$3),TRUE,FALSE),IF(F1473=G1473,TRUE,FALSE))</f>
        <v>1</v>
      </c>
      <c r="E1473" s="5" t="e">
        <f>ABS(F1473-G1473)/ABS(F1473)</f>
        <v>#DIV/0!</v>
      </c>
      <c r="F1473">
        <v>0</v>
      </c>
      <c r="G1473">
        <v>0</v>
      </c>
      <c r="H1473">
        <v>0</v>
      </c>
      <c r="J1473" s="5" t="e">
        <f>ABS(F1473-G1473)/ABS(F1473)</f>
        <v>#DIV/0!</v>
      </c>
      <c r="K1473" s="5" t="e">
        <f>ABS(G1473-H1473)/ABS(G1473)</f>
        <v>#DIV/0!</v>
      </c>
    </row>
    <row r="1474" spans="3:11" x14ac:dyDescent="0.2">
      <c r="C1474" t="s">
        <v>2305</v>
      </c>
      <c r="D1474" t="b">
        <f ca="1">IF(CELL("format",F1474)="G",IF(ABS(F1474-G1474) &lt;= ABS(F1474*B$3),TRUE,FALSE),IF(F1474=G1474,TRUE,FALSE))</f>
        <v>1</v>
      </c>
      <c r="E1474" s="5" t="e">
        <f>ABS(F1474-G1474)/ABS(F1474)</f>
        <v>#DIV/0!</v>
      </c>
      <c r="F1474">
        <v>0</v>
      </c>
      <c r="G1474">
        <v>0</v>
      </c>
      <c r="H1474">
        <v>0</v>
      </c>
      <c r="J1474" s="5" t="e">
        <f>ABS(F1474-G1474)/ABS(F1474)</f>
        <v>#DIV/0!</v>
      </c>
      <c r="K1474" s="5" t="e">
        <f>ABS(G1474-H1474)/ABS(G1474)</f>
        <v>#DIV/0!</v>
      </c>
    </row>
    <row r="1475" spans="3:11" x14ac:dyDescent="0.2">
      <c r="C1475" t="s">
        <v>2306</v>
      </c>
      <c r="D1475" t="b">
        <f ca="1">IF(CELL("format",F1475)="G",IF(ABS(F1475-G1475) &lt;= ABS(F1475*B$3),TRUE,FALSE),IF(F1475=G1475,TRUE,FALSE))</f>
        <v>1</v>
      </c>
      <c r="E1475" s="5" t="e">
        <f>ABS(F1475-G1475)/ABS(F1475)</f>
        <v>#DIV/0!</v>
      </c>
      <c r="F1475">
        <v>0</v>
      </c>
      <c r="G1475">
        <v>0</v>
      </c>
      <c r="H1475">
        <v>0</v>
      </c>
      <c r="J1475" s="5" t="e">
        <f>ABS(F1475-G1475)/ABS(F1475)</f>
        <v>#DIV/0!</v>
      </c>
      <c r="K1475" s="5" t="e">
        <f>ABS(G1475-H1475)/ABS(G1475)</f>
        <v>#DIV/0!</v>
      </c>
    </row>
    <row r="1476" spans="3:11" x14ac:dyDescent="0.2">
      <c r="C1476" t="s">
        <v>2307</v>
      </c>
      <c r="D1476" t="b">
        <f ca="1">IF(CELL("format",F1476)="G",IF(ABS(F1476-G1476) &lt;= ABS(F1476*B$3),TRUE,FALSE),IF(F1476=G1476,TRUE,FALSE))</f>
        <v>1</v>
      </c>
      <c r="E1476" s="5" t="e">
        <f>ABS(F1476-G1476)/ABS(F1476)</f>
        <v>#DIV/0!</v>
      </c>
      <c r="F1476">
        <v>0</v>
      </c>
      <c r="G1476">
        <v>0</v>
      </c>
      <c r="H1476">
        <v>0</v>
      </c>
      <c r="J1476" s="5" t="e">
        <f>ABS(F1476-G1476)/ABS(F1476)</f>
        <v>#DIV/0!</v>
      </c>
      <c r="K1476" s="5" t="e">
        <f>ABS(G1476-H1476)/ABS(G1476)</f>
        <v>#DIV/0!</v>
      </c>
    </row>
    <row r="1477" spans="3:11" x14ac:dyDescent="0.2">
      <c r="C1477" t="s">
        <v>2308</v>
      </c>
      <c r="D1477" t="b">
        <f ca="1">IF(CELL("format",F1477)="G",IF(ABS(F1477-G1477) &lt;= ABS(F1477*B$3),TRUE,FALSE),IF(F1477=G1477,TRUE,FALSE))</f>
        <v>1</v>
      </c>
      <c r="E1477" s="5" t="e">
        <f>ABS(F1477-G1477)/ABS(F1477)</f>
        <v>#DIV/0!</v>
      </c>
      <c r="F1477">
        <v>0</v>
      </c>
      <c r="G1477">
        <v>0</v>
      </c>
      <c r="H1477">
        <v>0</v>
      </c>
      <c r="J1477" s="5" t="e">
        <f>ABS(F1477-G1477)/ABS(F1477)</f>
        <v>#DIV/0!</v>
      </c>
      <c r="K1477" s="5" t="e">
        <f>ABS(G1477-H1477)/ABS(G1477)</f>
        <v>#DIV/0!</v>
      </c>
    </row>
    <row r="1478" spans="3:11" x14ac:dyDescent="0.2">
      <c r="C1478" t="s">
        <v>2309</v>
      </c>
      <c r="D1478" t="b">
        <f ca="1">IF(CELL("format",F1478)="G",IF(ABS(F1478-G1478) &lt;= ABS(F1478*B$3),TRUE,FALSE),IF(F1478=G1478,TRUE,FALSE))</f>
        <v>1</v>
      </c>
      <c r="E1478" s="5" t="e">
        <f>ABS(F1478-G1478)/ABS(F1478)</f>
        <v>#DIV/0!</v>
      </c>
      <c r="F1478">
        <v>0</v>
      </c>
      <c r="G1478">
        <v>0</v>
      </c>
      <c r="H1478">
        <v>0</v>
      </c>
      <c r="J1478" s="5" t="e">
        <f>ABS(F1478-G1478)/ABS(F1478)</f>
        <v>#DIV/0!</v>
      </c>
      <c r="K1478" s="5" t="e">
        <f>ABS(G1478-H1478)/ABS(G1478)</f>
        <v>#DIV/0!</v>
      </c>
    </row>
    <row r="1479" spans="3:11" x14ac:dyDescent="0.2">
      <c r="C1479" t="s">
        <v>2310</v>
      </c>
      <c r="D1479" t="b">
        <f ca="1">IF(CELL("format",F1479)="G",IF(ABS(F1479-G1479) &lt;= ABS(F1479*B$3),TRUE,FALSE),IF(F1479=G1479,TRUE,FALSE))</f>
        <v>1</v>
      </c>
      <c r="E1479" s="5">
        <f>ABS(F1479-G1479)/ABS(F1479)</f>
        <v>0</v>
      </c>
      <c r="F1479">
        <v>-0.17</v>
      </c>
      <c r="G1479">
        <v>-0.17</v>
      </c>
      <c r="H1479">
        <v>-0.17</v>
      </c>
      <c r="J1479" s="5">
        <f>ABS(F1479-G1479)/ABS(F1479)</f>
        <v>0</v>
      </c>
      <c r="K1479" s="5">
        <f>ABS(G1479-H1479)/ABS(G1479)</f>
        <v>0</v>
      </c>
    </row>
    <row r="1480" spans="3:11" x14ac:dyDescent="0.2">
      <c r="C1480" t="s">
        <v>2311</v>
      </c>
      <c r="D1480" t="b">
        <f ca="1">IF(CELL("format",F1480)="G",IF(ABS(F1480-G1480) &lt;= ABS(F1480*B$3),TRUE,FALSE),IF(F1480=G1480,TRUE,FALSE))</f>
        <v>1</v>
      </c>
      <c r="E1480" s="5">
        <f>ABS(F1480-G1480)/ABS(F1480)</f>
        <v>0</v>
      </c>
      <c r="F1480">
        <v>-0.89</v>
      </c>
      <c r="G1480">
        <v>-0.89</v>
      </c>
      <c r="H1480">
        <v>-0.89</v>
      </c>
      <c r="J1480" s="5">
        <f>ABS(F1480-G1480)/ABS(F1480)</f>
        <v>0</v>
      </c>
      <c r="K1480" s="5">
        <f>ABS(G1480-H1480)/ABS(G1480)</f>
        <v>0</v>
      </c>
    </row>
    <row r="1481" spans="3:11" x14ac:dyDescent="0.2">
      <c r="C1481" t="s">
        <v>2312</v>
      </c>
      <c r="D1481" t="b">
        <f ca="1">IF(CELL("format",F1481)="G",IF(ABS(F1481-G1481) &lt;= ABS(F1481*B$3),TRUE,FALSE),IF(F1481=G1481,TRUE,FALSE))</f>
        <v>1</v>
      </c>
      <c r="E1481" s="5">
        <f>ABS(F1481-G1481)/ABS(F1481)</f>
        <v>0</v>
      </c>
      <c r="F1481">
        <v>-1.6</v>
      </c>
      <c r="G1481">
        <v>-1.6</v>
      </c>
      <c r="H1481">
        <v>-1.6</v>
      </c>
      <c r="J1481" s="5">
        <f>ABS(F1481-G1481)/ABS(F1481)</f>
        <v>0</v>
      </c>
      <c r="K1481" s="5">
        <f>ABS(G1481-H1481)/ABS(G1481)</f>
        <v>0</v>
      </c>
    </row>
    <row r="1482" spans="3:11" x14ac:dyDescent="0.2">
      <c r="C1482" t="s">
        <v>2313</v>
      </c>
      <c r="D1482" t="b">
        <f ca="1">IF(CELL("format",F1482)="G",IF(ABS(F1482-G1482) &lt;= ABS(F1482*B$3),TRUE,FALSE),IF(F1482=G1482,TRUE,FALSE))</f>
        <v>1</v>
      </c>
      <c r="E1482" s="5">
        <f>ABS(F1482-G1482)/ABS(F1482)</f>
        <v>0</v>
      </c>
      <c r="F1482">
        <v>-1.91</v>
      </c>
      <c r="G1482">
        <v>-1.91</v>
      </c>
      <c r="H1482">
        <v>-1.91</v>
      </c>
      <c r="J1482" s="5">
        <f>ABS(F1482-G1482)/ABS(F1482)</f>
        <v>0</v>
      </c>
      <c r="K1482" s="5">
        <f>ABS(G1482-H1482)/ABS(G1482)</f>
        <v>0</v>
      </c>
    </row>
    <row r="1483" spans="3:11" x14ac:dyDescent="0.2">
      <c r="C1483" t="s">
        <v>2314</v>
      </c>
      <c r="D1483" t="b">
        <f ca="1">IF(CELL("format",F1483)="G",IF(ABS(F1483-G1483) &lt;= ABS(F1483*B$3),TRUE,FALSE),IF(F1483=G1483,TRUE,FALSE))</f>
        <v>1</v>
      </c>
      <c r="E1483" s="5">
        <f>ABS(F1483-G1483)/ABS(F1483)</f>
        <v>0</v>
      </c>
      <c r="F1483">
        <v>-2.0099999999999998</v>
      </c>
      <c r="G1483">
        <v>-2.0099999999999998</v>
      </c>
      <c r="H1483">
        <v>-2.0099999999999998</v>
      </c>
      <c r="J1483" s="5">
        <f>ABS(F1483-G1483)/ABS(F1483)</f>
        <v>0</v>
      </c>
      <c r="K1483" s="5">
        <f>ABS(G1483-H1483)/ABS(G1483)</f>
        <v>0</v>
      </c>
    </row>
    <row r="1484" spans="3:11" x14ac:dyDescent="0.2">
      <c r="C1484" t="s">
        <v>2315</v>
      </c>
      <c r="D1484" t="b">
        <f ca="1">IF(CELL("format",F1484)="G",IF(ABS(F1484-G1484) &lt;= ABS(F1484*B$3),TRUE,FALSE),IF(F1484=G1484,TRUE,FALSE))</f>
        <v>1</v>
      </c>
      <c r="E1484" s="5">
        <f>ABS(F1484-G1484)/ABS(F1484)</f>
        <v>0</v>
      </c>
      <c r="F1484">
        <v>-1.9</v>
      </c>
      <c r="G1484">
        <v>-1.9</v>
      </c>
      <c r="H1484">
        <v>-1.9</v>
      </c>
      <c r="J1484" s="5">
        <f>ABS(F1484-G1484)/ABS(F1484)</f>
        <v>0</v>
      </c>
      <c r="K1484" s="5">
        <f>ABS(G1484-H1484)/ABS(G1484)</f>
        <v>0</v>
      </c>
    </row>
    <row r="1485" spans="3:11" x14ac:dyDescent="0.2">
      <c r="C1485" t="s">
        <v>2316</v>
      </c>
      <c r="D1485" t="b">
        <f ca="1">IF(CELL("format",F1485)="G",IF(ABS(F1485-G1485) &lt;= ABS(F1485*B$3),TRUE,FALSE),IF(F1485=G1485,TRUE,FALSE))</f>
        <v>1</v>
      </c>
      <c r="E1485" s="5">
        <f>ABS(F1485-G1485)/ABS(F1485)</f>
        <v>0</v>
      </c>
      <c r="F1485">
        <v>-1.69</v>
      </c>
      <c r="G1485">
        <v>-1.69</v>
      </c>
      <c r="H1485">
        <v>-1.69</v>
      </c>
      <c r="J1485" s="5">
        <f>ABS(F1485-G1485)/ABS(F1485)</f>
        <v>0</v>
      </c>
      <c r="K1485" s="5">
        <f>ABS(G1485-H1485)/ABS(G1485)</f>
        <v>0</v>
      </c>
    </row>
    <row r="1486" spans="3:11" x14ac:dyDescent="0.2">
      <c r="C1486" t="s">
        <v>2317</v>
      </c>
      <c r="D1486" t="b">
        <f ca="1">IF(CELL("format",F1486)="G",IF(ABS(F1486-G1486) &lt;= ABS(F1486*B$3),TRUE,FALSE),IF(F1486=G1486,TRUE,FALSE))</f>
        <v>1</v>
      </c>
      <c r="E1486" s="5">
        <f>ABS(F1486-G1486)/ABS(F1486)</f>
        <v>0</v>
      </c>
      <c r="F1486">
        <v>-1.41</v>
      </c>
      <c r="G1486">
        <v>-1.41</v>
      </c>
      <c r="H1486">
        <v>-1.41</v>
      </c>
      <c r="J1486" s="5">
        <f>ABS(F1486-G1486)/ABS(F1486)</f>
        <v>0</v>
      </c>
      <c r="K1486" s="5">
        <f>ABS(G1486-H1486)/ABS(G1486)</f>
        <v>0</v>
      </c>
    </row>
    <row r="1487" spans="3:11" x14ac:dyDescent="0.2">
      <c r="C1487" t="s">
        <v>2318</v>
      </c>
      <c r="D1487" t="b">
        <f ca="1">IF(CELL("format",F1487)="G",IF(ABS(F1487-G1487) &lt;= ABS(F1487*B$3),TRUE,FALSE),IF(F1487=G1487,TRUE,FALSE))</f>
        <v>1</v>
      </c>
      <c r="E1487" s="5">
        <f>ABS(F1487-G1487)/ABS(F1487)</f>
        <v>0</v>
      </c>
      <c r="F1487">
        <v>-1.1399999999999999</v>
      </c>
      <c r="G1487">
        <v>-1.1399999999999999</v>
      </c>
      <c r="H1487">
        <v>-1.1399999999999999</v>
      </c>
      <c r="J1487" s="5">
        <f>ABS(F1487-G1487)/ABS(F1487)</f>
        <v>0</v>
      </c>
      <c r="K1487" s="5">
        <f>ABS(G1487-H1487)/ABS(G1487)</f>
        <v>0</v>
      </c>
    </row>
    <row r="1488" spans="3:11" x14ac:dyDescent="0.2">
      <c r="C1488" t="s">
        <v>2319</v>
      </c>
      <c r="D1488" t="b">
        <f ca="1">IF(CELL("format",F1488)="G",IF(ABS(F1488-G1488) &lt;= ABS(F1488*B$3),TRUE,FALSE),IF(F1488=G1488,TRUE,FALSE))</f>
        <v>1</v>
      </c>
      <c r="E1488" s="5">
        <f>ABS(F1488-G1488)/ABS(F1488)</f>
        <v>0</v>
      </c>
      <c r="F1488">
        <v>-0.85</v>
      </c>
      <c r="G1488">
        <v>-0.85</v>
      </c>
      <c r="H1488">
        <v>-0.85</v>
      </c>
      <c r="J1488" s="5">
        <f>ABS(F1488-G1488)/ABS(F1488)</f>
        <v>0</v>
      </c>
      <c r="K1488" s="5">
        <f>ABS(G1488-H1488)/ABS(G1488)</f>
        <v>0</v>
      </c>
    </row>
    <row r="1489" spans="3:11" x14ac:dyDescent="0.2">
      <c r="C1489" t="s">
        <v>2320</v>
      </c>
      <c r="D1489" t="b">
        <f ca="1">IF(CELL("format",F1489)="G",IF(ABS(F1489-G1489) &lt;= ABS(F1489*B$3),TRUE,FALSE),IF(F1489=G1489,TRUE,FALSE))</f>
        <v>1</v>
      </c>
      <c r="E1489" s="5">
        <f>ABS(F1489-G1489)/ABS(F1489)</f>
        <v>0</v>
      </c>
      <c r="F1489">
        <v>-0.52</v>
      </c>
      <c r="G1489">
        <v>-0.52</v>
      </c>
      <c r="H1489">
        <v>-0.52</v>
      </c>
      <c r="J1489" s="5">
        <f>ABS(F1489-G1489)/ABS(F1489)</f>
        <v>0</v>
      </c>
      <c r="K1489" s="5">
        <f>ABS(G1489-H1489)/ABS(G1489)</f>
        <v>0</v>
      </c>
    </row>
    <row r="1490" spans="3:11" x14ac:dyDescent="0.2">
      <c r="C1490" t="s">
        <v>2321</v>
      </c>
      <c r="D1490" t="b">
        <f ca="1">IF(CELL("format",F1490)="G",IF(ABS(F1490-G1490) &lt;= ABS(F1490*B$3),TRUE,FALSE),IF(F1490=G1490,TRUE,FALSE))</f>
        <v>1</v>
      </c>
      <c r="E1490" s="5">
        <f>ABS(F1490-G1490)/ABS(F1490)</f>
        <v>0</v>
      </c>
      <c r="F1490">
        <v>-0.24</v>
      </c>
      <c r="G1490">
        <v>-0.24</v>
      </c>
      <c r="H1490">
        <v>-0.24</v>
      </c>
      <c r="J1490" s="5">
        <f>ABS(F1490-G1490)/ABS(F1490)</f>
        <v>0</v>
      </c>
      <c r="K1490" s="5">
        <f>ABS(G1490-H1490)/ABS(G1490)</f>
        <v>0</v>
      </c>
    </row>
    <row r="1491" spans="3:11" x14ac:dyDescent="0.2">
      <c r="C1491" t="s">
        <v>2322</v>
      </c>
      <c r="D1491" t="b">
        <f ca="1">IF(CELL("format",F1491)="G",IF(ABS(F1491-G1491) &lt;= ABS(F1491*B$3),TRUE,FALSE),IF(F1491=G1491,TRUE,FALSE))</f>
        <v>1</v>
      </c>
      <c r="E1491" s="5">
        <f>ABS(F1491-G1491)/ABS(F1491)</f>
        <v>0</v>
      </c>
      <c r="F1491">
        <v>-0.08</v>
      </c>
      <c r="G1491">
        <v>-0.08</v>
      </c>
      <c r="H1491">
        <v>-0.08</v>
      </c>
      <c r="J1491" s="5">
        <f>ABS(F1491-G1491)/ABS(F1491)</f>
        <v>0</v>
      </c>
      <c r="K1491" s="5">
        <f>ABS(G1491-H1491)/ABS(G1491)</f>
        <v>0</v>
      </c>
    </row>
    <row r="1492" spans="3:11" x14ac:dyDescent="0.2">
      <c r="C1492" t="s">
        <v>2323</v>
      </c>
      <c r="D1492" t="b">
        <f ca="1">IF(CELL("format",F1492)="G",IF(ABS(F1492-G1492) &lt;= ABS(F1492*B$3),TRUE,FALSE),IF(F1492=G1492,TRUE,FALSE))</f>
        <v>1</v>
      </c>
      <c r="E1492" s="5">
        <f>ABS(F1492-G1492)/ABS(F1492)</f>
        <v>0</v>
      </c>
      <c r="F1492">
        <v>-0.01</v>
      </c>
      <c r="G1492">
        <v>-0.01</v>
      </c>
      <c r="H1492">
        <v>-0.01</v>
      </c>
      <c r="J1492" s="5">
        <f>ABS(F1492-G1492)/ABS(F1492)</f>
        <v>0</v>
      </c>
      <c r="K1492" s="5">
        <f>ABS(G1492-H1492)/ABS(G1492)</f>
        <v>0</v>
      </c>
    </row>
    <row r="1493" spans="3:11" x14ac:dyDescent="0.2">
      <c r="C1493" t="s">
        <v>2324</v>
      </c>
      <c r="D1493" t="b">
        <f ca="1">IF(CELL("format",F1493)="G",IF(ABS(F1493-G1493) &lt;= ABS(F1493*B$3),TRUE,FALSE),IF(F1493=G1493,TRUE,FALSE))</f>
        <v>1</v>
      </c>
      <c r="E1493" s="5" t="e">
        <f>ABS(F1493-G1493)/ABS(F1493)</f>
        <v>#DIV/0!</v>
      </c>
      <c r="F1493">
        <v>0</v>
      </c>
      <c r="G1493">
        <v>0</v>
      </c>
      <c r="H1493">
        <v>0</v>
      </c>
      <c r="J1493" s="5" t="e">
        <f>ABS(F1493-G1493)/ABS(F1493)</f>
        <v>#DIV/0!</v>
      </c>
      <c r="K1493" s="5" t="e">
        <f>ABS(G1493-H1493)/ABS(G1493)</f>
        <v>#DIV/0!</v>
      </c>
    </row>
    <row r="1494" spans="3:11" x14ac:dyDescent="0.2">
      <c r="C1494" t="s">
        <v>2301</v>
      </c>
      <c r="D1494" t="b">
        <f ca="1">IF(CELL("format",F1494)="G",IF(ABS(F1494-G1494) &lt;= ABS(F1494*B$3),TRUE,FALSE),IF(F1494=G1494,TRUE,FALSE))</f>
        <v>1</v>
      </c>
      <c r="E1494" s="5" t="e">
        <f>ABS(F1494-G1494)/ABS(F1494)</f>
        <v>#DIV/0!</v>
      </c>
      <c r="F1494">
        <v>0</v>
      </c>
      <c r="G1494">
        <v>0</v>
      </c>
      <c r="H1494">
        <v>0</v>
      </c>
      <c r="J1494" s="5" t="e">
        <f>ABS(F1494-G1494)/ABS(F1494)</f>
        <v>#DIV/0!</v>
      </c>
      <c r="K1494" s="5" t="e">
        <f>ABS(G1494-H1494)/ABS(G1494)</f>
        <v>#DIV/0!</v>
      </c>
    </row>
    <row r="1495" spans="3:11" x14ac:dyDescent="0.2">
      <c r="C1495" t="s">
        <v>2302</v>
      </c>
      <c r="D1495" t="b">
        <f ca="1">IF(CELL("format",F1495)="G",IF(ABS(F1495-G1495) &lt;= ABS(F1495*B$3),TRUE,FALSE),IF(F1495=G1495,TRUE,FALSE))</f>
        <v>1</v>
      </c>
      <c r="E1495" s="5" t="e">
        <f>ABS(F1495-G1495)/ABS(F1495)</f>
        <v>#DIV/0!</v>
      </c>
      <c r="F1495">
        <v>0</v>
      </c>
      <c r="G1495">
        <v>0</v>
      </c>
      <c r="H1495">
        <v>0</v>
      </c>
      <c r="J1495" s="5" t="e">
        <f>ABS(F1495-G1495)/ABS(F1495)</f>
        <v>#DIV/0!</v>
      </c>
      <c r="K1495" s="5" t="e">
        <f>ABS(G1495-H1495)/ABS(G1495)</f>
        <v>#DIV/0!</v>
      </c>
    </row>
    <row r="1496" spans="3:11" x14ac:dyDescent="0.2">
      <c r="C1496" t="s">
        <v>2303</v>
      </c>
      <c r="D1496" t="b">
        <f ca="1">IF(CELL("format",F1496)="G",IF(ABS(F1496-G1496) &lt;= ABS(F1496*B$3),TRUE,FALSE),IF(F1496=G1496,TRUE,FALSE))</f>
        <v>1</v>
      </c>
      <c r="E1496" s="5" t="e">
        <f>ABS(F1496-G1496)/ABS(F1496)</f>
        <v>#DIV/0!</v>
      </c>
      <c r="F1496">
        <v>0</v>
      </c>
      <c r="G1496">
        <v>0</v>
      </c>
      <c r="H1496">
        <v>0</v>
      </c>
      <c r="J1496" s="5" t="e">
        <f>ABS(F1496-G1496)/ABS(F1496)</f>
        <v>#DIV/0!</v>
      </c>
      <c r="K1496" s="5" t="e">
        <f>ABS(G1496-H1496)/ABS(G1496)</f>
        <v>#DIV/0!</v>
      </c>
    </row>
    <row r="1497" spans="3:11" x14ac:dyDescent="0.2">
      <c r="C1497" t="s">
        <v>2304</v>
      </c>
      <c r="D1497" t="b">
        <f ca="1">IF(CELL("format",F1497)="G",IF(ABS(F1497-G1497) &lt;= ABS(F1497*B$3),TRUE,FALSE),IF(F1497=G1497,TRUE,FALSE))</f>
        <v>1</v>
      </c>
      <c r="E1497" s="5" t="e">
        <f>ABS(F1497-G1497)/ABS(F1497)</f>
        <v>#DIV/0!</v>
      </c>
      <c r="F1497">
        <v>0</v>
      </c>
      <c r="G1497">
        <v>0</v>
      </c>
      <c r="H1497">
        <v>0</v>
      </c>
      <c r="J1497" s="5" t="e">
        <f>ABS(F1497-G1497)/ABS(F1497)</f>
        <v>#DIV/0!</v>
      </c>
      <c r="K1497" s="5" t="e">
        <f>ABS(G1497-H1497)/ABS(G1497)</f>
        <v>#DIV/0!</v>
      </c>
    </row>
    <row r="1498" spans="3:11" x14ac:dyDescent="0.2">
      <c r="C1498" t="s">
        <v>2305</v>
      </c>
      <c r="D1498" t="b">
        <f ca="1">IF(CELL("format",F1498)="G",IF(ABS(F1498-G1498) &lt;= ABS(F1498*B$3),TRUE,FALSE),IF(F1498=G1498,TRUE,FALSE))</f>
        <v>1</v>
      </c>
      <c r="E1498" s="5">
        <f>ABS(F1498-G1498)/ABS(F1498)</f>
        <v>0</v>
      </c>
      <c r="F1498">
        <v>0.12</v>
      </c>
      <c r="G1498">
        <v>0.12</v>
      </c>
      <c r="H1498">
        <v>0.12</v>
      </c>
      <c r="J1498" s="5">
        <f>ABS(F1498-G1498)/ABS(F1498)</f>
        <v>0</v>
      </c>
      <c r="K1498" s="5">
        <f>ABS(G1498-H1498)/ABS(G1498)</f>
        <v>0</v>
      </c>
    </row>
    <row r="1499" spans="3:11" x14ac:dyDescent="0.2">
      <c r="C1499" t="s">
        <v>2306</v>
      </c>
      <c r="D1499" t="b">
        <f ca="1">IF(CELL("format",F1499)="G",IF(ABS(F1499-G1499) &lt;= ABS(F1499*B$3),TRUE,FALSE),IF(F1499=G1499,TRUE,FALSE))</f>
        <v>1</v>
      </c>
      <c r="E1499" s="5">
        <f>ABS(F1499-G1499)/ABS(F1499)</f>
        <v>0</v>
      </c>
      <c r="F1499">
        <v>0.1</v>
      </c>
      <c r="G1499">
        <v>0.1</v>
      </c>
      <c r="H1499">
        <v>0.1</v>
      </c>
      <c r="J1499" s="5">
        <f>ABS(F1499-G1499)/ABS(F1499)</f>
        <v>0</v>
      </c>
      <c r="K1499" s="5">
        <f>ABS(G1499-H1499)/ABS(G1499)</f>
        <v>0</v>
      </c>
    </row>
    <row r="1500" spans="3:11" x14ac:dyDescent="0.2">
      <c r="C1500" t="s">
        <v>2307</v>
      </c>
      <c r="D1500" t="b">
        <f ca="1">IF(CELL("format",F1500)="G",IF(ABS(F1500-G1500) &lt;= ABS(F1500*B$3),TRUE,FALSE),IF(F1500=G1500,TRUE,FALSE))</f>
        <v>1</v>
      </c>
      <c r="E1500" s="5" t="e">
        <f>ABS(F1500-G1500)/ABS(F1500)</f>
        <v>#DIV/0!</v>
      </c>
      <c r="F1500">
        <v>0</v>
      </c>
      <c r="G1500">
        <v>0</v>
      </c>
      <c r="H1500">
        <v>0</v>
      </c>
      <c r="J1500" s="5" t="e">
        <f>ABS(F1500-G1500)/ABS(F1500)</f>
        <v>#DIV/0!</v>
      </c>
      <c r="K1500" s="5" t="e">
        <f>ABS(G1500-H1500)/ABS(G1500)</f>
        <v>#DIV/0!</v>
      </c>
    </row>
    <row r="1501" spans="3:11" x14ac:dyDescent="0.2">
      <c r="C1501" t="s">
        <v>2308</v>
      </c>
      <c r="D1501" t="b">
        <f ca="1">IF(CELL("format",F1501)="G",IF(ABS(F1501-G1501) &lt;= ABS(F1501*B$3),TRUE,FALSE),IF(F1501=G1501,TRUE,FALSE))</f>
        <v>1</v>
      </c>
      <c r="E1501" s="5" t="e">
        <f>ABS(F1501-G1501)/ABS(F1501)</f>
        <v>#DIV/0!</v>
      </c>
      <c r="F1501">
        <v>0</v>
      </c>
      <c r="G1501">
        <v>0</v>
      </c>
      <c r="H1501">
        <v>0</v>
      </c>
      <c r="J1501" s="5" t="e">
        <f>ABS(F1501-G1501)/ABS(F1501)</f>
        <v>#DIV/0!</v>
      </c>
      <c r="K1501" s="5" t="e">
        <f>ABS(G1501-H1501)/ABS(G1501)</f>
        <v>#DIV/0!</v>
      </c>
    </row>
    <row r="1502" spans="3:11" x14ac:dyDescent="0.2">
      <c r="C1502" t="s">
        <v>2309</v>
      </c>
      <c r="D1502" t="b">
        <f ca="1">IF(CELL("format",F1502)="G",IF(ABS(F1502-G1502) &lt;= ABS(F1502*B$3),TRUE,FALSE),IF(F1502=G1502,TRUE,FALSE))</f>
        <v>1</v>
      </c>
      <c r="E1502" s="5" t="e">
        <f>ABS(F1502-G1502)/ABS(F1502)</f>
        <v>#DIV/0!</v>
      </c>
      <c r="F1502">
        <v>0</v>
      </c>
      <c r="G1502">
        <v>0</v>
      </c>
      <c r="H1502">
        <v>0</v>
      </c>
      <c r="J1502" s="5" t="e">
        <f>ABS(F1502-G1502)/ABS(F1502)</f>
        <v>#DIV/0!</v>
      </c>
      <c r="K1502" s="5" t="e">
        <f>ABS(G1502-H1502)/ABS(G1502)</f>
        <v>#DIV/0!</v>
      </c>
    </row>
    <row r="1503" spans="3:11" x14ac:dyDescent="0.2">
      <c r="C1503" t="s">
        <v>2310</v>
      </c>
      <c r="D1503" t="b">
        <f ca="1">IF(CELL("format",F1503)="G",IF(ABS(F1503-G1503) &lt;= ABS(F1503*B$3),TRUE,FALSE),IF(F1503=G1503,TRUE,FALSE))</f>
        <v>1</v>
      </c>
      <c r="E1503" s="5">
        <f>ABS(F1503-G1503)/ABS(F1503)</f>
        <v>0</v>
      </c>
      <c r="F1503">
        <v>-0.43</v>
      </c>
      <c r="G1503">
        <v>-0.43</v>
      </c>
      <c r="H1503">
        <v>-0.43</v>
      </c>
      <c r="J1503" s="5">
        <f>ABS(F1503-G1503)/ABS(F1503)</f>
        <v>0</v>
      </c>
      <c r="K1503" s="5">
        <f>ABS(G1503-H1503)/ABS(G1503)</f>
        <v>0</v>
      </c>
    </row>
    <row r="1504" spans="3:11" x14ac:dyDescent="0.2">
      <c r="C1504" t="s">
        <v>2311</v>
      </c>
      <c r="D1504" t="b">
        <f ca="1">IF(CELL("format",F1504)="G",IF(ABS(F1504-G1504) &lt;= ABS(F1504*B$3),TRUE,FALSE),IF(F1504=G1504,TRUE,FALSE))</f>
        <v>1</v>
      </c>
      <c r="E1504" s="5">
        <f>ABS(F1504-G1504)/ABS(F1504)</f>
        <v>0</v>
      </c>
      <c r="F1504">
        <v>-1.76</v>
      </c>
      <c r="G1504">
        <v>-1.76</v>
      </c>
      <c r="H1504">
        <v>-1.76</v>
      </c>
      <c r="J1504" s="5">
        <f>ABS(F1504-G1504)/ABS(F1504)</f>
        <v>0</v>
      </c>
      <c r="K1504" s="5">
        <f>ABS(G1504-H1504)/ABS(G1504)</f>
        <v>0</v>
      </c>
    </row>
    <row r="1505" spans="3:11" x14ac:dyDescent="0.2">
      <c r="C1505" t="s">
        <v>2312</v>
      </c>
      <c r="D1505" t="b">
        <f ca="1">IF(CELL("format",F1505)="G",IF(ABS(F1505-G1505) &lt;= ABS(F1505*B$3),TRUE,FALSE),IF(F1505=G1505,TRUE,FALSE))</f>
        <v>1</v>
      </c>
      <c r="E1505" s="5">
        <f>ABS(F1505-G1505)/ABS(F1505)</f>
        <v>0</v>
      </c>
      <c r="F1505">
        <v>-2.89</v>
      </c>
      <c r="G1505">
        <v>-2.89</v>
      </c>
      <c r="H1505">
        <v>-2.89</v>
      </c>
      <c r="J1505" s="5">
        <f>ABS(F1505-G1505)/ABS(F1505)</f>
        <v>0</v>
      </c>
      <c r="K1505" s="5">
        <f>ABS(G1505-H1505)/ABS(G1505)</f>
        <v>0</v>
      </c>
    </row>
    <row r="1506" spans="3:11" x14ac:dyDescent="0.2">
      <c r="C1506" t="s">
        <v>2313</v>
      </c>
      <c r="D1506" t="b">
        <f ca="1">IF(CELL("format",F1506)="G",IF(ABS(F1506-G1506) &lt;= ABS(F1506*B$3),TRUE,FALSE),IF(F1506=G1506,TRUE,FALSE))</f>
        <v>1</v>
      </c>
      <c r="E1506" s="5">
        <f>ABS(F1506-G1506)/ABS(F1506)</f>
        <v>0</v>
      </c>
      <c r="F1506">
        <v>-3.38</v>
      </c>
      <c r="G1506">
        <v>-3.38</v>
      </c>
      <c r="H1506">
        <v>-3.38</v>
      </c>
      <c r="J1506" s="5">
        <f>ABS(F1506-G1506)/ABS(F1506)</f>
        <v>0</v>
      </c>
      <c r="K1506" s="5">
        <f>ABS(G1506-H1506)/ABS(G1506)</f>
        <v>0</v>
      </c>
    </row>
    <row r="1507" spans="3:11" x14ac:dyDescent="0.2">
      <c r="C1507" t="s">
        <v>2314</v>
      </c>
      <c r="D1507" t="b">
        <f ca="1">IF(CELL("format",F1507)="G",IF(ABS(F1507-G1507) &lt;= ABS(F1507*B$3),TRUE,FALSE),IF(F1507=G1507,TRUE,FALSE))</f>
        <v>1</v>
      </c>
      <c r="E1507" s="5">
        <f>ABS(F1507-G1507)/ABS(F1507)</f>
        <v>0</v>
      </c>
      <c r="F1507">
        <v>-3.45</v>
      </c>
      <c r="G1507">
        <v>-3.45</v>
      </c>
      <c r="H1507">
        <v>-3.45</v>
      </c>
      <c r="J1507" s="5">
        <f>ABS(F1507-G1507)/ABS(F1507)</f>
        <v>0</v>
      </c>
      <c r="K1507" s="5">
        <f>ABS(G1507-H1507)/ABS(G1507)</f>
        <v>0</v>
      </c>
    </row>
    <row r="1508" spans="3:11" x14ac:dyDescent="0.2">
      <c r="C1508" t="s">
        <v>2315</v>
      </c>
      <c r="D1508" t="b">
        <f ca="1">IF(CELL("format",F1508)="G",IF(ABS(F1508-G1508) &lt;= ABS(F1508*B$3),TRUE,FALSE),IF(F1508=G1508,TRUE,FALSE))</f>
        <v>1</v>
      </c>
      <c r="E1508" s="5">
        <f>ABS(F1508-G1508)/ABS(F1508)</f>
        <v>0</v>
      </c>
      <c r="F1508">
        <v>-3.11</v>
      </c>
      <c r="G1508">
        <v>-3.11</v>
      </c>
      <c r="H1508">
        <v>-3.11</v>
      </c>
      <c r="J1508" s="5">
        <f>ABS(F1508-G1508)/ABS(F1508)</f>
        <v>0</v>
      </c>
      <c r="K1508" s="5">
        <f>ABS(G1508-H1508)/ABS(G1508)</f>
        <v>0</v>
      </c>
    </row>
    <row r="1509" spans="3:11" x14ac:dyDescent="0.2">
      <c r="C1509" t="s">
        <v>2316</v>
      </c>
      <c r="D1509" t="b">
        <f ca="1">IF(CELL("format",F1509)="G",IF(ABS(F1509-G1509) &lt;= ABS(F1509*B$3),TRUE,FALSE),IF(F1509=G1509,TRUE,FALSE))</f>
        <v>1</v>
      </c>
      <c r="E1509" s="5">
        <f>ABS(F1509-G1509)/ABS(F1509)</f>
        <v>0</v>
      </c>
      <c r="F1509">
        <v>-2.5299999999999998</v>
      </c>
      <c r="G1509">
        <v>-2.5299999999999998</v>
      </c>
      <c r="H1509">
        <v>-2.5299999999999998</v>
      </c>
      <c r="J1509" s="5">
        <f>ABS(F1509-G1509)/ABS(F1509)</f>
        <v>0</v>
      </c>
      <c r="K1509" s="5">
        <f>ABS(G1509-H1509)/ABS(G1509)</f>
        <v>0</v>
      </c>
    </row>
    <row r="1510" spans="3:11" x14ac:dyDescent="0.2">
      <c r="C1510" t="s">
        <v>2317</v>
      </c>
      <c r="D1510" t="b">
        <f ca="1">IF(CELL("format",F1510)="G",IF(ABS(F1510-G1510) &lt;= ABS(F1510*B$3),TRUE,FALSE),IF(F1510=G1510,TRUE,FALSE))</f>
        <v>1</v>
      </c>
      <c r="E1510" s="5">
        <f>ABS(F1510-G1510)/ABS(F1510)</f>
        <v>0</v>
      </c>
      <c r="F1510">
        <v>-1.94</v>
      </c>
      <c r="G1510">
        <v>-1.94</v>
      </c>
      <c r="H1510">
        <v>-1.94</v>
      </c>
      <c r="J1510" s="5">
        <f>ABS(F1510-G1510)/ABS(F1510)</f>
        <v>0</v>
      </c>
      <c r="K1510" s="5">
        <f>ABS(G1510-H1510)/ABS(G1510)</f>
        <v>0</v>
      </c>
    </row>
    <row r="1511" spans="3:11" x14ac:dyDescent="0.2">
      <c r="C1511" t="s">
        <v>2318</v>
      </c>
      <c r="D1511" t="b">
        <f ca="1">IF(CELL("format",F1511)="G",IF(ABS(F1511-G1511) &lt;= ABS(F1511*B$3),TRUE,FALSE),IF(F1511=G1511,TRUE,FALSE))</f>
        <v>1</v>
      </c>
      <c r="E1511" s="5">
        <f>ABS(F1511-G1511)/ABS(F1511)</f>
        <v>0</v>
      </c>
      <c r="F1511">
        <v>-1.46</v>
      </c>
      <c r="G1511">
        <v>-1.46</v>
      </c>
      <c r="H1511">
        <v>-1.46</v>
      </c>
      <c r="J1511" s="5">
        <f>ABS(F1511-G1511)/ABS(F1511)</f>
        <v>0</v>
      </c>
      <c r="K1511" s="5">
        <f>ABS(G1511-H1511)/ABS(G1511)</f>
        <v>0</v>
      </c>
    </row>
    <row r="1512" spans="3:11" x14ac:dyDescent="0.2">
      <c r="C1512" t="s">
        <v>2319</v>
      </c>
      <c r="D1512" t="b">
        <f ca="1">IF(CELL("format",F1512)="G",IF(ABS(F1512-G1512) &lt;= ABS(F1512*B$3),TRUE,FALSE),IF(F1512=G1512,TRUE,FALSE))</f>
        <v>1</v>
      </c>
      <c r="E1512" s="5">
        <f>ABS(F1512-G1512)/ABS(F1512)</f>
        <v>0</v>
      </c>
      <c r="F1512">
        <v>-1.02</v>
      </c>
      <c r="G1512">
        <v>-1.02</v>
      </c>
      <c r="H1512">
        <v>-1.02</v>
      </c>
      <c r="J1512" s="5">
        <f>ABS(F1512-G1512)/ABS(F1512)</f>
        <v>0</v>
      </c>
      <c r="K1512" s="5">
        <f>ABS(G1512-H1512)/ABS(G1512)</f>
        <v>0</v>
      </c>
    </row>
    <row r="1513" spans="3:11" x14ac:dyDescent="0.2">
      <c r="C1513" t="s">
        <v>2320</v>
      </c>
      <c r="D1513" t="b">
        <f ca="1">IF(CELL("format",F1513)="G",IF(ABS(F1513-G1513) &lt;= ABS(F1513*B$3),TRUE,FALSE),IF(F1513=G1513,TRUE,FALSE))</f>
        <v>1</v>
      </c>
      <c r="E1513" s="5">
        <f>ABS(F1513-G1513)/ABS(F1513)</f>
        <v>0</v>
      </c>
      <c r="F1513">
        <v>-0.55000000000000004</v>
      </c>
      <c r="G1513">
        <v>-0.55000000000000004</v>
      </c>
      <c r="H1513">
        <v>-0.55000000000000004</v>
      </c>
      <c r="J1513" s="5">
        <f>ABS(F1513-G1513)/ABS(F1513)</f>
        <v>0</v>
      </c>
      <c r="K1513" s="5">
        <f>ABS(G1513-H1513)/ABS(G1513)</f>
        <v>0</v>
      </c>
    </row>
    <row r="1514" spans="3:11" x14ac:dyDescent="0.2">
      <c r="C1514" t="s">
        <v>2321</v>
      </c>
      <c r="D1514" t="b">
        <f ca="1">IF(CELL("format",F1514)="G",IF(ABS(F1514-G1514) &lt;= ABS(F1514*B$3),TRUE,FALSE),IF(F1514=G1514,TRUE,FALSE))</f>
        <v>1</v>
      </c>
      <c r="E1514" s="5">
        <f>ABS(F1514-G1514)/ABS(F1514)</f>
        <v>0</v>
      </c>
      <c r="F1514">
        <v>-0.18</v>
      </c>
      <c r="G1514">
        <v>-0.18</v>
      </c>
      <c r="H1514">
        <v>-0.18</v>
      </c>
      <c r="J1514" s="5">
        <f>ABS(F1514-G1514)/ABS(F1514)</f>
        <v>0</v>
      </c>
      <c r="K1514" s="5">
        <f>ABS(G1514-H1514)/ABS(G1514)</f>
        <v>0</v>
      </c>
    </row>
    <row r="1515" spans="3:11" x14ac:dyDescent="0.2">
      <c r="C1515" t="s">
        <v>2322</v>
      </c>
      <c r="D1515" t="b">
        <f ca="1">IF(CELL("format",F1515)="G",IF(ABS(F1515-G1515) &lt;= ABS(F1515*B$3),TRUE,FALSE),IF(F1515=G1515,TRUE,FALSE))</f>
        <v>1</v>
      </c>
      <c r="E1515" s="5">
        <f>ABS(F1515-G1515)/ABS(F1515)</f>
        <v>0</v>
      </c>
      <c r="F1515">
        <v>-0.01</v>
      </c>
      <c r="G1515">
        <v>-0.01</v>
      </c>
      <c r="H1515">
        <v>-0.01</v>
      </c>
      <c r="J1515" s="5">
        <f>ABS(F1515-G1515)/ABS(F1515)</f>
        <v>0</v>
      </c>
      <c r="K1515" s="5">
        <f>ABS(G1515-H1515)/ABS(G1515)</f>
        <v>0</v>
      </c>
    </row>
    <row r="1516" spans="3:11" x14ac:dyDescent="0.2">
      <c r="C1516" t="s">
        <v>2323</v>
      </c>
      <c r="D1516" t="b">
        <f ca="1">IF(CELL("format",F1516)="G",IF(ABS(F1516-G1516) &lt;= ABS(F1516*B$3),TRUE,FALSE),IF(F1516=G1516,TRUE,FALSE))</f>
        <v>1</v>
      </c>
      <c r="E1516" s="5" t="e">
        <f>ABS(F1516-G1516)/ABS(F1516)</f>
        <v>#DIV/0!</v>
      </c>
      <c r="F1516">
        <v>0</v>
      </c>
      <c r="G1516">
        <v>0</v>
      </c>
      <c r="H1516">
        <v>0</v>
      </c>
      <c r="J1516" s="5" t="e">
        <f>ABS(F1516-G1516)/ABS(F1516)</f>
        <v>#DIV/0!</v>
      </c>
      <c r="K1516" s="5" t="e">
        <f>ABS(G1516-H1516)/ABS(G1516)</f>
        <v>#DIV/0!</v>
      </c>
    </row>
    <row r="1517" spans="3:11" x14ac:dyDescent="0.2">
      <c r="C1517" t="s">
        <v>2324</v>
      </c>
      <c r="D1517" t="b">
        <f ca="1">IF(CELL("format",F1517)="G",IF(ABS(F1517-G1517) &lt;= ABS(F1517*B$3),TRUE,FALSE),IF(F1517=G1517,TRUE,FALSE))</f>
        <v>1</v>
      </c>
      <c r="E1517" s="5" t="e">
        <f>ABS(F1517-G1517)/ABS(F1517)</f>
        <v>#DIV/0!</v>
      </c>
      <c r="F1517">
        <v>0</v>
      </c>
      <c r="G1517">
        <v>0</v>
      </c>
      <c r="H1517">
        <v>0</v>
      </c>
      <c r="J1517" s="5" t="e">
        <f>ABS(F1517-G1517)/ABS(F1517)</f>
        <v>#DIV/0!</v>
      </c>
      <c r="K1517" s="5" t="e">
        <f>ABS(G1517-H1517)/ABS(G1517)</f>
        <v>#DIV/0!</v>
      </c>
    </row>
    <row r="1518" spans="3:11" x14ac:dyDescent="0.2">
      <c r="C1518" t="s">
        <v>2301</v>
      </c>
      <c r="D1518" t="b">
        <f ca="1">IF(CELL("format",F1518)="G",IF(ABS(F1518-G1518) &lt;= ABS(F1518*B$3),TRUE,FALSE),IF(F1518=G1518,TRUE,FALSE))</f>
        <v>1</v>
      </c>
      <c r="E1518" s="5" t="e">
        <f>ABS(F1518-G1518)/ABS(F1518)</f>
        <v>#DIV/0!</v>
      </c>
      <c r="F1518">
        <v>0</v>
      </c>
      <c r="G1518">
        <v>0</v>
      </c>
      <c r="H1518">
        <v>0</v>
      </c>
      <c r="J1518" s="5" t="e">
        <f>ABS(F1518-G1518)/ABS(F1518)</f>
        <v>#DIV/0!</v>
      </c>
      <c r="K1518" s="5" t="e">
        <f>ABS(G1518-H1518)/ABS(G1518)</f>
        <v>#DIV/0!</v>
      </c>
    </row>
    <row r="1519" spans="3:11" x14ac:dyDescent="0.2">
      <c r="C1519" t="s">
        <v>2302</v>
      </c>
      <c r="D1519" t="b">
        <f ca="1">IF(CELL("format",F1519)="G",IF(ABS(F1519-G1519) &lt;= ABS(F1519*B$3),TRUE,FALSE),IF(F1519=G1519,TRUE,FALSE))</f>
        <v>1</v>
      </c>
      <c r="E1519" s="5" t="e">
        <f>ABS(F1519-G1519)/ABS(F1519)</f>
        <v>#DIV/0!</v>
      </c>
      <c r="F1519">
        <v>0</v>
      </c>
      <c r="G1519">
        <v>0</v>
      </c>
      <c r="H1519">
        <v>0</v>
      </c>
      <c r="J1519" s="5" t="e">
        <f>ABS(F1519-G1519)/ABS(F1519)</f>
        <v>#DIV/0!</v>
      </c>
      <c r="K1519" s="5" t="e">
        <f>ABS(G1519-H1519)/ABS(G1519)</f>
        <v>#DIV/0!</v>
      </c>
    </row>
    <row r="1520" spans="3:11" x14ac:dyDescent="0.2">
      <c r="C1520" t="s">
        <v>2303</v>
      </c>
      <c r="D1520" t="b">
        <f ca="1">IF(CELL("format",F1520)="G",IF(ABS(F1520-G1520) &lt;= ABS(F1520*B$3),TRUE,FALSE),IF(F1520=G1520,TRUE,FALSE))</f>
        <v>1</v>
      </c>
      <c r="E1520" s="5" t="e">
        <f>ABS(F1520-G1520)/ABS(F1520)</f>
        <v>#DIV/0!</v>
      </c>
      <c r="F1520">
        <v>0</v>
      </c>
      <c r="G1520">
        <v>0</v>
      </c>
      <c r="H1520">
        <v>0</v>
      </c>
      <c r="J1520" s="5" t="e">
        <f>ABS(F1520-G1520)/ABS(F1520)</f>
        <v>#DIV/0!</v>
      </c>
      <c r="K1520" s="5" t="e">
        <f>ABS(G1520-H1520)/ABS(G1520)</f>
        <v>#DIV/0!</v>
      </c>
    </row>
    <row r="1521" spans="3:11" x14ac:dyDescent="0.2">
      <c r="C1521" t="s">
        <v>2304</v>
      </c>
      <c r="D1521" t="b">
        <f ca="1">IF(CELL("format",F1521)="G",IF(ABS(F1521-G1521) &lt;= ABS(F1521*B$3),TRUE,FALSE),IF(F1521=G1521,TRUE,FALSE))</f>
        <v>1</v>
      </c>
      <c r="E1521" s="5" t="e">
        <f>ABS(F1521-G1521)/ABS(F1521)</f>
        <v>#DIV/0!</v>
      </c>
      <c r="F1521">
        <v>0</v>
      </c>
      <c r="G1521">
        <v>0</v>
      </c>
      <c r="H1521">
        <v>0</v>
      </c>
      <c r="J1521" s="5" t="e">
        <f>ABS(F1521-G1521)/ABS(F1521)</f>
        <v>#DIV/0!</v>
      </c>
      <c r="K1521" s="5" t="e">
        <f>ABS(G1521-H1521)/ABS(G1521)</f>
        <v>#DIV/0!</v>
      </c>
    </row>
    <row r="1522" spans="3:11" x14ac:dyDescent="0.2">
      <c r="C1522" t="s">
        <v>2305</v>
      </c>
      <c r="D1522" t="b">
        <f ca="1">IF(CELL("format",F1522)="G",IF(ABS(F1522-G1522) &lt;= ABS(F1522*B$3),TRUE,FALSE),IF(F1522=G1522,TRUE,FALSE))</f>
        <v>1</v>
      </c>
      <c r="E1522" s="5" t="e">
        <f>ABS(F1522-G1522)/ABS(F1522)</f>
        <v>#DIV/0!</v>
      </c>
      <c r="F1522">
        <v>0</v>
      </c>
      <c r="G1522">
        <v>0</v>
      </c>
      <c r="H1522">
        <v>0</v>
      </c>
      <c r="J1522" s="5" t="e">
        <f>ABS(F1522-G1522)/ABS(F1522)</f>
        <v>#DIV/0!</v>
      </c>
      <c r="K1522" s="5" t="e">
        <f>ABS(G1522-H1522)/ABS(G1522)</f>
        <v>#DIV/0!</v>
      </c>
    </row>
    <row r="1523" spans="3:11" x14ac:dyDescent="0.2">
      <c r="C1523" t="s">
        <v>2306</v>
      </c>
      <c r="D1523" t="b">
        <f ca="1">IF(CELL("format",F1523)="G",IF(ABS(F1523-G1523) &lt;= ABS(F1523*B$3),TRUE,FALSE),IF(F1523=G1523,TRUE,FALSE))</f>
        <v>1</v>
      </c>
      <c r="E1523" s="5" t="e">
        <f>ABS(F1523-G1523)/ABS(F1523)</f>
        <v>#DIV/0!</v>
      </c>
      <c r="F1523">
        <v>0</v>
      </c>
      <c r="G1523">
        <v>0</v>
      </c>
      <c r="H1523">
        <v>0</v>
      </c>
      <c r="J1523" s="5" t="e">
        <f>ABS(F1523-G1523)/ABS(F1523)</f>
        <v>#DIV/0!</v>
      </c>
      <c r="K1523" s="5" t="e">
        <f>ABS(G1523-H1523)/ABS(G1523)</f>
        <v>#DIV/0!</v>
      </c>
    </row>
    <row r="1524" spans="3:11" x14ac:dyDescent="0.2">
      <c r="C1524" t="s">
        <v>2307</v>
      </c>
      <c r="D1524" t="b">
        <f ca="1">IF(CELL("format",F1524)="G",IF(ABS(F1524-G1524) &lt;= ABS(F1524*B$3),TRUE,FALSE),IF(F1524=G1524,TRUE,FALSE))</f>
        <v>1</v>
      </c>
      <c r="E1524" s="5" t="e">
        <f>ABS(F1524-G1524)/ABS(F1524)</f>
        <v>#DIV/0!</v>
      </c>
      <c r="F1524">
        <v>0</v>
      </c>
      <c r="G1524">
        <v>0</v>
      </c>
      <c r="H1524">
        <v>0</v>
      </c>
      <c r="J1524" s="5" t="e">
        <f>ABS(F1524-G1524)/ABS(F1524)</f>
        <v>#DIV/0!</v>
      </c>
      <c r="K1524" s="5" t="e">
        <f>ABS(G1524-H1524)/ABS(G1524)</f>
        <v>#DIV/0!</v>
      </c>
    </row>
    <row r="1525" spans="3:11" x14ac:dyDescent="0.2">
      <c r="C1525" t="s">
        <v>2308</v>
      </c>
      <c r="D1525" t="b">
        <f ca="1">IF(CELL("format",F1525)="G",IF(ABS(F1525-G1525) &lt;= ABS(F1525*B$3),TRUE,FALSE),IF(F1525=G1525,TRUE,FALSE))</f>
        <v>1</v>
      </c>
      <c r="E1525" s="5" t="e">
        <f>ABS(F1525-G1525)/ABS(F1525)</f>
        <v>#DIV/0!</v>
      </c>
      <c r="F1525">
        <v>0</v>
      </c>
      <c r="G1525">
        <v>0</v>
      </c>
      <c r="H1525">
        <v>0</v>
      </c>
      <c r="J1525" s="5" t="e">
        <f>ABS(F1525-G1525)/ABS(F1525)</f>
        <v>#DIV/0!</v>
      </c>
      <c r="K1525" s="5" t="e">
        <f>ABS(G1525-H1525)/ABS(G1525)</f>
        <v>#DIV/0!</v>
      </c>
    </row>
    <row r="1526" spans="3:11" x14ac:dyDescent="0.2">
      <c r="C1526" t="s">
        <v>2309</v>
      </c>
      <c r="D1526" t="b">
        <f ca="1">IF(CELL("format",F1526)="G",IF(ABS(F1526-G1526) &lt;= ABS(F1526*B$3),TRUE,FALSE),IF(F1526=G1526,TRUE,FALSE))</f>
        <v>1</v>
      </c>
      <c r="E1526" s="5" t="e">
        <f>ABS(F1526-G1526)/ABS(F1526)</f>
        <v>#DIV/0!</v>
      </c>
      <c r="F1526">
        <v>0</v>
      </c>
      <c r="G1526">
        <v>0</v>
      </c>
      <c r="H1526">
        <v>0</v>
      </c>
      <c r="J1526" s="5" t="e">
        <f>ABS(F1526-G1526)/ABS(F1526)</f>
        <v>#DIV/0!</v>
      </c>
      <c r="K1526" s="5" t="e">
        <f>ABS(G1526-H1526)/ABS(G1526)</f>
        <v>#DIV/0!</v>
      </c>
    </row>
    <row r="1527" spans="3:11" x14ac:dyDescent="0.2">
      <c r="C1527" t="s">
        <v>2310</v>
      </c>
      <c r="D1527" t="b">
        <f ca="1">IF(CELL("format",F1527)="G",IF(ABS(F1527-G1527) &lt;= ABS(F1527*B$3),TRUE,FALSE),IF(F1527=G1527,TRUE,FALSE))</f>
        <v>1</v>
      </c>
      <c r="E1527" s="5">
        <f>ABS(F1527-G1527)/ABS(F1527)</f>
        <v>0</v>
      </c>
      <c r="F1527">
        <v>-0.33</v>
      </c>
      <c r="G1527">
        <v>-0.33</v>
      </c>
      <c r="H1527">
        <v>-0.33</v>
      </c>
      <c r="J1527" s="5">
        <f>ABS(F1527-G1527)/ABS(F1527)</f>
        <v>0</v>
      </c>
      <c r="K1527" s="5">
        <f>ABS(G1527-H1527)/ABS(G1527)</f>
        <v>0</v>
      </c>
    </row>
    <row r="1528" spans="3:11" x14ac:dyDescent="0.2">
      <c r="C1528" t="s">
        <v>2311</v>
      </c>
      <c r="D1528" t="b">
        <f ca="1">IF(CELL("format",F1528)="G",IF(ABS(F1528-G1528) &lt;= ABS(F1528*B$3),TRUE,FALSE),IF(F1528=G1528,TRUE,FALSE))</f>
        <v>1</v>
      </c>
      <c r="E1528" s="5">
        <f>ABS(F1528-G1528)/ABS(F1528)</f>
        <v>0</v>
      </c>
      <c r="F1528">
        <v>-1.21</v>
      </c>
      <c r="G1528">
        <v>-1.21</v>
      </c>
      <c r="H1528">
        <v>-1.21</v>
      </c>
      <c r="J1528" s="5">
        <f>ABS(F1528-G1528)/ABS(F1528)</f>
        <v>0</v>
      </c>
      <c r="K1528" s="5">
        <f>ABS(G1528-H1528)/ABS(G1528)</f>
        <v>0</v>
      </c>
    </row>
    <row r="1529" spans="3:11" x14ac:dyDescent="0.2">
      <c r="C1529" t="s">
        <v>2312</v>
      </c>
      <c r="D1529" t="b">
        <f ca="1">IF(CELL("format",F1529)="G",IF(ABS(F1529-G1529) &lt;= ABS(F1529*B$3),TRUE,FALSE),IF(F1529=G1529,TRUE,FALSE))</f>
        <v>1</v>
      </c>
      <c r="E1529" s="5">
        <f>ABS(F1529-G1529)/ABS(F1529)</f>
        <v>0</v>
      </c>
      <c r="F1529">
        <v>-2.02</v>
      </c>
      <c r="G1529">
        <v>-2.02</v>
      </c>
      <c r="H1529">
        <v>-2.02</v>
      </c>
      <c r="J1529" s="5">
        <f>ABS(F1529-G1529)/ABS(F1529)</f>
        <v>0</v>
      </c>
      <c r="K1529" s="5">
        <f>ABS(G1529-H1529)/ABS(G1529)</f>
        <v>0</v>
      </c>
    </row>
    <row r="1530" spans="3:11" x14ac:dyDescent="0.2">
      <c r="C1530" t="s">
        <v>2313</v>
      </c>
      <c r="D1530" t="b">
        <f ca="1">IF(CELL("format",F1530)="G",IF(ABS(F1530-G1530) &lt;= ABS(F1530*B$3),TRUE,FALSE),IF(F1530=G1530,TRUE,FALSE))</f>
        <v>1</v>
      </c>
      <c r="E1530" s="5">
        <f>ABS(F1530-G1530)/ABS(F1530)</f>
        <v>0</v>
      </c>
      <c r="F1530">
        <v>-2.5099999999999998</v>
      </c>
      <c r="G1530">
        <v>-2.5099999999999998</v>
      </c>
      <c r="H1530">
        <v>-2.5099999999999998</v>
      </c>
      <c r="J1530" s="5">
        <f>ABS(F1530-G1530)/ABS(F1530)</f>
        <v>0</v>
      </c>
      <c r="K1530" s="5">
        <f>ABS(G1530-H1530)/ABS(G1530)</f>
        <v>0</v>
      </c>
    </row>
    <row r="1531" spans="3:11" x14ac:dyDescent="0.2">
      <c r="C1531" t="s">
        <v>2314</v>
      </c>
      <c r="D1531" t="b">
        <f ca="1">IF(CELL("format",F1531)="G",IF(ABS(F1531-G1531) &lt;= ABS(F1531*B$3),TRUE,FALSE),IF(F1531=G1531,TRUE,FALSE))</f>
        <v>1</v>
      </c>
      <c r="E1531" s="5">
        <f>ABS(F1531-G1531)/ABS(F1531)</f>
        <v>0</v>
      </c>
      <c r="F1531">
        <v>-2.61</v>
      </c>
      <c r="G1531">
        <v>-2.61</v>
      </c>
      <c r="H1531">
        <v>-2.61</v>
      </c>
      <c r="J1531" s="5">
        <f>ABS(F1531-G1531)/ABS(F1531)</f>
        <v>0</v>
      </c>
      <c r="K1531" s="5">
        <f>ABS(G1531-H1531)/ABS(G1531)</f>
        <v>0</v>
      </c>
    </row>
    <row r="1532" spans="3:11" x14ac:dyDescent="0.2">
      <c r="C1532" t="s">
        <v>2315</v>
      </c>
      <c r="D1532" t="b">
        <f ca="1">IF(CELL("format",F1532)="G",IF(ABS(F1532-G1532) &lt;= ABS(F1532*B$3),TRUE,FALSE),IF(F1532=G1532,TRUE,FALSE))</f>
        <v>1</v>
      </c>
      <c r="E1532" s="5">
        <f>ABS(F1532-G1532)/ABS(F1532)</f>
        <v>0</v>
      </c>
      <c r="F1532">
        <v>-2.35</v>
      </c>
      <c r="G1532">
        <v>-2.35</v>
      </c>
      <c r="H1532">
        <v>-2.35</v>
      </c>
      <c r="J1532" s="5">
        <f>ABS(F1532-G1532)/ABS(F1532)</f>
        <v>0</v>
      </c>
      <c r="K1532" s="5">
        <f>ABS(G1532-H1532)/ABS(G1532)</f>
        <v>0</v>
      </c>
    </row>
    <row r="1533" spans="3:11" x14ac:dyDescent="0.2">
      <c r="C1533" t="s">
        <v>2316</v>
      </c>
      <c r="D1533" t="b">
        <f ca="1">IF(CELL("format",F1533)="G",IF(ABS(F1533-G1533) &lt;= ABS(F1533*B$3),TRUE,FALSE),IF(F1533=G1533,TRUE,FALSE))</f>
        <v>1</v>
      </c>
      <c r="E1533" s="5">
        <f>ABS(F1533-G1533)/ABS(F1533)</f>
        <v>0</v>
      </c>
      <c r="F1533">
        <v>-1.9</v>
      </c>
      <c r="G1533">
        <v>-1.9</v>
      </c>
      <c r="H1533">
        <v>-1.9</v>
      </c>
      <c r="J1533" s="5">
        <f>ABS(F1533-G1533)/ABS(F1533)</f>
        <v>0</v>
      </c>
      <c r="K1533" s="5">
        <f>ABS(G1533-H1533)/ABS(G1533)</f>
        <v>0</v>
      </c>
    </row>
    <row r="1534" spans="3:11" x14ac:dyDescent="0.2">
      <c r="C1534" t="s">
        <v>2317</v>
      </c>
      <c r="D1534" t="b">
        <f ca="1">IF(CELL("format",F1534)="G",IF(ABS(F1534-G1534) &lt;= ABS(F1534*B$3),TRUE,FALSE),IF(F1534=G1534,TRUE,FALSE))</f>
        <v>1</v>
      </c>
      <c r="E1534" s="5">
        <f>ABS(F1534-G1534)/ABS(F1534)</f>
        <v>0</v>
      </c>
      <c r="F1534">
        <v>-1.51</v>
      </c>
      <c r="G1534">
        <v>-1.51</v>
      </c>
      <c r="H1534">
        <v>-1.51</v>
      </c>
      <c r="J1534" s="5">
        <f>ABS(F1534-G1534)/ABS(F1534)</f>
        <v>0</v>
      </c>
      <c r="K1534" s="5">
        <f>ABS(G1534-H1534)/ABS(G1534)</f>
        <v>0</v>
      </c>
    </row>
    <row r="1535" spans="3:11" x14ac:dyDescent="0.2">
      <c r="C1535" t="s">
        <v>2318</v>
      </c>
      <c r="D1535" t="b">
        <f ca="1">IF(CELL("format",F1535)="G",IF(ABS(F1535-G1535) &lt;= ABS(F1535*B$3),TRUE,FALSE),IF(F1535=G1535,TRUE,FALSE))</f>
        <v>1</v>
      </c>
      <c r="E1535" s="5">
        <f>ABS(F1535-G1535)/ABS(F1535)</f>
        <v>0</v>
      </c>
      <c r="F1535">
        <v>-1.19</v>
      </c>
      <c r="G1535">
        <v>-1.19</v>
      </c>
      <c r="H1535">
        <v>-1.19</v>
      </c>
      <c r="J1535" s="5">
        <f>ABS(F1535-G1535)/ABS(F1535)</f>
        <v>0</v>
      </c>
      <c r="K1535" s="5">
        <f>ABS(G1535-H1535)/ABS(G1535)</f>
        <v>0</v>
      </c>
    </row>
    <row r="1536" spans="3:11" x14ac:dyDescent="0.2">
      <c r="C1536" t="s">
        <v>2319</v>
      </c>
      <c r="D1536" t="b">
        <f ca="1">IF(CELL("format",F1536)="G",IF(ABS(F1536-G1536) &lt;= ABS(F1536*B$3),TRUE,FALSE),IF(F1536=G1536,TRUE,FALSE))</f>
        <v>1</v>
      </c>
      <c r="E1536" s="5">
        <f>ABS(F1536-G1536)/ABS(F1536)</f>
        <v>0</v>
      </c>
      <c r="F1536">
        <v>-0.88</v>
      </c>
      <c r="G1536">
        <v>-0.88</v>
      </c>
      <c r="H1536">
        <v>-0.88</v>
      </c>
      <c r="J1536" s="5">
        <f>ABS(F1536-G1536)/ABS(F1536)</f>
        <v>0</v>
      </c>
      <c r="K1536" s="5">
        <f>ABS(G1536-H1536)/ABS(G1536)</f>
        <v>0</v>
      </c>
    </row>
    <row r="1537" spans="3:11" x14ac:dyDescent="0.2">
      <c r="C1537" t="s">
        <v>2320</v>
      </c>
      <c r="D1537" t="b">
        <f ca="1">IF(CELL("format",F1537)="G",IF(ABS(F1537-G1537) &lt;= ABS(F1537*B$3),TRUE,FALSE),IF(F1537=G1537,TRUE,FALSE))</f>
        <v>1</v>
      </c>
      <c r="E1537" s="5">
        <f>ABS(F1537-G1537)/ABS(F1537)</f>
        <v>0</v>
      </c>
      <c r="F1537">
        <v>-0.56999999999999995</v>
      </c>
      <c r="G1537">
        <v>-0.56999999999999995</v>
      </c>
      <c r="H1537">
        <v>-0.56999999999999995</v>
      </c>
      <c r="J1537" s="5">
        <f>ABS(F1537-G1537)/ABS(F1537)</f>
        <v>0</v>
      </c>
      <c r="K1537" s="5">
        <f>ABS(G1537-H1537)/ABS(G1537)</f>
        <v>0</v>
      </c>
    </row>
    <row r="1538" spans="3:11" x14ac:dyDescent="0.2">
      <c r="C1538" t="s">
        <v>2321</v>
      </c>
      <c r="D1538" t="b">
        <f ca="1">IF(CELL("format",F1538)="G",IF(ABS(F1538-G1538) &lt;= ABS(F1538*B$3),TRUE,FALSE),IF(F1538=G1538,TRUE,FALSE))</f>
        <v>1</v>
      </c>
      <c r="E1538" s="5">
        <f>ABS(F1538-G1538)/ABS(F1538)</f>
        <v>0</v>
      </c>
      <c r="F1538">
        <v>-0.33</v>
      </c>
      <c r="G1538">
        <v>-0.33</v>
      </c>
      <c r="H1538">
        <v>-0.33</v>
      </c>
      <c r="J1538" s="5">
        <f>ABS(F1538-G1538)/ABS(F1538)</f>
        <v>0</v>
      </c>
      <c r="K1538" s="5">
        <f>ABS(G1538-H1538)/ABS(G1538)</f>
        <v>0</v>
      </c>
    </row>
    <row r="1539" spans="3:11" x14ac:dyDescent="0.2">
      <c r="C1539" t="s">
        <v>2322</v>
      </c>
      <c r="D1539" t="b">
        <f ca="1">IF(CELL("format",F1539)="G",IF(ABS(F1539-G1539) &lt;= ABS(F1539*B$3),TRUE,FALSE),IF(F1539=G1539,TRUE,FALSE))</f>
        <v>1</v>
      </c>
      <c r="E1539" s="5">
        <f>ABS(F1539-G1539)/ABS(F1539)</f>
        <v>0</v>
      </c>
      <c r="F1539">
        <v>-0.17</v>
      </c>
      <c r="G1539">
        <v>-0.17</v>
      </c>
      <c r="H1539">
        <v>-0.17</v>
      </c>
      <c r="J1539" s="5">
        <f>ABS(F1539-G1539)/ABS(F1539)</f>
        <v>0</v>
      </c>
      <c r="K1539" s="5">
        <f>ABS(G1539-H1539)/ABS(G1539)</f>
        <v>0</v>
      </c>
    </row>
    <row r="1540" spans="3:11" x14ac:dyDescent="0.2">
      <c r="C1540" t="s">
        <v>2323</v>
      </c>
      <c r="D1540" t="b">
        <f ca="1">IF(CELL("format",F1540)="G",IF(ABS(F1540-G1540) &lt;= ABS(F1540*B$3),TRUE,FALSE),IF(F1540=G1540,TRUE,FALSE))</f>
        <v>1</v>
      </c>
      <c r="E1540" s="5">
        <f>ABS(F1540-G1540)/ABS(F1540)</f>
        <v>0</v>
      </c>
      <c r="F1540">
        <v>-0.05</v>
      </c>
      <c r="G1540">
        <v>-0.05</v>
      </c>
      <c r="H1540">
        <v>-0.05</v>
      </c>
      <c r="J1540" s="5">
        <f>ABS(F1540-G1540)/ABS(F1540)</f>
        <v>0</v>
      </c>
      <c r="K1540" s="5">
        <f>ABS(G1540-H1540)/ABS(G1540)</f>
        <v>0</v>
      </c>
    </row>
    <row r="1541" spans="3:11" x14ac:dyDescent="0.2">
      <c r="C1541" t="s">
        <v>2324</v>
      </c>
      <c r="D1541" t="b">
        <f ca="1">IF(CELL("format",F1541)="G",IF(ABS(F1541-G1541) &lt;= ABS(F1541*B$3),TRUE,FALSE),IF(F1541=G1541,TRUE,FALSE))</f>
        <v>1</v>
      </c>
      <c r="E1541" s="5" t="e">
        <f>ABS(F1541-G1541)/ABS(F1541)</f>
        <v>#DIV/0!</v>
      </c>
      <c r="F1541">
        <v>0</v>
      </c>
      <c r="G1541">
        <v>0</v>
      </c>
      <c r="H1541">
        <v>0</v>
      </c>
      <c r="J1541" s="5" t="e">
        <f>ABS(F1541-G1541)/ABS(F1541)</f>
        <v>#DIV/0!</v>
      </c>
      <c r="K1541" s="5" t="e">
        <f>ABS(G1541-H1541)/ABS(G1541)</f>
        <v>#DIV/0!</v>
      </c>
    </row>
    <row r="1542" spans="3:11" x14ac:dyDescent="0.2">
      <c r="C1542" t="s">
        <v>2301</v>
      </c>
      <c r="D1542" t="b">
        <f ca="1">IF(CELL("format",F1542)="G",IF(ABS(F1542-G1542) &lt;= ABS(F1542*B$3),TRUE,FALSE),IF(F1542=G1542,TRUE,FALSE))</f>
        <v>1</v>
      </c>
      <c r="E1542" s="5">
        <f>ABS(F1542-G1542)/ABS(F1542)</f>
        <v>0</v>
      </c>
      <c r="F1542">
        <v>-0.08</v>
      </c>
      <c r="G1542">
        <v>-0.08</v>
      </c>
      <c r="H1542">
        <v>-0.08</v>
      </c>
      <c r="J1542" s="5">
        <f>ABS(F1542-G1542)/ABS(F1542)</f>
        <v>0</v>
      </c>
      <c r="K1542" s="5">
        <f>ABS(G1542-H1542)/ABS(G1542)</f>
        <v>0</v>
      </c>
    </row>
    <row r="1543" spans="3:11" x14ac:dyDescent="0.2">
      <c r="C1543" t="s">
        <v>2302</v>
      </c>
      <c r="D1543" t="b">
        <f ca="1">IF(CELL("format",F1543)="G",IF(ABS(F1543-G1543) &lt;= ABS(F1543*B$3),TRUE,FALSE),IF(F1543=G1543,TRUE,FALSE))</f>
        <v>1</v>
      </c>
      <c r="E1543" s="5">
        <f>ABS(F1543-G1543)/ABS(F1543)</f>
        <v>0</v>
      </c>
      <c r="F1543">
        <v>-0.02</v>
      </c>
      <c r="G1543">
        <v>-0.02</v>
      </c>
      <c r="H1543">
        <v>-0.02</v>
      </c>
      <c r="J1543" s="5">
        <f>ABS(F1543-G1543)/ABS(F1543)</f>
        <v>0</v>
      </c>
      <c r="K1543" s="5">
        <f>ABS(G1543-H1543)/ABS(G1543)</f>
        <v>0</v>
      </c>
    </row>
    <row r="1544" spans="3:11" x14ac:dyDescent="0.2">
      <c r="C1544" t="s">
        <v>2303</v>
      </c>
      <c r="D1544" t="b">
        <f ca="1">IF(CELL("format",F1544)="G",IF(ABS(F1544-G1544) &lt;= ABS(F1544*B$3),TRUE,FALSE),IF(F1544=G1544,TRUE,FALSE))</f>
        <v>1</v>
      </c>
      <c r="E1544" s="5">
        <f>ABS(F1544-G1544)/ABS(F1544)</f>
        <v>0</v>
      </c>
      <c r="F1544">
        <v>0.06</v>
      </c>
      <c r="G1544">
        <v>0.06</v>
      </c>
      <c r="H1544">
        <v>0.06</v>
      </c>
      <c r="J1544" s="5">
        <f>ABS(F1544-G1544)/ABS(F1544)</f>
        <v>0</v>
      </c>
      <c r="K1544" s="5">
        <f>ABS(G1544-H1544)/ABS(G1544)</f>
        <v>0</v>
      </c>
    </row>
    <row r="1545" spans="3:11" x14ac:dyDescent="0.2">
      <c r="C1545" t="s">
        <v>2304</v>
      </c>
      <c r="D1545" t="b">
        <f ca="1">IF(CELL("format",F1545)="G",IF(ABS(F1545-G1545) &lt;= ABS(F1545*B$3),TRUE,FALSE),IF(F1545=G1545,TRUE,FALSE))</f>
        <v>1</v>
      </c>
      <c r="E1545" s="5">
        <f>ABS(F1545-G1545)/ABS(F1545)</f>
        <v>0</v>
      </c>
      <c r="F1545">
        <v>0.18</v>
      </c>
      <c r="G1545">
        <v>0.18</v>
      </c>
      <c r="H1545">
        <v>0.18</v>
      </c>
      <c r="J1545" s="5">
        <f>ABS(F1545-G1545)/ABS(F1545)</f>
        <v>0</v>
      </c>
      <c r="K1545" s="5">
        <f>ABS(G1545-H1545)/ABS(G1545)</f>
        <v>0</v>
      </c>
    </row>
    <row r="1546" spans="3:11" x14ac:dyDescent="0.2">
      <c r="C1546" t="s">
        <v>2305</v>
      </c>
      <c r="D1546" t="b">
        <f ca="1">IF(CELL("format",F1546)="G",IF(ABS(F1546-G1546) &lt;= ABS(F1546*B$3),TRUE,FALSE),IF(F1546=G1546,TRUE,FALSE))</f>
        <v>1</v>
      </c>
      <c r="E1546" s="5">
        <f>ABS(F1546-G1546)/ABS(F1546)</f>
        <v>0</v>
      </c>
      <c r="F1546">
        <v>0.27</v>
      </c>
      <c r="G1546">
        <v>0.27</v>
      </c>
      <c r="H1546">
        <v>0.27</v>
      </c>
      <c r="J1546" s="5">
        <f>ABS(F1546-G1546)/ABS(F1546)</f>
        <v>0</v>
      </c>
      <c r="K1546" s="5">
        <f>ABS(G1546-H1546)/ABS(G1546)</f>
        <v>0</v>
      </c>
    </row>
    <row r="1547" spans="3:11" x14ac:dyDescent="0.2">
      <c r="C1547" t="s">
        <v>2306</v>
      </c>
      <c r="D1547" t="b">
        <f ca="1">IF(CELL("format",F1547)="G",IF(ABS(F1547-G1547) &lt;= ABS(F1547*B$3),TRUE,FALSE),IF(F1547=G1547,TRUE,FALSE))</f>
        <v>1</v>
      </c>
      <c r="E1547" s="5">
        <f>ABS(F1547-G1547)/ABS(F1547)</f>
        <v>0</v>
      </c>
      <c r="F1547">
        <v>0.16</v>
      </c>
      <c r="G1547">
        <v>0.16</v>
      </c>
      <c r="H1547">
        <v>0.16</v>
      </c>
      <c r="J1547" s="5">
        <f>ABS(F1547-G1547)/ABS(F1547)</f>
        <v>0</v>
      </c>
      <c r="K1547" s="5">
        <f>ABS(G1547-H1547)/ABS(G1547)</f>
        <v>0</v>
      </c>
    </row>
    <row r="1548" spans="3:11" x14ac:dyDescent="0.2">
      <c r="C1548" t="s">
        <v>2307</v>
      </c>
      <c r="D1548" t="b">
        <f ca="1">IF(CELL("format",F1548)="G",IF(ABS(F1548-G1548) &lt;= ABS(F1548*B$3),TRUE,FALSE),IF(F1548=G1548,TRUE,FALSE))</f>
        <v>1</v>
      </c>
      <c r="E1548" s="5">
        <f>ABS(F1548-G1548)/ABS(F1548)</f>
        <v>0</v>
      </c>
      <c r="F1548">
        <v>-0.14000000000000001</v>
      </c>
      <c r="G1548">
        <v>-0.14000000000000001</v>
      </c>
      <c r="H1548">
        <v>-0.14000000000000001</v>
      </c>
      <c r="J1548" s="5">
        <f>ABS(F1548-G1548)/ABS(F1548)</f>
        <v>0</v>
      </c>
      <c r="K1548" s="5">
        <f>ABS(G1548-H1548)/ABS(G1548)</f>
        <v>0</v>
      </c>
    </row>
    <row r="1549" spans="3:11" x14ac:dyDescent="0.2">
      <c r="C1549" t="s">
        <v>2308</v>
      </c>
      <c r="D1549" t="b">
        <f ca="1">IF(CELL("format",F1549)="G",IF(ABS(F1549-G1549) &lt;= ABS(F1549*B$3),TRUE,FALSE),IF(F1549=G1549,TRUE,FALSE))</f>
        <v>1</v>
      </c>
      <c r="E1549" s="5">
        <f>ABS(F1549-G1549)/ABS(F1549)</f>
        <v>0</v>
      </c>
      <c r="F1549">
        <v>-0.54</v>
      </c>
      <c r="G1549">
        <v>-0.54</v>
      </c>
      <c r="H1549">
        <v>-0.54</v>
      </c>
      <c r="J1549" s="5">
        <f>ABS(F1549-G1549)/ABS(F1549)</f>
        <v>0</v>
      </c>
      <c r="K1549" s="5">
        <f>ABS(G1549-H1549)/ABS(G1549)</f>
        <v>0</v>
      </c>
    </row>
    <row r="1550" spans="3:11" x14ac:dyDescent="0.2">
      <c r="C1550" t="s">
        <v>2309</v>
      </c>
      <c r="D1550" t="b">
        <f ca="1">IF(CELL("format",F1550)="G",IF(ABS(F1550-G1550) &lt;= ABS(F1550*B$3),TRUE,FALSE),IF(F1550=G1550,TRUE,FALSE))</f>
        <v>1</v>
      </c>
      <c r="E1550" s="5">
        <f>ABS(F1550-G1550)/ABS(F1550)</f>
        <v>0</v>
      </c>
      <c r="F1550">
        <v>-1.02</v>
      </c>
      <c r="G1550">
        <v>-1.02</v>
      </c>
      <c r="H1550">
        <v>-1.02</v>
      </c>
      <c r="J1550" s="5">
        <f>ABS(F1550-G1550)/ABS(F1550)</f>
        <v>0</v>
      </c>
      <c r="K1550" s="5">
        <f>ABS(G1550-H1550)/ABS(G1550)</f>
        <v>0</v>
      </c>
    </row>
    <row r="1551" spans="3:11" x14ac:dyDescent="0.2">
      <c r="C1551" t="s">
        <v>2310</v>
      </c>
      <c r="D1551" t="b">
        <f ca="1">IF(CELL("format",F1551)="G",IF(ABS(F1551-G1551) &lt;= ABS(F1551*B$3),TRUE,FALSE),IF(F1551=G1551,TRUE,FALSE))</f>
        <v>1</v>
      </c>
      <c r="E1551" s="5">
        <f>ABS(F1551-G1551)/ABS(F1551)</f>
        <v>0</v>
      </c>
      <c r="F1551">
        <v>-1.71</v>
      </c>
      <c r="G1551">
        <v>-1.71</v>
      </c>
      <c r="H1551">
        <v>-1.71</v>
      </c>
      <c r="J1551" s="5">
        <f>ABS(F1551-G1551)/ABS(F1551)</f>
        <v>0</v>
      </c>
      <c r="K1551" s="5">
        <f>ABS(G1551-H1551)/ABS(G1551)</f>
        <v>0</v>
      </c>
    </row>
    <row r="1552" spans="3:11" x14ac:dyDescent="0.2">
      <c r="C1552" t="s">
        <v>2311</v>
      </c>
      <c r="D1552" t="b">
        <f ca="1">IF(CELL("format",F1552)="G",IF(ABS(F1552-G1552) &lt;= ABS(F1552*B$3),TRUE,FALSE),IF(F1552=G1552,TRUE,FALSE))</f>
        <v>1</v>
      </c>
      <c r="E1552" s="5">
        <f>ABS(F1552-G1552)/ABS(F1552)</f>
        <v>0</v>
      </c>
      <c r="F1552">
        <v>-2.57</v>
      </c>
      <c r="G1552">
        <v>-2.57</v>
      </c>
      <c r="H1552">
        <v>-2.57</v>
      </c>
      <c r="J1552" s="5">
        <f>ABS(F1552-G1552)/ABS(F1552)</f>
        <v>0</v>
      </c>
      <c r="K1552" s="5">
        <f>ABS(G1552-H1552)/ABS(G1552)</f>
        <v>0</v>
      </c>
    </row>
    <row r="1553" spans="3:11" x14ac:dyDescent="0.2">
      <c r="C1553" t="s">
        <v>2312</v>
      </c>
      <c r="D1553" t="b">
        <f ca="1">IF(CELL("format",F1553)="G",IF(ABS(F1553-G1553) &lt;= ABS(F1553*B$3),TRUE,FALSE),IF(F1553=G1553,TRUE,FALSE))</f>
        <v>1</v>
      </c>
      <c r="E1553" s="5">
        <f>ABS(F1553-G1553)/ABS(F1553)</f>
        <v>0</v>
      </c>
      <c r="F1553">
        <v>-3.32</v>
      </c>
      <c r="G1553">
        <v>-3.32</v>
      </c>
      <c r="H1553">
        <v>-3.32</v>
      </c>
      <c r="J1553" s="5">
        <f>ABS(F1553-G1553)/ABS(F1553)</f>
        <v>0</v>
      </c>
      <c r="K1553" s="5">
        <f>ABS(G1553-H1553)/ABS(G1553)</f>
        <v>0</v>
      </c>
    </row>
    <row r="1554" spans="3:11" x14ac:dyDescent="0.2">
      <c r="C1554" t="s">
        <v>2313</v>
      </c>
      <c r="D1554" t="b">
        <f ca="1">IF(CELL("format",F1554)="G",IF(ABS(F1554-G1554) &lt;= ABS(F1554*B$3),TRUE,FALSE),IF(F1554=G1554,TRUE,FALSE))</f>
        <v>1</v>
      </c>
      <c r="E1554" s="5">
        <f>ABS(F1554-G1554)/ABS(F1554)</f>
        <v>0</v>
      </c>
      <c r="F1554">
        <v>-3.61</v>
      </c>
      <c r="G1554">
        <v>-3.61</v>
      </c>
      <c r="H1554">
        <v>-3.61</v>
      </c>
      <c r="J1554" s="5">
        <f>ABS(F1554-G1554)/ABS(F1554)</f>
        <v>0</v>
      </c>
      <c r="K1554" s="5">
        <f>ABS(G1554-H1554)/ABS(G1554)</f>
        <v>0</v>
      </c>
    </row>
    <row r="1555" spans="3:11" x14ac:dyDescent="0.2">
      <c r="C1555" t="s">
        <v>2314</v>
      </c>
      <c r="D1555" t="b">
        <f ca="1">IF(CELL("format",F1555)="G",IF(ABS(F1555-G1555) &lt;= ABS(F1555*B$3),TRUE,FALSE),IF(F1555=G1555,TRUE,FALSE))</f>
        <v>1</v>
      </c>
      <c r="E1555" s="5">
        <f>ABS(F1555-G1555)/ABS(F1555)</f>
        <v>0</v>
      </c>
      <c r="F1555">
        <v>-3.61</v>
      </c>
      <c r="G1555">
        <v>-3.61</v>
      </c>
      <c r="H1555">
        <v>-3.61</v>
      </c>
      <c r="J1555" s="5">
        <f>ABS(F1555-G1555)/ABS(F1555)</f>
        <v>0</v>
      </c>
      <c r="K1555" s="5">
        <f>ABS(G1555-H1555)/ABS(G1555)</f>
        <v>0</v>
      </c>
    </row>
    <row r="1556" spans="3:11" x14ac:dyDescent="0.2">
      <c r="C1556" t="s">
        <v>2315</v>
      </c>
      <c r="D1556" t="b">
        <f ca="1">IF(CELL("format",F1556)="G",IF(ABS(F1556-G1556) &lt;= ABS(F1556*B$3),TRUE,FALSE),IF(F1556=G1556,TRUE,FALSE))</f>
        <v>1</v>
      </c>
      <c r="E1556" s="5">
        <f>ABS(F1556-G1556)/ABS(F1556)</f>
        <v>0</v>
      </c>
      <c r="F1556">
        <v>-3.31</v>
      </c>
      <c r="G1556">
        <v>-3.31</v>
      </c>
      <c r="H1556">
        <v>-3.31</v>
      </c>
      <c r="J1556" s="5">
        <f>ABS(F1556-G1556)/ABS(F1556)</f>
        <v>0</v>
      </c>
      <c r="K1556" s="5">
        <f>ABS(G1556-H1556)/ABS(G1556)</f>
        <v>0</v>
      </c>
    </row>
    <row r="1557" spans="3:11" x14ac:dyDescent="0.2">
      <c r="C1557" t="s">
        <v>2316</v>
      </c>
      <c r="D1557" t="b">
        <f ca="1">IF(CELL("format",F1557)="G",IF(ABS(F1557-G1557) &lt;= ABS(F1557*B$3),TRUE,FALSE),IF(F1557=G1557,TRUE,FALSE))</f>
        <v>1</v>
      </c>
      <c r="E1557" s="5">
        <f>ABS(F1557-G1557)/ABS(F1557)</f>
        <v>0</v>
      </c>
      <c r="F1557">
        <v>-2.86</v>
      </c>
      <c r="G1557">
        <v>-2.86</v>
      </c>
      <c r="H1557">
        <v>-2.86</v>
      </c>
      <c r="J1557" s="5">
        <f>ABS(F1557-G1557)/ABS(F1557)</f>
        <v>0</v>
      </c>
      <c r="K1557" s="5">
        <f>ABS(G1557-H1557)/ABS(G1557)</f>
        <v>0</v>
      </c>
    </row>
    <row r="1558" spans="3:11" x14ac:dyDescent="0.2">
      <c r="C1558" t="s">
        <v>2317</v>
      </c>
      <c r="D1558" t="b">
        <f ca="1">IF(CELL("format",F1558)="G",IF(ABS(F1558-G1558) &lt;= ABS(F1558*B$3),TRUE,FALSE),IF(F1558=G1558,TRUE,FALSE))</f>
        <v>1</v>
      </c>
      <c r="E1558" s="5">
        <f>ABS(F1558-G1558)/ABS(F1558)</f>
        <v>0</v>
      </c>
      <c r="F1558">
        <v>-2.4</v>
      </c>
      <c r="G1558">
        <v>-2.4</v>
      </c>
      <c r="H1558">
        <v>-2.4</v>
      </c>
      <c r="J1558" s="5">
        <f>ABS(F1558-G1558)/ABS(F1558)</f>
        <v>0</v>
      </c>
      <c r="K1558" s="5">
        <f>ABS(G1558-H1558)/ABS(G1558)</f>
        <v>0</v>
      </c>
    </row>
    <row r="1559" spans="3:11" x14ac:dyDescent="0.2">
      <c r="C1559" t="s">
        <v>2318</v>
      </c>
      <c r="D1559" t="b">
        <f ca="1">IF(CELL("format",F1559)="G",IF(ABS(F1559-G1559) &lt;= ABS(F1559*B$3),TRUE,FALSE),IF(F1559=G1559,TRUE,FALSE))</f>
        <v>1</v>
      </c>
      <c r="E1559" s="5">
        <f>ABS(F1559-G1559)/ABS(F1559)</f>
        <v>0</v>
      </c>
      <c r="F1559">
        <v>-1.99</v>
      </c>
      <c r="G1559">
        <v>-1.99</v>
      </c>
      <c r="H1559">
        <v>-1.99</v>
      </c>
      <c r="J1559" s="5">
        <f>ABS(F1559-G1559)/ABS(F1559)</f>
        <v>0</v>
      </c>
      <c r="K1559" s="5">
        <f>ABS(G1559-H1559)/ABS(G1559)</f>
        <v>0</v>
      </c>
    </row>
    <row r="1560" spans="3:11" x14ac:dyDescent="0.2">
      <c r="C1560" t="s">
        <v>2319</v>
      </c>
      <c r="D1560" t="b">
        <f ca="1">IF(CELL("format",F1560)="G",IF(ABS(F1560-G1560) &lt;= ABS(F1560*B$3),TRUE,FALSE),IF(F1560=G1560,TRUE,FALSE))</f>
        <v>1</v>
      </c>
      <c r="E1560" s="5">
        <f>ABS(F1560-G1560)/ABS(F1560)</f>
        <v>0</v>
      </c>
      <c r="F1560">
        <v>-1.59</v>
      </c>
      <c r="G1560">
        <v>-1.59</v>
      </c>
      <c r="H1560">
        <v>-1.59</v>
      </c>
      <c r="J1560" s="5">
        <f>ABS(F1560-G1560)/ABS(F1560)</f>
        <v>0</v>
      </c>
      <c r="K1560" s="5">
        <f>ABS(G1560-H1560)/ABS(G1560)</f>
        <v>0</v>
      </c>
    </row>
    <row r="1561" spans="3:11" x14ac:dyDescent="0.2">
      <c r="C1561" t="s">
        <v>2320</v>
      </c>
      <c r="D1561" t="b">
        <f ca="1">IF(CELL("format",F1561)="G",IF(ABS(F1561-G1561) &lt;= ABS(F1561*B$3),TRUE,FALSE),IF(F1561=G1561,TRUE,FALSE))</f>
        <v>1</v>
      </c>
      <c r="E1561" s="5">
        <f>ABS(F1561-G1561)/ABS(F1561)</f>
        <v>0</v>
      </c>
      <c r="F1561">
        <v>-1.1499999999999999</v>
      </c>
      <c r="G1561">
        <v>-1.1499999999999999</v>
      </c>
      <c r="H1561">
        <v>-1.1499999999999999</v>
      </c>
      <c r="J1561" s="5">
        <f>ABS(F1561-G1561)/ABS(F1561)</f>
        <v>0</v>
      </c>
      <c r="K1561" s="5">
        <f>ABS(G1561-H1561)/ABS(G1561)</f>
        <v>0</v>
      </c>
    </row>
    <row r="1562" spans="3:11" x14ac:dyDescent="0.2">
      <c r="C1562" t="s">
        <v>2321</v>
      </c>
      <c r="D1562" t="b">
        <f ca="1">IF(CELL("format",F1562)="G",IF(ABS(F1562-G1562) &lt;= ABS(F1562*B$3),TRUE,FALSE),IF(F1562=G1562,TRUE,FALSE))</f>
        <v>1</v>
      </c>
      <c r="E1562" s="5">
        <f>ABS(F1562-G1562)/ABS(F1562)</f>
        <v>0</v>
      </c>
      <c r="F1562">
        <v>-0.78</v>
      </c>
      <c r="G1562">
        <v>-0.78</v>
      </c>
      <c r="H1562">
        <v>-0.78</v>
      </c>
      <c r="J1562" s="5">
        <f>ABS(F1562-G1562)/ABS(F1562)</f>
        <v>0</v>
      </c>
      <c r="K1562" s="5">
        <f>ABS(G1562-H1562)/ABS(G1562)</f>
        <v>0</v>
      </c>
    </row>
    <row r="1563" spans="3:11" x14ac:dyDescent="0.2">
      <c r="C1563" t="s">
        <v>2322</v>
      </c>
      <c r="D1563" t="b">
        <f ca="1">IF(CELL("format",F1563)="G",IF(ABS(F1563-G1563) &lt;= ABS(F1563*B$3),TRUE,FALSE),IF(F1563=G1563,TRUE,FALSE))</f>
        <v>1</v>
      </c>
      <c r="E1563" s="5">
        <f>ABS(F1563-G1563)/ABS(F1563)</f>
        <v>0</v>
      </c>
      <c r="F1563">
        <v>-0.56999999999999995</v>
      </c>
      <c r="G1563">
        <v>-0.56999999999999995</v>
      </c>
      <c r="H1563">
        <v>-0.56999999999999995</v>
      </c>
      <c r="J1563" s="5">
        <f>ABS(F1563-G1563)/ABS(F1563)</f>
        <v>0</v>
      </c>
      <c r="K1563" s="5">
        <f>ABS(G1563-H1563)/ABS(G1563)</f>
        <v>0</v>
      </c>
    </row>
    <row r="1564" spans="3:11" x14ac:dyDescent="0.2">
      <c r="C1564" t="s">
        <v>2323</v>
      </c>
      <c r="D1564" t="b">
        <f ca="1">IF(CELL("format",F1564)="G",IF(ABS(F1564-G1564) &lt;= ABS(F1564*B$3),TRUE,FALSE),IF(F1564=G1564,TRUE,FALSE))</f>
        <v>1</v>
      </c>
      <c r="E1564" s="5">
        <f>ABS(F1564-G1564)/ABS(F1564)</f>
        <v>0</v>
      </c>
      <c r="F1564">
        <v>-0.44</v>
      </c>
      <c r="G1564">
        <v>-0.44</v>
      </c>
      <c r="H1564">
        <v>-0.44</v>
      </c>
      <c r="J1564" s="5">
        <f>ABS(F1564-G1564)/ABS(F1564)</f>
        <v>0</v>
      </c>
      <c r="K1564" s="5">
        <f>ABS(G1564-H1564)/ABS(G1564)</f>
        <v>0</v>
      </c>
    </row>
    <row r="1565" spans="3:11" x14ac:dyDescent="0.2">
      <c r="C1565" t="s">
        <v>2324</v>
      </c>
      <c r="D1565" t="b">
        <f ca="1">IF(CELL("format",F1565)="G",IF(ABS(F1565-G1565) &lt;= ABS(F1565*B$3),TRUE,FALSE),IF(F1565=G1565,TRUE,FALSE))</f>
        <v>1</v>
      </c>
      <c r="E1565" s="5">
        <f>ABS(F1565-G1565)/ABS(F1565)</f>
        <v>0</v>
      </c>
      <c r="F1565">
        <v>-0.31</v>
      </c>
      <c r="G1565">
        <v>-0.31</v>
      </c>
      <c r="H1565">
        <v>-0.31</v>
      </c>
      <c r="J1565" s="5">
        <f>ABS(F1565-G1565)/ABS(F1565)</f>
        <v>0</v>
      </c>
      <c r="K1565" s="5">
        <f>ABS(G1565-H1565)/ABS(G1565)</f>
        <v>0</v>
      </c>
    </row>
    <row r="1566" spans="3:11" x14ac:dyDescent="0.2">
      <c r="C1566" t="s">
        <v>2301</v>
      </c>
      <c r="D1566" t="b">
        <f ca="1">IF(CELL("format",F1566)="G",IF(ABS(F1566-G1566) &lt;= ABS(F1566*B$3),TRUE,FALSE),IF(F1566=G1566,TRUE,FALSE))</f>
        <v>1</v>
      </c>
      <c r="E1566" s="5">
        <f>ABS(F1566-G1566)/ABS(F1566)</f>
        <v>0</v>
      </c>
      <c r="F1566">
        <v>-0.16</v>
      </c>
      <c r="G1566">
        <v>-0.16</v>
      </c>
      <c r="H1566">
        <v>-0.16</v>
      </c>
      <c r="J1566" s="5">
        <f>ABS(F1566-G1566)/ABS(F1566)</f>
        <v>0</v>
      </c>
      <c r="K1566" s="5">
        <f>ABS(G1566-H1566)/ABS(G1566)</f>
        <v>0</v>
      </c>
    </row>
    <row r="1567" spans="3:11" x14ac:dyDescent="0.2">
      <c r="C1567" t="s">
        <v>2302</v>
      </c>
      <c r="D1567" t="b">
        <f ca="1">IF(CELL("format",F1567)="G",IF(ABS(F1567-G1567) &lt;= ABS(F1567*B$3),TRUE,FALSE),IF(F1567=G1567,TRUE,FALSE))</f>
        <v>1</v>
      </c>
      <c r="E1567" s="5">
        <f>ABS(F1567-G1567)/ABS(F1567)</f>
        <v>0</v>
      </c>
      <c r="F1567">
        <v>-0.1</v>
      </c>
      <c r="G1567">
        <v>-0.1</v>
      </c>
      <c r="H1567">
        <v>-0.1</v>
      </c>
      <c r="J1567" s="5">
        <f>ABS(F1567-G1567)/ABS(F1567)</f>
        <v>0</v>
      </c>
      <c r="K1567" s="5">
        <f>ABS(G1567-H1567)/ABS(G1567)</f>
        <v>0</v>
      </c>
    </row>
    <row r="1568" spans="3:11" x14ac:dyDescent="0.2">
      <c r="C1568" t="s">
        <v>2303</v>
      </c>
      <c r="D1568" t="b">
        <f ca="1">IF(CELL("format",F1568)="G",IF(ABS(F1568-G1568) &lt;= ABS(F1568*B$3),TRUE,FALSE),IF(F1568=G1568,TRUE,FALSE))</f>
        <v>1</v>
      </c>
      <c r="E1568" s="5">
        <f>ABS(F1568-G1568)/ABS(F1568)</f>
        <v>0</v>
      </c>
      <c r="F1568">
        <v>-0.04</v>
      </c>
      <c r="G1568">
        <v>-0.04</v>
      </c>
      <c r="H1568">
        <v>-0.04</v>
      </c>
      <c r="J1568" s="5">
        <f>ABS(F1568-G1568)/ABS(F1568)</f>
        <v>0</v>
      </c>
      <c r="K1568" s="5">
        <f>ABS(G1568-H1568)/ABS(G1568)</f>
        <v>0</v>
      </c>
    </row>
    <row r="1569" spans="3:11" x14ac:dyDescent="0.2">
      <c r="C1569" t="s">
        <v>2304</v>
      </c>
      <c r="D1569" t="b">
        <f ca="1">IF(CELL("format",F1569)="G",IF(ABS(F1569-G1569) &lt;= ABS(F1569*B$3),TRUE,FALSE),IF(F1569=G1569,TRUE,FALSE))</f>
        <v>1</v>
      </c>
      <c r="E1569" s="5">
        <f>ABS(F1569-G1569)/ABS(F1569)</f>
        <v>0</v>
      </c>
      <c r="F1569">
        <v>0.02</v>
      </c>
      <c r="G1569">
        <v>0.02</v>
      </c>
      <c r="H1569">
        <v>0.02</v>
      </c>
      <c r="J1569" s="5">
        <f>ABS(F1569-G1569)/ABS(F1569)</f>
        <v>0</v>
      </c>
      <c r="K1569" s="5">
        <f>ABS(G1569-H1569)/ABS(G1569)</f>
        <v>0</v>
      </c>
    </row>
    <row r="1570" spans="3:11" x14ac:dyDescent="0.2">
      <c r="C1570" t="s">
        <v>2305</v>
      </c>
      <c r="D1570" t="b">
        <f ca="1">IF(CELL("format",F1570)="G",IF(ABS(F1570-G1570) &lt;= ABS(F1570*B$3),TRUE,FALSE),IF(F1570=G1570,TRUE,FALSE))</f>
        <v>1</v>
      </c>
      <c r="E1570" s="5">
        <f>ABS(F1570-G1570)/ABS(F1570)</f>
        <v>0</v>
      </c>
      <c r="F1570">
        <v>7.0000000000000007E-2</v>
      </c>
      <c r="G1570">
        <v>7.0000000000000007E-2</v>
      </c>
      <c r="H1570">
        <v>7.0000000000000007E-2</v>
      </c>
      <c r="J1570" s="5">
        <f>ABS(F1570-G1570)/ABS(F1570)</f>
        <v>0</v>
      </c>
      <c r="K1570" s="5">
        <f>ABS(G1570-H1570)/ABS(G1570)</f>
        <v>0</v>
      </c>
    </row>
    <row r="1571" spans="3:11" x14ac:dyDescent="0.2">
      <c r="C1571" t="s">
        <v>2306</v>
      </c>
      <c r="D1571" t="b">
        <f ca="1">IF(CELL("format",F1571)="G",IF(ABS(F1571-G1571) &lt;= ABS(F1571*B$3),TRUE,FALSE),IF(F1571=G1571,TRUE,FALSE))</f>
        <v>1</v>
      </c>
      <c r="E1571" s="5">
        <f>ABS(F1571-G1571)/ABS(F1571)</f>
        <v>0</v>
      </c>
      <c r="F1571">
        <v>0.03</v>
      </c>
      <c r="G1571">
        <v>0.03</v>
      </c>
      <c r="H1571">
        <v>0.03</v>
      </c>
      <c r="J1571" s="5">
        <f>ABS(F1571-G1571)/ABS(F1571)</f>
        <v>0</v>
      </c>
      <c r="K1571" s="5">
        <f>ABS(G1571-H1571)/ABS(G1571)</f>
        <v>0</v>
      </c>
    </row>
    <row r="1572" spans="3:11" x14ac:dyDescent="0.2">
      <c r="C1572" t="s">
        <v>2307</v>
      </c>
      <c r="D1572" t="b">
        <f ca="1">IF(CELL("format",F1572)="G",IF(ABS(F1572-G1572) &lt;= ABS(F1572*B$3),TRUE,FALSE),IF(F1572=G1572,TRUE,FALSE))</f>
        <v>1</v>
      </c>
      <c r="E1572" s="5">
        <f>ABS(F1572-G1572)/ABS(F1572)</f>
        <v>0</v>
      </c>
      <c r="F1572">
        <v>-0.12</v>
      </c>
      <c r="G1572">
        <v>-0.12</v>
      </c>
      <c r="H1572">
        <v>-0.12</v>
      </c>
      <c r="J1572" s="5">
        <f>ABS(F1572-G1572)/ABS(F1572)</f>
        <v>0</v>
      </c>
      <c r="K1572" s="5">
        <f>ABS(G1572-H1572)/ABS(G1572)</f>
        <v>0</v>
      </c>
    </row>
    <row r="1573" spans="3:11" x14ac:dyDescent="0.2">
      <c r="C1573" t="s">
        <v>2308</v>
      </c>
      <c r="D1573" t="b">
        <f ca="1">IF(CELL("format",F1573)="G",IF(ABS(F1573-G1573) &lt;= ABS(F1573*B$3),TRUE,FALSE),IF(F1573=G1573,TRUE,FALSE))</f>
        <v>1</v>
      </c>
      <c r="E1573" s="5">
        <f>ABS(F1573-G1573)/ABS(F1573)</f>
        <v>0</v>
      </c>
      <c r="F1573">
        <v>-0.38</v>
      </c>
      <c r="G1573">
        <v>-0.38</v>
      </c>
      <c r="H1573">
        <v>-0.38</v>
      </c>
      <c r="J1573" s="5">
        <f>ABS(F1573-G1573)/ABS(F1573)</f>
        <v>0</v>
      </c>
      <c r="K1573" s="5">
        <f>ABS(G1573-H1573)/ABS(G1573)</f>
        <v>0</v>
      </c>
    </row>
    <row r="1574" spans="3:11" x14ac:dyDescent="0.2">
      <c r="C1574" t="s">
        <v>2309</v>
      </c>
      <c r="D1574" t="b">
        <f ca="1">IF(CELL("format",F1574)="G",IF(ABS(F1574-G1574) &lt;= ABS(F1574*B$3),TRUE,FALSE),IF(F1574=G1574,TRUE,FALSE))</f>
        <v>1</v>
      </c>
      <c r="E1574" s="5">
        <f>ABS(F1574-G1574)/ABS(F1574)</f>
        <v>0</v>
      </c>
      <c r="F1574">
        <v>-0.74</v>
      </c>
      <c r="G1574">
        <v>-0.74</v>
      </c>
      <c r="H1574">
        <v>-0.74</v>
      </c>
      <c r="J1574" s="5">
        <f>ABS(F1574-G1574)/ABS(F1574)</f>
        <v>0</v>
      </c>
      <c r="K1574" s="5">
        <f>ABS(G1574-H1574)/ABS(G1574)</f>
        <v>0</v>
      </c>
    </row>
    <row r="1575" spans="3:11" x14ac:dyDescent="0.2">
      <c r="C1575" t="s">
        <v>2310</v>
      </c>
      <c r="D1575" t="b">
        <f ca="1">IF(CELL("format",F1575)="G",IF(ABS(F1575-G1575) &lt;= ABS(F1575*B$3),TRUE,FALSE),IF(F1575=G1575,TRUE,FALSE))</f>
        <v>1</v>
      </c>
      <c r="E1575" s="5">
        <f>ABS(F1575-G1575)/ABS(F1575)</f>
        <v>0</v>
      </c>
      <c r="F1575">
        <v>-1.29</v>
      </c>
      <c r="G1575">
        <v>-1.29</v>
      </c>
      <c r="H1575">
        <v>-1.29</v>
      </c>
      <c r="J1575" s="5">
        <f>ABS(F1575-G1575)/ABS(F1575)</f>
        <v>0</v>
      </c>
      <c r="K1575" s="5">
        <f>ABS(G1575-H1575)/ABS(G1575)</f>
        <v>0</v>
      </c>
    </row>
    <row r="1576" spans="3:11" x14ac:dyDescent="0.2">
      <c r="C1576" t="s">
        <v>2311</v>
      </c>
      <c r="D1576" t="b">
        <f ca="1">IF(CELL("format",F1576)="G",IF(ABS(F1576-G1576) &lt;= ABS(F1576*B$3),TRUE,FALSE),IF(F1576=G1576,TRUE,FALSE))</f>
        <v>1</v>
      </c>
      <c r="E1576" s="5">
        <f>ABS(F1576-G1576)/ABS(F1576)</f>
        <v>0</v>
      </c>
      <c r="F1576">
        <v>-2.02</v>
      </c>
      <c r="G1576">
        <v>-2.02</v>
      </c>
      <c r="H1576">
        <v>-2.02</v>
      </c>
      <c r="J1576" s="5">
        <f>ABS(F1576-G1576)/ABS(F1576)</f>
        <v>0</v>
      </c>
      <c r="K1576" s="5">
        <f>ABS(G1576-H1576)/ABS(G1576)</f>
        <v>0</v>
      </c>
    </row>
    <row r="1577" spans="3:11" x14ac:dyDescent="0.2">
      <c r="C1577" t="s">
        <v>2312</v>
      </c>
      <c r="D1577" t="b">
        <f ca="1">IF(CELL("format",F1577)="G",IF(ABS(F1577-G1577) &lt;= ABS(F1577*B$3),TRUE,FALSE),IF(F1577=G1577,TRUE,FALSE))</f>
        <v>1</v>
      </c>
      <c r="E1577" s="5">
        <f>ABS(F1577-G1577)/ABS(F1577)</f>
        <v>0</v>
      </c>
      <c r="F1577">
        <v>-2.68</v>
      </c>
      <c r="G1577">
        <v>-2.68</v>
      </c>
      <c r="H1577">
        <v>-2.68</v>
      </c>
      <c r="J1577" s="5">
        <f>ABS(F1577-G1577)/ABS(F1577)</f>
        <v>0</v>
      </c>
      <c r="K1577" s="5">
        <f>ABS(G1577-H1577)/ABS(G1577)</f>
        <v>0</v>
      </c>
    </row>
    <row r="1578" spans="3:11" x14ac:dyDescent="0.2">
      <c r="C1578" t="s">
        <v>2313</v>
      </c>
      <c r="D1578" t="b">
        <f ca="1">IF(CELL("format",F1578)="G",IF(ABS(F1578-G1578) &lt;= ABS(F1578*B$3),TRUE,FALSE),IF(F1578=G1578,TRUE,FALSE))</f>
        <v>1</v>
      </c>
      <c r="E1578" s="5">
        <f>ABS(F1578-G1578)/ABS(F1578)</f>
        <v>0</v>
      </c>
      <c r="F1578">
        <v>-3.07</v>
      </c>
      <c r="G1578">
        <v>-3.07</v>
      </c>
      <c r="H1578">
        <v>-3.07</v>
      </c>
      <c r="J1578" s="5">
        <f>ABS(F1578-G1578)/ABS(F1578)</f>
        <v>0</v>
      </c>
      <c r="K1578" s="5">
        <f>ABS(G1578-H1578)/ABS(G1578)</f>
        <v>0</v>
      </c>
    </row>
    <row r="1579" spans="3:11" x14ac:dyDescent="0.2">
      <c r="C1579" t="s">
        <v>2314</v>
      </c>
      <c r="D1579" t="b">
        <f ca="1">IF(CELL("format",F1579)="G",IF(ABS(F1579-G1579) &lt;= ABS(F1579*B$3),TRUE,FALSE),IF(F1579=G1579,TRUE,FALSE))</f>
        <v>1</v>
      </c>
      <c r="E1579" s="5">
        <f>ABS(F1579-G1579)/ABS(F1579)</f>
        <v>0</v>
      </c>
      <c r="F1579">
        <v>-3.11</v>
      </c>
      <c r="G1579">
        <v>-3.11</v>
      </c>
      <c r="H1579">
        <v>-3.11</v>
      </c>
      <c r="J1579" s="5">
        <f>ABS(F1579-G1579)/ABS(F1579)</f>
        <v>0</v>
      </c>
      <c r="K1579" s="5">
        <f>ABS(G1579-H1579)/ABS(G1579)</f>
        <v>0</v>
      </c>
    </row>
    <row r="1580" spans="3:11" x14ac:dyDescent="0.2">
      <c r="C1580" t="s">
        <v>2315</v>
      </c>
      <c r="D1580" t="b">
        <f ca="1">IF(CELL("format",F1580)="G",IF(ABS(F1580-G1580) &lt;= ABS(F1580*B$3),TRUE,FALSE),IF(F1580=G1580,TRUE,FALSE))</f>
        <v>1</v>
      </c>
      <c r="E1580" s="5">
        <f>ABS(F1580-G1580)/ABS(F1580)</f>
        <v>0</v>
      </c>
      <c r="F1580">
        <v>-2.82</v>
      </c>
      <c r="G1580">
        <v>-2.82</v>
      </c>
      <c r="H1580">
        <v>-2.82</v>
      </c>
      <c r="J1580" s="5">
        <f>ABS(F1580-G1580)/ABS(F1580)</f>
        <v>0</v>
      </c>
      <c r="K1580" s="5">
        <f>ABS(G1580-H1580)/ABS(G1580)</f>
        <v>0</v>
      </c>
    </row>
    <row r="1581" spans="3:11" x14ac:dyDescent="0.2">
      <c r="C1581" t="s">
        <v>2316</v>
      </c>
      <c r="D1581" t="b">
        <f ca="1">IF(CELL("format",F1581)="G",IF(ABS(F1581-G1581) &lt;= ABS(F1581*B$3),TRUE,FALSE),IF(F1581=G1581,TRUE,FALSE))</f>
        <v>1</v>
      </c>
      <c r="E1581" s="5">
        <f>ABS(F1581-G1581)/ABS(F1581)</f>
        <v>0</v>
      </c>
      <c r="F1581">
        <v>-2.35</v>
      </c>
      <c r="G1581">
        <v>-2.35</v>
      </c>
      <c r="H1581">
        <v>-2.35</v>
      </c>
      <c r="J1581" s="5">
        <f>ABS(F1581-G1581)/ABS(F1581)</f>
        <v>0</v>
      </c>
      <c r="K1581" s="5">
        <f>ABS(G1581-H1581)/ABS(G1581)</f>
        <v>0</v>
      </c>
    </row>
    <row r="1582" spans="3:11" x14ac:dyDescent="0.2">
      <c r="C1582" t="s">
        <v>2317</v>
      </c>
      <c r="D1582" t="b">
        <f ca="1">IF(CELL("format",F1582)="G",IF(ABS(F1582-G1582) &lt;= ABS(F1582*B$3),TRUE,FALSE),IF(F1582=G1582,TRUE,FALSE))</f>
        <v>1</v>
      </c>
      <c r="E1582" s="5">
        <f>ABS(F1582-G1582)/ABS(F1582)</f>
        <v>0</v>
      </c>
      <c r="F1582">
        <v>-1.95</v>
      </c>
      <c r="G1582">
        <v>-1.95</v>
      </c>
      <c r="H1582">
        <v>-1.95</v>
      </c>
      <c r="J1582" s="5">
        <f>ABS(F1582-G1582)/ABS(F1582)</f>
        <v>0</v>
      </c>
      <c r="K1582" s="5">
        <f>ABS(G1582-H1582)/ABS(G1582)</f>
        <v>0</v>
      </c>
    </row>
    <row r="1583" spans="3:11" x14ac:dyDescent="0.2">
      <c r="C1583" t="s">
        <v>2318</v>
      </c>
      <c r="D1583" t="b">
        <f ca="1">IF(CELL("format",F1583)="G",IF(ABS(F1583-G1583) &lt;= ABS(F1583*B$3),TRUE,FALSE),IF(F1583=G1583,TRUE,FALSE))</f>
        <v>1</v>
      </c>
      <c r="E1583" s="5">
        <f>ABS(F1583-G1583)/ABS(F1583)</f>
        <v>0</v>
      </c>
      <c r="F1583">
        <v>-1.62</v>
      </c>
      <c r="G1583">
        <v>-1.62</v>
      </c>
      <c r="H1583">
        <v>-1.62</v>
      </c>
      <c r="J1583" s="5">
        <f>ABS(F1583-G1583)/ABS(F1583)</f>
        <v>0</v>
      </c>
      <c r="K1583" s="5">
        <f>ABS(G1583-H1583)/ABS(G1583)</f>
        <v>0</v>
      </c>
    </row>
    <row r="1584" spans="3:11" x14ac:dyDescent="0.2">
      <c r="C1584" t="s">
        <v>2319</v>
      </c>
      <c r="D1584" t="b">
        <f ca="1">IF(CELL("format",F1584)="G",IF(ABS(F1584-G1584) &lt;= ABS(F1584*B$3),TRUE,FALSE),IF(F1584=G1584,TRUE,FALSE))</f>
        <v>1</v>
      </c>
      <c r="E1584" s="5">
        <f>ABS(F1584-G1584)/ABS(F1584)</f>
        <v>0</v>
      </c>
      <c r="F1584">
        <v>-1.3</v>
      </c>
      <c r="G1584">
        <v>-1.3</v>
      </c>
      <c r="H1584">
        <v>-1.3</v>
      </c>
      <c r="J1584" s="5">
        <f>ABS(F1584-G1584)/ABS(F1584)</f>
        <v>0</v>
      </c>
      <c r="K1584" s="5">
        <f>ABS(G1584-H1584)/ABS(G1584)</f>
        <v>0</v>
      </c>
    </row>
    <row r="1585" spans="3:11" x14ac:dyDescent="0.2">
      <c r="C1585" t="s">
        <v>2320</v>
      </c>
      <c r="D1585" t="b">
        <f ca="1">IF(CELL("format",F1585)="G",IF(ABS(F1585-G1585) &lt;= ABS(F1585*B$3),TRUE,FALSE),IF(F1585=G1585,TRUE,FALSE))</f>
        <v>1</v>
      </c>
      <c r="E1585" s="5">
        <f>ABS(F1585-G1585)/ABS(F1585)</f>
        <v>0</v>
      </c>
      <c r="F1585">
        <v>-0.99</v>
      </c>
      <c r="G1585">
        <v>-0.99</v>
      </c>
      <c r="H1585">
        <v>-0.99</v>
      </c>
      <c r="J1585" s="5">
        <f>ABS(F1585-G1585)/ABS(F1585)</f>
        <v>0</v>
      </c>
      <c r="K1585" s="5">
        <f>ABS(G1585-H1585)/ABS(G1585)</f>
        <v>0</v>
      </c>
    </row>
    <row r="1586" spans="3:11" x14ac:dyDescent="0.2">
      <c r="C1586" t="s">
        <v>2321</v>
      </c>
      <c r="D1586" t="b">
        <f ca="1">IF(CELL("format",F1586)="G",IF(ABS(F1586-G1586) &lt;= ABS(F1586*B$3),TRUE,FALSE),IF(F1586=G1586,TRUE,FALSE))</f>
        <v>1</v>
      </c>
      <c r="E1586" s="5">
        <f>ABS(F1586-G1586)/ABS(F1586)</f>
        <v>0</v>
      </c>
      <c r="F1586">
        <v>-0.73</v>
      </c>
      <c r="G1586">
        <v>-0.73</v>
      </c>
      <c r="H1586">
        <v>-0.73</v>
      </c>
      <c r="J1586" s="5">
        <f>ABS(F1586-G1586)/ABS(F1586)</f>
        <v>0</v>
      </c>
      <c r="K1586" s="5">
        <f>ABS(G1586-H1586)/ABS(G1586)</f>
        <v>0</v>
      </c>
    </row>
    <row r="1587" spans="3:11" x14ac:dyDescent="0.2">
      <c r="C1587" t="s">
        <v>2322</v>
      </c>
      <c r="D1587" t="b">
        <f ca="1">IF(CELL("format",F1587)="G",IF(ABS(F1587-G1587) &lt;= ABS(F1587*B$3),TRUE,FALSE),IF(F1587=G1587,TRUE,FALSE))</f>
        <v>1</v>
      </c>
      <c r="E1587" s="5">
        <f>ABS(F1587-G1587)/ABS(F1587)</f>
        <v>0</v>
      </c>
      <c r="F1587">
        <v>-0.56000000000000005</v>
      </c>
      <c r="G1587">
        <v>-0.56000000000000005</v>
      </c>
      <c r="H1587">
        <v>-0.56000000000000005</v>
      </c>
      <c r="J1587" s="5">
        <f>ABS(F1587-G1587)/ABS(F1587)</f>
        <v>0</v>
      </c>
      <c r="K1587" s="5">
        <f>ABS(G1587-H1587)/ABS(G1587)</f>
        <v>0</v>
      </c>
    </row>
    <row r="1588" spans="3:11" x14ac:dyDescent="0.2">
      <c r="C1588" t="s">
        <v>2323</v>
      </c>
      <c r="D1588" t="b">
        <f ca="1">IF(CELL("format",F1588)="G",IF(ABS(F1588-G1588) &lt;= ABS(F1588*B$3),TRUE,FALSE),IF(F1588=G1588,TRUE,FALSE))</f>
        <v>1</v>
      </c>
      <c r="E1588" s="5">
        <f>ABS(F1588-G1588)/ABS(F1588)</f>
        <v>0</v>
      </c>
      <c r="F1588">
        <v>-0.44</v>
      </c>
      <c r="G1588">
        <v>-0.44</v>
      </c>
      <c r="H1588">
        <v>-0.44</v>
      </c>
      <c r="J1588" s="5">
        <f>ABS(F1588-G1588)/ABS(F1588)</f>
        <v>0</v>
      </c>
      <c r="K1588" s="5">
        <f>ABS(G1588-H1588)/ABS(G1588)</f>
        <v>0</v>
      </c>
    </row>
    <row r="1589" spans="3:11" x14ac:dyDescent="0.2">
      <c r="C1589" t="s">
        <v>2324</v>
      </c>
      <c r="D1589" t="b">
        <f ca="1">IF(CELL("format",F1589)="G",IF(ABS(F1589-G1589) &lt;= ABS(F1589*B$3),TRUE,FALSE),IF(F1589=G1589,TRUE,FALSE))</f>
        <v>1</v>
      </c>
      <c r="E1589" s="5">
        <f>ABS(F1589-G1589)/ABS(F1589)</f>
        <v>0</v>
      </c>
      <c r="F1589">
        <v>-0.33</v>
      </c>
      <c r="G1589">
        <v>-0.33</v>
      </c>
      <c r="H1589">
        <v>-0.33</v>
      </c>
      <c r="J1589" s="5">
        <f>ABS(F1589-G1589)/ABS(F1589)</f>
        <v>0</v>
      </c>
      <c r="K1589" s="5">
        <f>ABS(G1589-H1589)/ABS(G1589)</f>
        <v>0</v>
      </c>
    </row>
    <row r="1590" spans="3:11" x14ac:dyDescent="0.2">
      <c r="C1590" t="s">
        <v>2301</v>
      </c>
      <c r="D1590" t="b">
        <f ca="1">IF(CELL("format",F1590)="G",IF(ABS(F1590-G1590) &lt;= ABS(F1590*B$3),TRUE,FALSE),IF(F1590=G1590,TRUE,FALSE))</f>
        <v>1</v>
      </c>
      <c r="E1590" s="5">
        <f>ABS(F1590-G1590)/ABS(F1590)</f>
        <v>0</v>
      </c>
      <c r="F1590">
        <v>-0.1</v>
      </c>
      <c r="G1590">
        <v>-0.1</v>
      </c>
      <c r="H1590">
        <v>-0.1</v>
      </c>
      <c r="J1590" s="5">
        <f>ABS(F1590-G1590)/ABS(F1590)</f>
        <v>0</v>
      </c>
      <c r="K1590" s="5">
        <f>ABS(G1590-H1590)/ABS(G1590)</f>
        <v>0</v>
      </c>
    </row>
    <row r="1591" spans="3:11" x14ac:dyDescent="0.2">
      <c r="C1591" t="s">
        <v>2302</v>
      </c>
      <c r="D1591" t="b">
        <f ca="1">IF(CELL("format",F1591)="G",IF(ABS(F1591-G1591) &lt;= ABS(F1591*B$3),TRUE,FALSE),IF(F1591=G1591,TRUE,FALSE))</f>
        <v>1</v>
      </c>
      <c r="E1591" s="5">
        <f>ABS(F1591-G1591)/ABS(F1591)</f>
        <v>0</v>
      </c>
      <c r="F1591">
        <v>-0.03</v>
      </c>
      <c r="G1591">
        <v>-0.03</v>
      </c>
      <c r="H1591">
        <v>-0.03</v>
      </c>
      <c r="J1591" s="5">
        <f>ABS(F1591-G1591)/ABS(F1591)</f>
        <v>0</v>
      </c>
      <c r="K1591" s="5">
        <f>ABS(G1591-H1591)/ABS(G1591)</f>
        <v>0</v>
      </c>
    </row>
    <row r="1592" spans="3:11" x14ac:dyDescent="0.2">
      <c r="C1592" t="s">
        <v>2303</v>
      </c>
      <c r="D1592" t="b">
        <f ca="1">IF(CELL("format",F1592)="G",IF(ABS(F1592-G1592) &lt;= ABS(F1592*B$3),TRUE,FALSE),IF(F1592=G1592,TRUE,FALSE))</f>
        <v>1</v>
      </c>
      <c r="E1592" s="5" t="e">
        <f>ABS(F1592-G1592)/ABS(F1592)</f>
        <v>#DIV/0!</v>
      </c>
      <c r="F1592">
        <v>0</v>
      </c>
      <c r="G1592">
        <v>0</v>
      </c>
      <c r="H1592">
        <v>0</v>
      </c>
      <c r="J1592" s="5" t="e">
        <f>ABS(F1592-G1592)/ABS(F1592)</f>
        <v>#DIV/0!</v>
      </c>
      <c r="K1592" s="5" t="e">
        <f>ABS(G1592-H1592)/ABS(G1592)</f>
        <v>#DIV/0!</v>
      </c>
    </row>
    <row r="1593" spans="3:11" x14ac:dyDescent="0.2">
      <c r="C1593" t="s">
        <v>2304</v>
      </c>
      <c r="D1593" t="b">
        <f ca="1">IF(CELL("format",F1593)="G",IF(ABS(F1593-G1593) &lt;= ABS(F1593*B$3),TRUE,FALSE),IF(F1593=G1593,TRUE,FALSE))</f>
        <v>1</v>
      </c>
      <c r="E1593" s="5" t="e">
        <f>ABS(F1593-G1593)/ABS(F1593)</f>
        <v>#DIV/0!</v>
      </c>
      <c r="F1593">
        <v>0</v>
      </c>
      <c r="G1593">
        <v>0</v>
      </c>
      <c r="H1593">
        <v>0</v>
      </c>
      <c r="J1593" s="5" t="e">
        <f>ABS(F1593-G1593)/ABS(F1593)</f>
        <v>#DIV/0!</v>
      </c>
      <c r="K1593" s="5" t="e">
        <f>ABS(G1593-H1593)/ABS(G1593)</f>
        <v>#DIV/0!</v>
      </c>
    </row>
    <row r="1594" spans="3:11" x14ac:dyDescent="0.2">
      <c r="C1594" t="s">
        <v>2305</v>
      </c>
      <c r="D1594" t="b">
        <f ca="1">IF(CELL("format",F1594)="G",IF(ABS(F1594-G1594) &lt;= ABS(F1594*B$3),TRUE,FALSE),IF(F1594=G1594,TRUE,FALSE))</f>
        <v>1</v>
      </c>
      <c r="E1594" s="5" t="e">
        <f>ABS(F1594-G1594)/ABS(F1594)</f>
        <v>#DIV/0!</v>
      </c>
      <c r="F1594">
        <v>0</v>
      </c>
      <c r="G1594">
        <v>0</v>
      </c>
      <c r="H1594">
        <v>0</v>
      </c>
      <c r="J1594" s="5" t="e">
        <f>ABS(F1594-G1594)/ABS(F1594)</f>
        <v>#DIV/0!</v>
      </c>
      <c r="K1594" s="5" t="e">
        <f>ABS(G1594-H1594)/ABS(G1594)</f>
        <v>#DIV/0!</v>
      </c>
    </row>
    <row r="1595" spans="3:11" x14ac:dyDescent="0.2">
      <c r="C1595" t="s">
        <v>2306</v>
      </c>
      <c r="D1595" t="b">
        <f ca="1">IF(CELL("format",F1595)="G",IF(ABS(F1595-G1595) &lt;= ABS(F1595*B$3),TRUE,FALSE),IF(F1595=G1595,TRUE,FALSE))</f>
        <v>1</v>
      </c>
      <c r="E1595" s="5" t="e">
        <f>ABS(F1595-G1595)/ABS(F1595)</f>
        <v>#DIV/0!</v>
      </c>
      <c r="F1595">
        <v>0</v>
      </c>
      <c r="G1595">
        <v>0</v>
      </c>
      <c r="H1595">
        <v>0</v>
      </c>
      <c r="J1595" s="5" t="e">
        <f>ABS(F1595-G1595)/ABS(F1595)</f>
        <v>#DIV/0!</v>
      </c>
      <c r="K1595" s="5" t="e">
        <f>ABS(G1595-H1595)/ABS(G1595)</f>
        <v>#DIV/0!</v>
      </c>
    </row>
    <row r="1596" spans="3:11" x14ac:dyDescent="0.2">
      <c r="C1596" t="s">
        <v>2307</v>
      </c>
      <c r="D1596" t="b">
        <f ca="1">IF(CELL("format",F1596)="G",IF(ABS(F1596-G1596) &lt;= ABS(F1596*B$3),TRUE,FALSE),IF(F1596=G1596,TRUE,FALSE))</f>
        <v>1</v>
      </c>
      <c r="E1596" s="5" t="e">
        <f>ABS(F1596-G1596)/ABS(F1596)</f>
        <v>#DIV/0!</v>
      </c>
      <c r="F1596">
        <v>0</v>
      </c>
      <c r="G1596">
        <v>0</v>
      </c>
      <c r="H1596">
        <v>0</v>
      </c>
      <c r="J1596" s="5" t="e">
        <f>ABS(F1596-G1596)/ABS(F1596)</f>
        <v>#DIV/0!</v>
      </c>
      <c r="K1596" s="5" t="e">
        <f>ABS(G1596-H1596)/ABS(G1596)</f>
        <v>#DIV/0!</v>
      </c>
    </row>
    <row r="1597" spans="3:11" x14ac:dyDescent="0.2">
      <c r="C1597" t="s">
        <v>2308</v>
      </c>
      <c r="D1597" t="b">
        <f ca="1">IF(CELL("format",F1597)="G",IF(ABS(F1597-G1597) &lt;= ABS(F1597*B$3),TRUE,FALSE),IF(F1597=G1597,TRUE,FALSE))</f>
        <v>1</v>
      </c>
      <c r="E1597" s="5">
        <f>ABS(F1597-G1597)/ABS(F1597)</f>
        <v>0</v>
      </c>
      <c r="F1597">
        <v>-0.02</v>
      </c>
      <c r="G1597">
        <v>-0.02</v>
      </c>
      <c r="H1597">
        <v>-0.02</v>
      </c>
      <c r="J1597" s="5">
        <f>ABS(F1597-G1597)/ABS(F1597)</f>
        <v>0</v>
      </c>
      <c r="K1597" s="5">
        <f>ABS(G1597-H1597)/ABS(G1597)</f>
        <v>0</v>
      </c>
    </row>
    <row r="1598" spans="3:11" x14ac:dyDescent="0.2">
      <c r="C1598" t="s">
        <v>2309</v>
      </c>
      <c r="D1598" t="b">
        <f ca="1">IF(CELL("format",F1598)="G",IF(ABS(F1598-G1598) &lt;= ABS(F1598*B$3),TRUE,FALSE),IF(F1598=G1598,TRUE,FALSE))</f>
        <v>1</v>
      </c>
      <c r="E1598" s="5">
        <f>ABS(F1598-G1598)/ABS(F1598)</f>
        <v>0</v>
      </c>
      <c r="F1598">
        <v>-0.16</v>
      </c>
      <c r="G1598">
        <v>-0.16</v>
      </c>
      <c r="H1598">
        <v>-0.16</v>
      </c>
      <c r="J1598" s="5">
        <f>ABS(F1598-G1598)/ABS(F1598)</f>
        <v>0</v>
      </c>
      <c r="K1598" s="5">
        <f>ABS(G1598-H1598)/ABS(G1598)</f>
        <v>0</v>
      </c>
    </row>
    <row r="1599" spans="3:11" x14ac:dyDescent="0.2">
      <c r="C1599" t="s">
        <v>2310</v>
      </c>
      <c r="D1599" t="b">
        <f ca="1">IF(CELL("format",F1599)="G",IF(ABS(F1599-G1599) &lt;= ABS(F1599*B$3),TRUE,FALSE),IF(F1599=G1599,TRUE,FALSE))</f>
        <v>1</v>
      </c>
      <c r="E1599" s="5">
        <f>ABS(F1599-G1599)/ABS(F1599)</f>
        <v>0</v>
      </c>
      <c r="F1599">
        <v>-0.42</v>
      </c>
      <c r="G1599">
        <v>-0.42</v>
      </c>
      <c r="H1599">
        <v>-0.42</v>
      </c>
      <c r="J1599" s="5">
        <f>ABS(F1599-G1599)/ABS(F1599)</f>
        <v>0</v>
      </c>
      <c r="K1599" s="5">
        <f>ABS(G1599-H1599)/ABS(G1599)</f>
        <v>0</v>
      </c>
    </row>
    <row r="1600" spans="3:11" x14ac:dyDescent="0.2">
      <c r="C1600" t="s">
        <v>2311</v>
      </c>
      <c r="D1600" t="b">
        <f ca="1">IF(CELL("format",F1600)="G",IF(ABS(F1600-G1600) &lt;= ABS(F1600*B$3),TRUE,FALSE),IF(F1600=G1600,TRUE,FALSE))</f>
        <v>1</v>
      </c>
      <c r="E1600" s="5">
        <f>ABS(F1600-G1600)/ABS(F1600)</f>
        <v>0</v>
      </c>
      <c r="F1600">
        <v>-0.77</v>
      </c>
      <c r="G1600">
        <v>-0.77</v>
      </c>
      <c r="H1600">
        <v>-0.77</v>
      </c>
      <c r="J1600" s="5">
        <f>ABS(F1600-G1600)/ABS(F1600)</f>
        <v>0</v>
      </c>
      <c r="K1600" s="5">
        <f>ABS(G1600-H1600)/ABS(G1600)</f>
        <v>0</v>
      </c>
    </row>
    <row r="1601" spans="3:11" x14ac:dyDescent="0.2">
      <c r="C1601" t="s">
        <v>2312</v>
      </c>
      <c r="D1601" t="b">
        <f ca="1">IF(CELL("format",F1601)="G",IF(ABS(F1601-G1601) &lt;= ABS(F1601*B$3),TRUE,FALSE),IF(F1601=G1601,TRUE,FALSE))</f>
        <v>1</v>
      </c>
      <c r="E1601" s="5">
        <f>ABS(F1601-G1601)/ABS(F1601)</f>
        <v>0</v>
      </c>
      <c r="F1601">
        <v>-1.1000000000000001</v>
      </c>
      <c r="G1601">
        <v>-1.1000000000000001</v>
      </c>
      <c r="H1601">
        <v>-1.1000000000000001</v>
      </c>
      <c r="J1601" s="5">
        <f>ABS(F1601-G1601)/ABS(F1601)</f>
        <v>0</v>
      </c>
      <c r="K1601" s="5">
        <f>ABS(G1601-H1601)/ABS(G1601)</f>
        <v>0</v>
      </c>
    </row>
    <row r="1602" spans="3:11" x14ac:dyDescent="0.2">
      <c r="C1602" t="s">
        <v>2313</v>
      </c>
      <c r="D1602" t="b">
        <f ca="1">IF(CELL("format",F1602)="G",IF(ABS(F1602-G1602) &lt;= ABS(F1602*B$3),TRUE,FALSE),IF(F1602=G1602,TRUE,FALSE))</f>
        <v>1</v>
      </c>
      <c r="E1602" s="5">
        <f>ABS(F1602-G1602)/ABS(F1602)</f>
        <v>0</v>
      </c>
      <c r="F1602">
        <v>-1.33</v>
      </c>
      <c r="G1602">
        <v>-1.33</v>
      </c>
      <c r="H1602">
        <v>-1.33</v>
      </c>
      <c r="J1602" s="5">
        <f>ABS(F1602-G1602)/ABS(F1602)</f>
        <v>0</v>
      </c>
      <c r="K1602" s="5">
        <f>ABS(G1602-H1602)/ABS(G1602)</f>
        <v>0</v>
      </c>
    </row>
    <row r="1603" spans="3:11" x14ac:dyDescent="0.2">
      <c r="C1603" t="s">
        <v>2314</v>
      </c>
      <c r="D1603" t="b">
        <f ca="1">IF(CELL("format",F1603)="G",IF(ABS(F1603-G1603) &lt;= ABS(F1603*B$3),TRUE,FALSE),IF(F1603=G1603,TRUE,FALSE))</f>
        <v>1</v>
      </c>
      <c r="E1603" s="5">
        <f>ABS(F1603-G1603)/ABS(F1603)</f>
        <v>0</v>
      </c>
      <c r="F1603">
        <v>-1.47</v>
      </c>
      <c r="G1603">
        <v>-1.47</v>
      </c>
      <c r="H1603">
        <v>-1.47</v>
      </c>
      <c r="J1603" s="5">
        <f>ABS(F1603-G1603)/ABS(F1603)</f>
        <v>0</v>
      </c>
      <c r="K1603" s="5">
        <f>ABS(G1603-H1603)/ABS(G1603)</f>
        <v>0</v>
      </c>
    </row>
    <row r="1604" spans="3:11" x14ac:dyDescent="0.2">
      <c r="C1604" t="s">
        <v>2315</v>
      </c>
      <c r="D1604" t="b">
        <f ca="1">IF(CELL("format",F1604)="G",IF(ABS(F1604-G1604) &lt;= ABS(F1604*B$3),TRUE,FALSE),IF(F1604=G1604,TRUE,FALSE))</f>
        <v>1</v>
      </c>
      <c r="E1604" s="5">
        <f>ABS(F1604-G1604)/ABS(F1604)</f>
        <v>0</v>
      </c>
      <c r="F1604">
        <v>-1.48</v>
      </c>
      <c r="G1604">
        <v>-1.48</v>
      </c>
      <c r="H1604">
        <v>-1.48</v>
      </c>
      <c r="J1604" s="5">
        <f>ABS(F1604-G1604)/ABS(F1604)</f>
        <v>0</v>
      </c>
      <c r="K1604" s="5">
        <f>ABS(G1604-H1604)/ABS(G1604)</f>
        <v>0</v>
      </c>
    </row>
    <row r="1605" spans="3:11" x14ac:dyDescent="0.2">
      <c r="C1605" t="s">
        <v>2316</v>
      </c>
      <c r="D1605" t="b">
        <f ca="1">IF(CELL("format",F1605)="G",IF(ABS(F1605-G1605) &lt;= ABS(F1605*B$3),TRUE,FALSE),IF(F1605=G1605,TRUE,FALSE))</f>
        <v>1</v>
      </c>
      <c r="E1605" s="5">
        <f>ABS(F1605-G1605)/ABS(F1605)</f>
        <v>0</v>
      </c>
      <c r="F1605">
        <v>-1.4</v>
      </c>
      <c r="G1605">
        <v>-1.4</v>
      </c>
      <c r="H1605">
        <v>-1.4</v>
      </c>
      <c r="J1605" s="5">
        <f>ABS(F1605-G1605)/ABS(F1605)</f>
        <v>0</v>
      </c>
      <c r="K1605" s="5">
        <f>ABS(G1605-H1605)/ABS(G1605)</f>
        <v>0</v>
      </c>
    </row>
    <row r="1606" spans="3:11" x14ac:dyDescent="0.2">
      <c r="C1606" t="s">
        <v>2317</v>
      </c>
      <c r="D1606" t="b">
        <f ca="1">IF(CELL("format",F1606)="G",IF(ABS(F1606-G1606) &lt;= ABS(F1606*B$3),TRUE,FALSE),IF(F1606=G1606,TRUE,FALSE))</f>
        <v>1</v>
      </c>
      <c r="E1606" s="5">
        <f>ABS(F1606-G1606)/ABS(F1606)</f>
        <v>0</v>
      </c>
      <c r="F1606">
        <v>-1.29</v>
      </c>
      <c r="G1606">
        <v>-1.29</v>
      </c>
      <c r="H1606">
        <v>-1.29</v>
      </c>
      <c r="J1606" s="5">
        <f>ABS(F1606-G1606)/ABS(F1606)</f>
        <v>0</v>
      </c>
      <c r="K1606" s="5">
        <f>ABS(G1606-H1606)/ABS(G1606)</f>
        <v>0</v>
      </c>
    </row>
    <row r="1607" spans="3:11" x14ac:dyDescent="0.2">
      <c r="C1607" t="s">
        <v>2318</v>
      </c>
      <c r="D1607" t="b">
        <f ca="1">IF(CELL("format",F1607)="G",IF(ABS(F1607-G1607) &lt;= ABS(F1607*B$3),TRUE,FALSE),IF(F1607=G1607,TRUE,FALSE))</f>
        <v>1</v>
      </c>
      <c r="E1607" s="5">
        <f>ABS(F1607-G1607)/ABS(F1607)</f>
        <v>0</v>
      </c>
      <c r="F1607">
        <v>-1.17</v>
      </c>
      <c r="G1607">
        <v>-1.17</v>
      </c>
      <c r="H1607">
        <v>-1.17</v>
      </c>
      <c r="J1607" s="5">
        <f>ABS(F1607-G1607)/ABS(F1607)</f>
        <v>0</v>
      </c>
      <c r="K1607" s="5">
        <f>ABS(G1607-H1607)/ABS(G1607)</f>
        <v>0</v>
      </c>
    </row>
    <row r="1608" spans="3:11" x14ac:dyDescent="0.2">
      <c r="C1608" t="s">
        <v>2319</v>
      </c>
      <c r="D1608" t="b">
        <f ca="1">IF(CELL("format",F1608)="G",IF(ABS(F1608-G1608) &lt;= ABS(F1608*B$3),TRUE,FALSE),IF(F1608=G1608,TRUE,FALSE))</f>
        <v>1</v>
      </c>
      <c r="E1608" s="5">
        <f>ABS(F1608-G1608)/ABS(F1608)</f>
        <v>0</v>
      </c>
      <c r="F1608">
        <v>-1.01</v>
      </c>
      <c r="G1608">
        <v>-1.01</v>
      </c>
      <c r="H1608">
        <v>-1.01</v>
      </c>
      <c r="J1608" s="5">
        <f>ABS(F1608-G1608)/ABS(F1608)</f>
        <v>0</v>
      </c>
      <c r="K1608" s="5">
        <f>ABS(G1608-H1608)/ABS(G1608)</f>
        <v>0</v>
      </c>
    </row>
    <row r="1609" spans="3:11" x14ac:dyDescent="0.2">
      <c r="C1609" t="s">
        <v>2320</v>
      </c>
      <c r="D1609" t="b">
        <f ca="1">IF(CELL("format",F1609)="G",IF(ABS(F1609-G1609) &lt;= ABS(F1609*B$3),TRUE,FALSE),IF(F1609=G1609,TRUE,FALSE))</f>
        <v>1</v>
      </c>
      <c r="E1609" s="5">
        <f>ABS(F1609-G1609)/ABS(F1609)</f>
        <v>0</v>
      </c>
      <c r="F1609">
        <v>-0.85</v>
      </c>
      <c r="G1609">
        <v>-0.85</v>
      </c>
      <c r="H1609">
        <v>-0.85</v>
      </c>
      <c r="J1609" s="5">
        <f>ABS(F1609-G1609)/ABS(F1609)</f>
        <v>0</v>
      </c>
      <c r="K1609" s="5">
        <f>ABS(G1609-H1609)/ABS(G1609)</f>
        <v>0</v>
      </c>
    </row>
    <row r="1610" spans="3:11" x14ac:dyDescent="0.2">
      <c r="C1610" t="s">
        <v>2321</v>
      </c>
      <c r="D1610" t="b">
        <f ca="1">IF(CELL("format",F1610)="G",IF(ABS(F1610-G1610) &lt;= ABS(F1610*B$3),TRUE,FALSE),IF(F1610=G1610,TRUE,FALSE))</f>
        <v>1</v>
      </c>
      <c r="E1610" s="5">
        <f>ABS(F1610-G1610)/ABS(F1610)</f>
        <v>0</v>
      </c>
      <c r="F1610">
        <v>-0.7</v>
      </c>
      <c r="G1610">
        <v>-0.7</v>
      </c>
      <c r="H1610">
        <v>-0.7</v>
      </c>
      <c r="J1610" s="5">
        <f>ABS(F1610-G1610)/ABS(F1610)</f>
        <v>0</v>
      </c>
      <c r="K1610" s="5">
        <f>ABS(G1610-H1610)/ABS(G1610)</f>
        <v>0</v>
      </c>
    </row>
    <row r="1611" spans="3:11" x14ac:dyDescent="0.2">
      <c r="C1611" t="s">
        <v>2322</v>
      </c>
      <c r="D1611" t="b">
        <f ca="1">IF(CELL("format",F1611)="G",IF(ABS(F1611-G1611) &lt;= ABS(F1611*B$3),TRUE,FALSE),IF(F1611=G1611,TRUE,FALSE))</f>
        <v>1</v>
      </c>
      <c r="E1611" s="5">
        <f>ABS(F1611-G1611)/ABS(F1611)</f>
        <v>0</v>
      </c>
      <c r="F1611">
        <v>-0.59</v>
      </c>
      <c r="G1611">
        <v>-0.59</v>
      </c>
      <c r="H1611">
        <v>-0.59</v>
      </c>
      <c r="J1611" s="5">
        <f>ABS(F1611-G1611)/ABS(F1611)</f>
        <v>0</v>
      </c>
      <c r="K1611" s="5">
        <f>ABS(G1611-H1611)/ABS(G1611)</f>
        <v>0</v>
      </c>
    </row>
    <row r="1612" spans="3:11" x14ac:dyDescent="0.2">
      <c r="C1612" t="s">
        <v>2323</v>
      </c>
      <c r="D1612" t="b">
        <f ca="1">IF(CELL("format",F1612)="G",IF(ABS(F1612-G1612) &lt;= ABS(F1612*B$3),TRUE,FALSE),IF(F1612=G1612,TRUE,FALSE))</f>
        <v>1</v>
      </c>
      <c r="E1612" s="5">
        <f>ABS(F1612-G1612)/ABS(F1612)</f>
        <v>0</v>
      </c>
      <c r="F1612">
        <v>-0.49</v>
      </c>
      <c r="G1612">
        <v>-0.49</v>
      </c>
      <c r="H1612">
        <v>-0.49</v>
      </c>
      <c r="J1612" s="5">
        <f>ABS(F1612-G1612)/ABS(F1612)</f>
        <v>0</v>
      </c>
      <c r="K1612" s="5">
        <f>ABS(G1612-H1612)/ABS(G1612)</f>
        <v>0</v>
      </c>
    </row>
    <row r="1613" spans="3:11" x14ac:dyDescent="0.2">
      <c r="C1613" t="s">
        <v>2324</v>
      </c>
      <c r="D1613" t="b">
        <f ca="1">IF(CELL("format",F1613)="G",IF(ABS(F1613-G1613) &lt;= ABS(F1613*B$3),TRUE,FALSE),IF(F1613=G1613,TRUE,FALSE))</f>
        <v>1</v>
      </c>
      <c r="E1613" s="5">
        <f>ABS(F1613-G1613)/ABS(F1613)</f>
        <v>0</v>
      </c>
      <c r="F1613">
        <v>-0.38</v>
      </c>
      <c r="G1613">
        <v>-0.38</v>
      </c>
      <c r="H1613">
        <v>-0.38</v>
      </c>
      <c r="J1613" s="5">
        <f>ABS(F1613-G1613)/ABS(F1613)</f>
        <v>0</v>
      </c>
      <c r="K1613" s="5">
        <f>ABS(G1613-H1613)/ABS(G1613)</f>
        <v>0</v>
      </c>
    </row>
    <row r="1614" spans="3:11" x14ac:dyDescent="0.2">
      <c r="C1614" t="s">
        <v>2301</v>
      </c>
      <c r="D1614" t="b">
        <f ca="1">IF(CELL("format",F1614)="G",IF(ABS(F1614-G1614) &lt;= ABS(F1614*B$3),TRUE,FALSE),IF(F1614=G1614,TRUE,FALSE))</f>
        <v>1</v>
      </c>
      <c r="E1614" s="5">
        <f>ABS(F1614-G1614)/ABS(F1614)</f>
        <v>0</v>
      </c>
      <c r="F1614">
        <v>-0.22</v>
      </c>
      <c r="G1614">
        <v>-0.22</v>
      </c>
      <c r="H1614">
        <v>-0.22</v>
      </c>
      <c r="J1614" s="5">
        <f>ABS(F1614-G1614)/ABS(F1614)</f>
        <v>0</v>
      </c>
      <c r="K1614" s="5">
        <f>ABS(G1614-H1614)/ABS(G1614)</f>
        <v>0</v>
      </c>
    </row>
    <row r="1615" spans="3:11" x14ac:dyDescent="0.2">
      <c r="C1615" t="s">
        <v>2302</v>
      </c>
      <c r="D1615" t="b">
        <f ca="1">IF(CELL("format",F1615)="G",IF(ABS(F1615-G1615) &lt;= ABS(F1615*B$3),TRUE,FALSE),IF(F1615=G1615,TRUE,FALSE))</f>
        <v>1</v>
      </c>
      <c r="E1615" s="5">
        <f>ABS(F1615-G1615)/ABS(F1615)</f>
        <v>0</v>
      </c>
      <c r="F1615">
        <v>-0.16</v>
      </c>
      <c r="G1615">
        <v>-0.16</v>
      </c>
      <c r="H1615">
        <v>-0.16</v>
      </c>
      <c r="J1615" s="5">
        <f>ABS(F1615-G1615)/ABS(F1615)</f>
        <v>0</v>
      </c>
      <c r="K1615" s="5">
        <f>ABS(G1615-H1615)/ABS(G1615)</f>
        <v>0</v>
      </c>
    </row>
    <row r="1616" spans="3:11" x14ac:dyDescent="0.2">
      <c r="C1616" t="s">
        <v>2303</v>
      </c>
      <c r="D1616" t="b">
        <f ca="1">IF(CELL("format",F1616)="G",IF(ABS(F1616-G1616) &lt;= ABS(F1616*B$3),TRUE,FALSE),IF(F1616=G1616,TRUE,FALSE))</f>
        <v>1</v>
      </c>
      <c r="E1616" s="5">
        <f>ABS(F1616-G1616)/ABS(F1616)</f>
        <v>0</v>
      </c>
      <c r="F1616">
        <v>-0.09</v>
      </c>
      <c r="G1616">
        <v>-0.09</v>
      </c>
      <c r="H1616">
        <v>-0.09</v>
      </c>
      <c r="J1616" s="5">
        <f>ABS(F1616-G1616)/ABS(F1616)</f>
        <v>0</v>
      </c>
      <c r="K1616" s="5">
        <f>ABS(G1616-H1616)/ABS(G1616)</f>
        <v>0</v>
      </c>
    </row>
    <row r="1617" spans="3:11" x14ac:dyDescent="0.2">
      <c r="C1617" t="s">
        <v>2304</v>
      </c>
      <c r="D1617" t="b">
        <f ca="1">IF(CELL("format",F1617)="G",IF(ABS(F1617-G1617) &lt;= ABS(F1617*B$3),TRUE,FALSE),IF(F1617=G1617,TRUE,FALSE))</f>
        <v>1</v>
      </c>
      <c r="E1617" s="5">
        <f>ABS(F1617-G1617)/ABS(F1617)</f>
        <v>0</v>
      </c>
      <c r="F1617">
        <v>-0.02</v>
      </c>
      <c r="G1617">
        <v>-0.02</v>
      </c>
      <c r="H1617">
        <v>-0.02</v>
      </c>
      <c r="J1617" s="5">
        <f>ABS(F1617-G1617)/ABS(F1617)</f>
        <v>0</v>
      </c>
      <c r="K1617" s="5">
        <f>ABS(G1617-H1617)/ABS(G1617)</f>
        <v>0</v>
      </c>
    </row>
    <row r="1618" spans="3:11" x14ac:dyDescent="0.2">
      <c r="C1618" t="s">
        <v>2305</v>
      </c>
      <c r="D1618" t="b">
        <f ca="1">IF(CELL("format",F1618)="G",IF(ABS(F1618-G1618) &lt;= ABS(F1618*B$3),TRUE,FALSE),IF(F1618=G1618,TRUE,FALSE))</f>
        <v>1</v>
      </c>
      <c r="E1618" s="5" t="e">
        <f>ABS(F1618-G1618)/ABS(F1618)</f>
        <v>#DIV/0!</v>
      </c>
      <c r="F1618">
        <v>0</v>
      </c>
      <c r="G1618">
        <v>0</v>
      </c>
      <c r="H1618">
        <v>0</v>
      </c>
      <c r="J1618" s="5" t="e">
        <f>ABS(F1618-G1618)/ABS(F1618)</f>
        <v>#DIV/0!</v>
      </c>
      <c r="K1618" s="5" t="e">
        <f>ABS(G1618-H1618)/ABS(G1618)</f>
        <v>#DIV/0!</v>
      </c>
    </row>
    <row r="1619" spans="3:11" x14ac:dyDescent="0.2">
      <c r="C1619" t="s">
        <v>2306</v>
      </c>
      <c r="D1619" t="b">
        <f ca="1">IF(CELL("format",F1619)="G",IF(ABS(F1619-G1619) &lt;= ABS(F1619*B$3),TRUE,FALSE),IF(F1619=G1619,TRUE,FALSE))</f>
        <v>1</v>
      </c>
      <c r="E1619" s="5" t="e">
        <f>ABS(F1619-G1619)/ABS(F1619)</f>
        <v>#DIV/0!</v>
      </c>
      <c r="F1619">
        <v>0</v>
      </c>
      <c r="G1619">
        <v>0</v>
      </c>
      <c r="H1619">
        <v>0</v>
      </c>
      <c r="J1619" s="5" t="e">
        <f>ABS(F1619-G1619)/ABS(F1619)</f>
        <v>#DIV/0!</v>
      </c>
      <c r="K1619" s="5" t="e">
        <f>ABS(G1619-H1619)/ABS(G1619)</f>
        <v>#DIV/0!</v>
      </c>
    </row>
    <row r="1620" spans="3:11" x14ac:dyDescent="0.2">
      <c r="C1620" t="s">
        <v>2307</v>
      </c>
      <c r="D1620" t="b">
        <f ca="1">IF(CELL("format",F1620)="G",IF(ABS(F1620-G1620) &lt;= ABS(F1620*B$3),TRUE,FALSE),IF(F1620=G1620,TRUE,FALSE))</f>
        <v>1</v>
      </c>
      <c r="E1620" s="5">
        <f>ABS(F1620-G1620)/ABS(F1620)</f>
        <v>0</v>
      </c>
      <c r="F1620">
        <v>-0.06</v>
      </c>
      <c r="G1620">
        <v>-0.06</v>
      </c>
      <c r="H1620">
        <v>-0.06</v>
      </c>
      <c r="J1620" s="5">
        <f>ABS(F1620-G1620)/ABS(F1620)</f>
        <v>0</v>
      </c>
      <c r="K1620" s="5">
        <f>ABS(G1620-H1620)/ABS(G1620)</f>
        <v>0</v>
      </c>
    </row>
    <row r="1621" spans="3:11" x14ac:dyDescent="0.2">
      <c r="C1621" t="s">
        <v>2308</v>
      </c>
      <c r="D1621" t="b">
        <f ca="1">IF(CELL("format",F1621)="G",IF(ABS(F1621-G1621) &lt;= ABS(F1621*B$3),TRUE,FALSE),IF(F1621=G1621,TRUE,FALSE))</f>
        <v>1</v>
      </c>
      <c r="E1621" s="5">
        <f>ABS(F1621-G1621)/ABS(F1621)</f>
        <v>0</v>
      </c>
      <c r="F1621">
        <v>-0.17</v>
      </c>
      <c r="G1621">
        <v>-0.17</v>
      </c>
      <c r="H1621">
        <v>-0.17</v>
      </c>
      <c r="J1621" s="5">
        <f>ABS(F1621-G1621)/ABS(F1621)</f>
        <v>0</v>
      </c>
      <c r="K1621" s="5">
        <f>ABS(G1621-H1621)/ABS(G1621)</f>
        <v>0</v>
      </c>
    </row>
    <row r="1622" spans="3:11" x14ac:dyDescent="0.2">
      <c r="C1622" t="s">
        <v>2309</v>
      </c>
      <c r="D1622" t="b">
        <f ca="1">IF(CELL("format",F1622)="G",IF(ABS(F1622-G1622) &lt;= ABS(F1622*B$3),TRUE,FALSE),IF(F1622=G1622,TRUE,FALSE))</f>
        <v>1</v>
      </c>
      <c r="E1622" s="5">
        <f>ABS(F1622-G1622)/ABS(F1622)</f>
        <v>0</v>
      </c>
      <c r="F1622">
        <v>-0.3</v>
      </c>
      <c r="G1622">
        <v>-0.3</v>
      </c>
      <c r="H1622">
        <v>-0.3</v>
      </c>
      <c r="J1622" s="5">
        <f>ABS(F1622-G1622)/ABS(F1622)</f>
        <v>0</v>
      </c>
      <c r="K1622" s="5">
        <f>ABS(G1622-H1622)/ABS(G1622)</f>
        <v>0</v>
      </c>
    </row>
    <row r="1623" spans="3:11" x14ac:dyDescent="0.2">
      <c r="C1623" t="s">
        <v>2310</v>
      </c>
      <c r="D1623" t="b">
        <f ca="1">IF(CELL("format",F1623)="G",IF(ABS(F1623-G1623) &lt;= ABS(F1623*B$3),TRUE,FALSE),IF(F1623=G1623,TRUE,FALSE))</f>
        <v>1</v>
      </c>
      <c r="E1623" s="5">
        <f>ABS(F1623-G1623)/ABS(F1623)</f>
        <v>0</v>
      </c>
      <c r="F1623">
        <v>-0.53</v>
      </c>
      <c r="G1623">
        <v>-0.53</v>
      </c>
      <c r="H1623">
        <v>-0.53</v>
      </c>
      <c r="J1623" s="5">
        <f>ABS(F1623-G1623)/ABS(F1623)</f>
        <v>0</v>
      </c>
      <c r="K1623" s="5">
        <f>ABS(G1623-H1623)/ABS(G1623)</f>
        <v>0</v>
      </c>
    </row>
    <row r="1624" spans="3:11" x14ac:dyDescent="0.2">
      <c r="C1624" t="s">
        <v>2311</v>
      </c>
      <c r="D1624" t="b">
        <f ca="1">IF(CELL("format",F1624)="G",IF(ABS(F1624-G1624) &lt;= ABS(F1624*B$3),TRUE,FALSE),IF(F1624=G1624,TRUE,FALSE))</f>
        <v>1</v>
      </c>
      <c r="E1624" s="5">
        <f>ABS(F1624-G1624)/ABS(F1624)</f>
        <v>0</v>
      </c>
      <c r="F1624">
        <v>-0.83</v>
      </c>
      <c r="G1624">
        <v>-0.83</v>
      </c>
      <c r="H1624">
        <v>-0.83</v>
      </c>
      <c r="J1624" s="5">
        <f>ABS(F1624-G1624)/ABS(F1624)</f>
        <v>0</v>
      </c>
      <c r="K1624" s="5">
        <f>ABS(G1624-H1624)/ABS(G1624)</f>
        <v>0</v>
      </c>
    </row>
    <row r="1625" spans="3:11" x14ac:dyDescent="0.2">
      <c r="C1625" t="s">
        <v>2312</v>
      </c>
      <c r="D1625" t="b">
        <f ca="1">IF(CELL("format",F1625)="G",IF(ABS(F1625-G1625) &lt;= ABS(F1625*B$3),TRUE,FALSE),IF(F1625=G1625,TRUE,FALSE))</f>
        <v>1</v>
      </c>
      <c r="E1625" s="5">
        <f>ABS(F1625-G1625)/ABS(F1625)</f>
        <v>0</v>
      </c>
      <c r="F1625">
        <v>-1.1000000000000001</v>
      </c>
      <c r="G1625">
        <v>-1.1000000000000001</v>
      </c>
      <c r="H1625">
        <v>-1.1000000000000001</v>
      </c>
      <c r="J1625" s="5">
        <f>ABS(F1625-G1625)/ABS(F1625)</f>
        <v>0</v>
      </c>
      <c r="K1625" s="5">
        <f>ABS(G1625-H1625)/ABS(G1625)</f>
        <v>0</v>
      </c>
    </row>
    <row r="1626" spans="3:11" x14ac:dyDescent="0.2">
      <c r="C1626" t="s">
        <v>2313</v>
      </c>
      <c r="D1626" t="b">
        <f ca="1">IF(CELL("format",F1626)="G",IF(ABS(F1626-G1626) &lt;= ABS(F1626*B$3),TRUE,FALSE),IF(F1626=G1626,TRUE,FALSE))</f>
        <v>1</v>
      </c>
      <c r="E1626" s="5">
        <f>ABS(F1626-G1626)/ABS(F1626)</f>
        <v>0</v>
      </c>
      <c r="F1626">
        <v>-1.32</v>
      </c>
      <c r="G1626">
        <v>-1.32</v>
      </c>
      <c r="H1626">
        <v>-1.32</v>
      </c>
      <c r="J1626" s="5">
        <f>ABS(F1626-G1626)/ABS(F1626)</f>
        <v>0</v>
      </c>
      <c r="K1626" s="5">
        <f>ABS(G1626-H1626)/ABS(G1626)</f>
        <v>0</v>
      </c>
    </row>
    <row r="1627" spans="3:11" x14ac:dyDescent="0.2">
      <c r="C1627" t="s">
        <v>2314</v>
      </c>
      <c r="D1627" t="b">
        <f ca="1">IF(CELL("format",F1627)="G",IF(ABS(F1627-G1627) &lt;= ABS(F1627*B$3),TRUE,FALSE),IF(F1627=G1627,TRUE,FALSE))</f>
        <v>1</v>
      </c>
      <c r="E1627" s="5">
        <f>ABS(F1627-G1627)/ABS(F1627)</f>
        <v>0</v>
      </c>
      <c r="F1627">
        <v>-1.44</v>
      </c>
      <c r="G1627">
        <v>-1.44</v>
      </c>
      <c r="H1627">
        <v>-1.44</v>
      </c>
      <c r="J1627" s="5">
        <f>ABS(F1627-G1627)/ABS(F1627)</f>
        <v>0</v>
      </c>
      <c r="K1627" s="5">
        <f>ABS(G1627-H1627)/ABS(G1627)</f>
        <v>0</v>
      </c>
    </row>
    <row r="1628" spans="3:11" x14ac:dyDescent="0.2">
      <c r="C1628" t="s">
        <v>2315</v>
      </c>
      <c r="D1628" t="b">
        <f ca="1">IF(CELL("format",F1628)="G",IF(ABS(F1628-G1628) &lt;= ABS(F1628*B$3),TRUE,FALSE),IF(F1628=G1628,TRUE,FALSE))</f>
        <v>1</v>
      </c>
      <c r="E1628" s="5">
        <f>ABS(F1628-G1628)/ABS(F1628)</f>
        <v>0</v>
      </c>
      <c r="F1628">
        <v>-1.44</v>
      </c>
      <c r="G1628">
        <v>-1.44</v>
      </c>
      <c r="H1628">
        <v>-1.44</v>
      </c>
      <c r="J1628" s="5">
        <f>ABS(F1628-G1628)/ABS(F1628)</f>
        <v>0</v>
      </c>
      <c r="K1628" s="5">
        <f>ABS(G1628-H1628)/ABS(G1628)</f>
        <v>0</v>
      </c>
    </row>
    <row r="1629" spans="3:11" x14ac:dyDescent="0.2">
      <c r="C1629" t="s">
        <v>2316</v>
      </c>
      <c r="D1629" t="b">
        <f ca="1">IF(CELL("format",F1629)="G",IF(ABS(F1629-G1629) &lt;= ABS(F1629*B$3),TRUE,FALSE),IF(F1629=G1629,TRUE,FALSE))</f>
        <v>1</v>
      </c>
      <c r="E1629" s="5">
        <f>ABS(F1629-G1629)/ABS(F1629)</f>
        <v>0</v>
      </c>
      <c r="F1629">
        <v>-1.33</v>
      </c>
      <c r="G1629">
        <v>-1.33</v>
      </c>
      <c r="H1629">
        <v>-1.33</v>
      </c>
      <c r="J1629" s="5">
        <f>ABS(F1629-G1629)/ABS(F1629)</f>
        <v>0</v>
      </c>
      <c r="K1629" s="5">
        <f>ABS(G1629-H1629)/ABS(G1629)</f>
        <v>0</v>
      </c>
    </row>
    <row r="1630" spans="3:11" x14ac:dyDescent="0.2">
      <c r="C1630" t="s">
        <v>2317</v>
      </c>
      <c r="D1630" t="b">
        <f ca="1">IF(CELL("format",F1630)="G",IF(ABS(F1630-G1630) &lt;= ABS(F1630*B$3),TRUE,FALSE),IF(F1630=G1630,TRUE,FALSE))</f>
        <v>1</v>
      </c>
      <c r="E1630" s="5">
        <f>ABS(F1630-G1630)/ABS(F1630)</f>
        <v>0</v>
      </c>
      <c r="F1630">
        <v>-1.22</v>
      </c>
      <c r="G1630">
        <v>-1.22</v>
      </c>
      <c r="H1630">
        <v>-1.22</v>
      </c>
      <c r="J1630" s="5">
        <f>ABS(F1630-G1630)/ABS(F1630)</f>
        <v>0</v>
      </c>
      <c r="K1630" s="5">
        <f>ABS(G1630-H1630)/ABS(G1630)</f>
        <v>0</v>
      </c>
    </row>
    <row r="1631" spans="3:11" x14ac:dyDescent="0.2">
      <c r="C1631" t="s">
        <v>2318</v>
      </c>
      <c r="D1631" t="b">
        <f ca="1">IF(CELL("format",F1631)="G",IF(ABS(F1631-G1631) &lt;= ABS(F1631*B$3),TRUE,FALSE),IF(F1631=G1631,TRUE,FALSE))</f>
        <v>1</v>
      </c>
      <c r="E1631" s="5">
        <f>ABS(F1631-G1631)/ABS(F1631)</f>
        <v>0</v>
      </c>
      <c r="F1631">
        <v>-1.1100000000000001</v>
      </c>
      <c r="G1631">
        <v>-1.1100000000000001</v>
      </c>
      <c r="H1631">
        <v>-1.1100000000000001</v>
      </c>
      <c r="J1631" s="5">
        <f>ABS(F1631-G1631)/ABS(F1631)</f>
        <v>0</v>
      </c>
      <c r="K1631" s="5">
        <f>ABS(G1631-H1631)/ABS(G1631)</f>
        <v>0</v>
      </c>
    </row>
    <row r="1632" spans="3:11" x14ac:dyDescent="0.2">
      <c r="C1632" t="s">
        <v>2319</v>
      </c>
      <c r="D1632" t="b">
        <f ca="1">IF(CELL("format",F1632)="G",IF(ABS(F1632-G1632) &lt;= ABS(F1632*B$3),TRUE,FALSE),IF(F1632=G1632,TRUE,FALSE))</f>
        <v>1</v>
      </c>
      <c r="E1632" s="5">
        <f>ABS(F1632-G1632)/ABS(F1632)</f>
        <v>0</v>
      </c>
      <c r="F1632">
        <v>-0.97</v>
      </c>
      <c r="G1632">
        <v>-0.97</v>
      </c>
      <c r="H1632">
        <v>-0.97</v>
      </c>
      <c r="J1632" s="5">
        <f>ABS(F1632-G1632)/ABS(F1632)</f>
        <v>0</v>
      </c>
      <c r="K1632" s="5">
        <f>ABS(G1632-H1632)/ABS(G1632)</f>
        <v>0</v>
      </c>
    </row>
    <row r="1633" spans="3:11" x14ac:dyDescent="0.2">
      <c r="C1633" t="s">
        <v>2320</v>
      </c>
      <c r="D1633" t="b">
        <f ca="1">IF(CELL("format",F1633)="G",IF(ABS(F1633-G1633) &lt;= ABS(F1633*B$3),TRUE,FALSE),IF(F1633=G1633,TRUE,FALSE))</f>
        <v>1</v>
      </c>
      <c r="E1633" s="5">
        <f>ABS(F1633-G1633)/ABS(F1633)</f>
        <v>0</v>
      </c>
      <c r="F1633">
        <v>-0.81</v>
      </c>
      <c r="G1633">
        <v>-0.81</v>
      </c>
      <c r="H1633">
        <v>-0.81</v>
      </c>
      <c r="J1633" s="5">
        <f>ABS(F1633-G1633)/ABS(F1633)</f>
        <v>0</v>
      </c>
      <c r="K1633" s="5">
        <f>ABS(G1633-H1633)/ABS(G1633)</f>
        <v>0</v>
      </c>
    </row>
    <row r="1634" spans="3:11" x14ac:dyDescent="0.2">
      <c r="C1634" t="s">
        <v>2321</v>
      </c>
      <c r="D1634" t="b">
        <f ca="1">IF(CELL("format",F1634)="G",IF(ABS(F1634-G1634) &lt;= ABS(F1634*B$3),TRUE,FALSE),IF(F1634=G1634,TRUE,FALSE))</f>
        <v>1</v>
      </c>
      <c r="E1634" s="5">
        <f>ABS(F1634-G1634)/ABS(F1634)</f>
        <v>0</v>
      </c>
      <c r="F1634">
        <v>-0.69</v>
      </c>
      <c r="G1634">
        <v>-0.69</v>
      </c>
      <c r="H1634">
        <v>-0.69</v>
      </c>
      <c r="J1634" s="5">
        <f>ABS(F1634-G1634)/ABS(F1634)</f>
        <v>0</v>
      </c>
      <c r="K1634" s="5">
        <f>ABS(G1634-H1634)/ABS(G1634)</f>
        <v>0</v>
      </c>
    </row>
    <row r="1635" spans="3:11" x14ac:dyDescent="0.2">
      <c r="C1635" t="s">
        <v>2322</v>
      </c>
      <c r="D1635" t="b">
        <f ca="1">IF(CELL("format",F1635)="G",IF(ABS(F1635-G1635) &lt;= ABS(F1635*B$3),TRUE,FALSE),IF(F1635=G1635,TRUE,FALSE))</f>
        <v>1</v>
      </c>
      <c r="E1635" s="5">
        <f>ABS(F1635-G1635)/ABS(F1635)</f>
        <v>0</v>
      </c>
      <c r="F1635">
        <v>-0.59</v>
      </c>
      <c r="G1635">
        <v>-0.59</v>
      </c>
      <c r="H1635">
        <v>-0.59</v>
      </c>
      <c r="J1635" s="5">
        <f>ABS(F1635-G1635)/ABS(F1635)</f>
        <v>0</v>
      </c>
      <c r="K1635" s="5">
        <f>ABS(G1635-H1635)/ABS(G1635)</f>
        <v>0</v>
      </c>
    </row>
    <row r="1636" spans="3:11" x14ac:dyDescent="0.2">
      <c r="C1636" t="s">
        <v>2323</v>
      </c>
      <c r="D1636" t="b">
        <f ca="1">IF(CELL("format",F1636)="G",IF(ABS(F1636-G1636) &lt;= ABS(F1636*B$3),TRUE,FALSE),IF(F1636=G1636,TRUE,FALSE))</f>
        <v>1</v>
      </c>
      <c r="E1636" s="5">
        <f>ABS(F1636-G1636)/ABS(F1636)</f>
        <v>0</v>
      </c>
      <c r="F1636">
        <v>-0.51</v>
      </c>
      <c r="G1636">
        <v>-0.51</v>
      </c>
      <c r="H1636">
        <v>-0.51</v>
      </c>
      <c r="J1636" s="5">
        <f>ABS(F1636-G1636)/ABS(F1636)</f>
        <v>0</v>
      </c>
      <c r="K1636" s="5">
        <f>ABS(G1636-H1636)/ABS(G1636)</f>
        <v>0</v>
      </c>
    </row>
    <row r="1637" spans="3:11" x14ac:dyDescent="0.2">
      <c r="C1637" t="s">
        <v>2324</v>
      </c>
      <c r="D1637" t="b">
        <f ca="1">IF(CELL("format",F1637)="G",IF(ABS(F1637-G1637) &lt;= ABS(F1637*B$3),TRUE,FALSE),IF(F1637=G1637,TRUE,FALSE))</f>
        <v>1</v>
      </c>
      <c r="E1637" s="5">
        <f>ABS(F1637-G1637)/ABS(F1637)</f>
        <v>0</v>
      </c>
      <c r="F1637">
        <v>-0.41</v>
      </c>
      <c r="G1637">
        <v>-0.41</v>
      </c>
      <c r="H1637">
        <v>-0.41</v>
      </c>
      <c r="J1637" s="5">
        <f>ABS(F1637-G1637)/ABS(F1637)</f>
        <v>0</v>
      </c>
      <c r="K1637" s="5">
        <f>ABS(G1637-H1637)/ABS(G1637)</f>
        <v>0</v>
      </c>
    </row>
    <row r="1638" spans="3:11" x14ac:dyDescent="0.2">
      <c r="C1638" t="s">
        <v>2301</v>
      </c>
      <c r="D1638" t="b">
        <f ca="1">IF(CELL("format",F1638)="G",IF(ABS(F1638-G1638) &lt;= ABS(F1638*B$3),TRUE,FALSE),IF(F1638=G1638,TRUE,FALSE))</f>
        <v>1</v>
      </c>
      <c r="E1638" s="5">
        <f>ABS(F1638-G1638)/ABS(F1638)</f>
        <v>0</v>
      </c>
      <c r="F1638">
        <v>-0.71</v>
      </c>
      <c r="G1638">
        <v>-0.71</v>
      </c>
      <c r="H1638">
        <v>-0.71</v>
      </c>
      <c r="J1638" s="5">
        <f>ABS(F1638-G1638)/ABS(F1638)</f>
        <v>0</v>
      </c>
      <c r="K1638" s="5">
        <f>ABS(G1638-H1638)/ABS(G1638)</f>
        <v>0</v>
      </c>
    </row>
    <row r="1639" spans="3:11" x14ac:dyDescent="0.2">
      <c r="C1639" t="s">
        <v>2302</v>
      </c>
      <c r="D1639" t="b">
        <f ca="1">IF(CELL("format",F1639)="G",IF(ABS(F1639-G1639) &lt;= ABS(F1639*B$3),TRUE,FALSE),IF(F1639=G1639,TRUE,FALSE))</f>
        <v>1</v>
      </c>
      <c r="E1639" s="5">
        <f>ABS(F1639-G1639)/ABS(F1639)</f>
        <v>0</v>
      </c>
      <c r="F1639">
        <v>-0.62</v>
      </c>
      <c r="G1639">
        <v>-0.62</v>
      </c>
      <c r="H1639">
        <v>-0.62</v>
      </c>
      <c r="J1639" s="5">
        <f>ABS(F1639-G1639)/ABS(F1639)</f>
        <v>0</v>
      </c>
      <c r="K1639" s="5">
        <f>ABS(G1639-H1639)/ABS(G1639)</f>
        <v>0</v>
      </c>
    </row>
    <row r="1640" spans="3:11" x14ac:dyDescent="0.2">
      <c r="C1640" t="s">
        <v>2303</v>
      </c>
      <c r="D1640" t="b">
        <f ca="1">IF(CELL("format",F1640)="G",IF(ABS(F1640-G1640) &lt;= ABS(F1640*B$3),TRUE,FALSE),IF(F1640=G1640,TRUE,FALSE))</f>
        <v>1</v>
      </c>
      <c r="E1640" s="5">
        <f>ABS(F1640-G1640)/ABS(F1640)</f>
        <v>0</v>
      </c>
      <c r="F1640">
        <v>-0.53</v>
      </c>
      <c r="G1640">
        <v>-0.53</v>
      </c>
      <c r="H1640">
        <v>-0.53</v>
      </c>
      <c r="J1640" s="5">
        <f>ABS(F1640-G1640)/ABS(F1640)</f>
        <v>0</v>
      </c>
      <c r="K1640" s="5">
        <f>ABS(G1640-H1640)/ABS(G1640)</f>
        <v>0</v>
      </c>
    </row>
    <row r="1641" spans="3:11" x14ac:dyDescent="0.2">
      <c r="C1641" t="s">
        <v>2304</v>
      </c>
      <c r="D1641" t="b">
        <f ca="1">IF(CELL("format",F1641)="G",IF(ABS(F1641-G1641) &lt;= ABS(F1641*B$3),TRUE,FALSE),IF(F1641=G1641,TRUE,FALSE))</f>
        <v>1</v>
      </c>
      <c r="E1641" s="5">
        <f>ABS(F1641-G1641)/ABS(F1641)</f>
        <v>0</v>
      </c>
      <c r="F1641">
        <v>-0.42</v>
      </c>
      <c r="G1641">
        <v>-0.42</v>
      </c>
      <c r="H1641">
        <v>-0.42</v>
      </c>
      <c r="J1641" s="5">
        <f>ABS(F1641-G1641)/ABS(F1641)</f>
        <v>0</v>
      </c>
      <c r="K1641" s="5">
        <f>ABS(G1641-H1641)/ABS(G1641)</f>
        <v>0</v>
      </c>
    </row>
    <row r="1642" spans="3:11" x14ac:dyDescent="0.2">
      <c r="C1642" t="s">
        <v>2305</v>
      </c>
      <c r="D1642" t="b">
        <f ca="1">IF(CELL("format",F1642)="G",IF(ABS(F1642-G1642) &lt;= ABS(F1642*B$3),TRUE,FALSE),IF(F1642=G1642,TRUE,FALSE))</f>
        <v>1</v>
      </c>
      <c r="E1642" s="5">
        <f>ABS(F1642-G1642)/ABS(F1642)</f>
        <v>0</v>
      </c>
      <c r="F1642">
        <v>-0.33</v>
      </c>
      <c r="G1642">
        <v>-0.33</v>
      </c>
      <c r="H1642">
        <v>-0.33</v>
      </c>
      <c r="J1642" s="5">
        <f>ABS(F1642-G1642)/ABS(F1642)</f>
        <v>0</v>
      </c>
      <c r="K1642" s="5">
        <f>ABS(G1642-H1642)/ABS(G1642)</f>
        <v>0</v>
      </c>
    </row>
    <row r="1643" spans="3:11" x14ac:dyDescent="0.2">
      <c r="C1643" t="s">
        <v>2306</v>
      </c>
      <c r="D1643" t="b">
        <f ca="1">IF(CELL("format",F1643)="G",IF(ABS(F1643-G1643) &lt;= ABS(F1643*B$3),TRUE,FALSE),IF(F1643=G1643,TRUE,FALSE))</f>
        <v>1</v>
      </c>
      <c r="E1643" s="5">
        <f>ABS(F1643-G1643)/ABS(F1643)</f>
        <v>0</v>
      </c>
      <c r="F1643">
        <v>-0.33</v>
      </c>
      <c r="G1643">
        <v>-0.33</v>
      </c>
      <c r="H1643">
        <v>-0.33</v>
      </c>
      <c r="J1643" s="5">
        <f>ABS(F1643-G1643)/ABS(F1643)</f>
        <v>0</v>
      </c>
      <c r="K1643" s="5">
        <f>ABS(G1643-H1643)/ABS(G1643)</f>
        <v>0</v>
      </c>
    </row>
    <row r="1644" spans="3:11" x14ac:dyDescent="0.2">
      <c r="C1644" t="s">
        <v>2307</v>
      </c>
      <c r="D1644" t="b">
        <f ca="1">IF(CELL("format",F1644)="G",IF(ABS(F1644-G1644) &lt;= ABS(F1644*B$3),TRUE,FALSE),IF(F1644=G1644,TRUE,FALSE))</f>
        <v>1</v>
      </c>
      <c r="E1644" s="5">
        <f>ABS(F1644-G1644)/ABS(F1644)</f>
        <v>0</v>
      </c>
      <c r="F1644">
        <v>-0.44</v>
      </c>
      <c r="G1644">
        <v>-0.44</v>
      </c>
      <c r="H1644">
        <v>-0.44</v>
      </c>
      <c r="J1644" s="5">
        <f>ABS(F1644-G1644)/ABS(F1644)</f>
        <v>0</v>
      </c>
      <c r="K1644" s="5">
        <f>ABS(G1644-H1644)/ABS(G1644)</f>
        <v>0</v>
      </c>
    </row>
    <row r="1645" spans="3:11" x14ac:dyDescent="0.2">
      <c r="C1645" t="s">
        <v>2308</v>
      </c>
      <c r="D1645" t="b">
        <f ca="1">IF(CELL("format",F1645)="G",IF(ABS(F1645-G1645) &lt;= ABS(F1645*B$3),TRUE,FALSE),IF(F1645=G1645,TRUE,FALSE))</f>
        <v>1</v>
      </c>
      <c r="E1645" s="5">
        <f>ABS(F1645-G1645)/ABS(F1645)</f>
        <v>0</v>
      </c>
      <c r="F1645">
        <v>-0.6</v>
      </c>
      <c r="G1645">
        <v>-0.6</v>
      </c>
      <c r="H1645">
        <v>-0.6</v>
      </c>
      <c r="J1645" s="5">
        <f>ABS(F1645-G1645)/ABS(F1645)</f>
        <v>0</v>
      </c>
      <c r="K1645" s="5">
        <f>ABS(G1645-H1645)/ABS(G1645)</f>
        <v>0</v>
      </c>
    </row>
    <row r="1646" spans="3:11" x14ac:dyDescent="0.2">
      <c r="C1646" t="s">
        <v>2309</v>
      </c>
      <c r="D1646" t="b">
        <f ca="1">IF(CELL("format",F1646)="G",IF(ABS(F1646-G1646) &lt;= ABS(F1646*B$3),TRUE,FALSE),IF(F1646=G1646,TRUE,FALSE))</f>
        <v>1</v>
      </c>
      <c r="E1646" s="5">
        <f>ABS(F1646-G1646)/ABS(F1646)</f>
        <v>0</v>
      </c>
      <c r="F1646">
        <v>-0.8</v>
      </c>
      <c r="G1646">
        <v>-0.8</v>
      </c>
      <c r="H1646">
        <v>-0.8</v>
      </c>
      <c r="J1646" s="5">
        <f>ABS(F1646-G1646)/ABS(F1646)</f>
        <v>0</v>
      </c>
      <c r="K1646" s="5">
        <f>ABS(G1646-H1646)/ABS(G1646)</f>
        <v>0</v>
      </c>
    </row>
    <row r="1647" spans="3:11" x14ac:dyDescent="0.2">
      <c r="C1647" t="s">
        <v>2310</v>
      </c>
      <c r="D1647" t="b">
        <f ca="1">IF(CELL("format",F1647)="G",IF(ABS(F1647-G1647) &lt;= ABS(F1647*B$3),TRUE,FALSE),IF(F1647=G1647,TRUE,FALSE))</f>
        <v>1</v>
      </c>
      <c r="E1647" s="5">
        <f>ABS(F1647-G1647)/ABS(F1647)</f>
        <v>0</v>
      </c>
      <c r="F1647">
        <v>-1.1100000000000001</v>
      </c>
      <c r="G1647">
        <v>-1.1100000000000001</v>
      </c>
      <c r="H1647">
        <v>-1.1100000000000001</v>
      </c>
      <c r="J1647" s="5">
        <f>ABS(F1647-G1647)/ABS(F1647)</f>
        <v>0</v>
      </c>
      <c r="K1647" s="5">
        <f>ABS(G1647-H1647)/ABS(G1647)</f>
        <v>0</v>
      </c>
    </row>
    <row r="1648" spans="3:11" x14ac:dyDescent="0.2">
      <c r="C1648" t="s">
        <v>2311</v>
      </c>
      <c r="D1648" t="b">
        <f ca="1">IF(CELL("format",F1648)="G",IF(ABS(F1648-G1648) &lt;= ABS(F1648*B$3),TRUE,FALSE),IF(F1648=G1648,TRUE,FALSE))</f>
        <v>1</v>
      </c>
      <c r="E1648" s="5">
        <f>ABS(F1648-G1648)/ABS(F1648)</f>
        <v>0</v>
      </c>
      <c r="F1648">
        <v>-1.5</v>
      </c>
      <c r="G1648">
        <v>-1.5</v>
      </c>
      <c r="H1648">
        <v>-1.5</v>
      </c>
      <c r="J1648" s="5">
        <f>ABS(F1648-G1648)/ABS(F1648)</f>
        <v>0</v>
      </c>
      <c r="K1648" s="5">
        <f>ABS(G1648-H1648)/ABS(G1648)</f>
        <v>0</v>
      </c>
    </row>
    <row r="1649" spans="3:11" x14ac:dyDescent="0.2">
      <c r="C1649" t="s">
        <v>2312</v>
      </c>
      <c r="D1649" t="b">
        <f ca="1">IF(CELL("format",F1649)="G",IF(ABS(F1649-G1649) &lt;= ABS(F1649*B$3),TRUE,FALSE),IF(F1649=G1649,TRUE,FALSE))</f>
        <v>1</v>
      </c>
      <c r="E1649" s="5">
        <f>ABS(F1649-G1649)/ABS(F1649)</f>
        <v>0</v>
      </c>
      <c r="F1649">
        <v>-1.86</v>
      </c>
      <c r="G1649">
        <v>-1.86</v>
      </c>
      <c r="H1649">
        <v>-1.86</v>
      </c>
      <c r="J1649" s="5">
        <f>ABS(F1649-G1649)/ABS(F1649)</f>
        <v>0</v>
      </c>
      <c r="K1649" s="5">
        <f>ABS(G1649-H1649)/ABS(G1649)</f>
        <v>0</v>
      </c>
    </row>
    <row r="1650" spans="3:11" x14ac:dyDescent="0.2">
      <c r="C1650" t="s">
        <v>2313</v>
      </c>
      <c r="D1650" t="b">
        <f ca="1">IF(CELL("format",F1650)="G",IF(ABS(F1650-G1650) &lt;= ABS(F1650*B$3),TRUE,FALSE),IF(F1650=G1650,TRUE,FALSE))</f>
        <v>1</v>
      </c>
      <c r="E1650" s="5">
        <f>ABS(F1650-G1650)/ABS(F1650)</f>
        <v>0</v>
      </c>
      <c r="F1650">
        <v>-2.1</v>
      </c>
      <c r="G1650">
        <v>-2.1</v>
      </c>
      <c r="H1650">
        <v>-2.1</v>
      </c>
      <c r="J1650" s="5">
        <f>ABS(F1650-G1650)/ABS(F1650)</f>
        <v>0</v>
      </c>
      <c r="K1650" s="5">
        <f>ABS(G1650-H1650)/ABS(G1650)</f>
        <v>0</v>
      </c>
    </row>
    <row r="1651" spans="3:11" x14ac:dyDescent="0.2">
      <c r="C1651" t="s">
        <v>2314</v>
      </c>
      <c r="D1651" t="b">
        <f ca="1">IF(CELL("format",F1651)="G",IF(ABS(F1651-G1651) &lt;= ABS(F1651*B$3),TRUE,FALSE),IF(F1651=G1651,TRUE,FALSE))</f>
        <v>1</v>
      </c>
      <c r="E1651" s="5">
        <f>ABS(F1651-G1651)/ABS(F1651)</f>
        <v>0</v>
      </c>
      <c r="F1651">
        <v>-2.2400000000000002</v>
      </c>
      <c r="G1651">
        <v>-2.2400000000000002</v>
      </c>
      <c r="H1651">
        <v>-2.2400000000000002</v>
      </c>
      <c r="J1651" s="5">
        <f>ABS(F1651-G1651)/ABS(F1651)</f>
        <v>0</v>
      </c>
      <c r="K1651" s="5">
        <f>ABS(G1651-H1651)/ABS(G1651)</f>
        <v>0</v>
      </c>
    </row>
    <row r="1652" spans="3:11" x14ac:dyDescent="0.2">
      <c r="C1652" t="s">
        <v>2315</v>
      </c>
      <c r="D1652" t="b">
        <f ca="1">IF(CELL("format",F1652)="G",IF(ABS(F1652-G1652) &lt;= ABS(F1652*B$3),TRUE,FALSE),IF(F1652=G1652,TRUE,FALSE))</f>
        <v>1</v>
      </c>
      <c r="E1652" s="5">
        <f>ABS(F1652-G1652)/ABS(F1652)</f>
        <v>0</v>
      </c>
      <c r="F1652">
        <v>-2.23</v>
      </c>
      <c r="G1652">
        <v>-2.23</v>
      </c>
      <c r="H1652">
        <v>-2.23</v>
      </c>
      <c r="J1652" s="5">
        <f>ABS(F1652-G1652)/ABS(F1652)</f>
        <v>0</v>
      </c>
      <c r="K1652" s="5">
        <f>ABS(G1652-H1652)/ABS(G1652)</f>
        <v>0</v>
      </c>
    </row>
    <row r="1653" spans="3:11" x14ac:dyDescent="0.2">
      <c r="C1653" t="s">
        <v>2316</v>
      </c>
      <c r="D1653" t="b">
        <f ca="1">IF(CELL("format",F1653)="G",IF(ABS(F1653-G1653) &lt;= ABS(F1653*B$3),TRUE,FALSE),IF(F1653=G1653,TRUE,FALSE))</f>
        <v>1</v>
      </c>
      <c r="E1653" s="5">
        <f>ABS(F1653-G1653)/ABS(F1653)</f>
        <v>0</v>
      </c>
      <c r="F1653">
        <v>-2.13</v>
      </c>
      <c r="G1653">
        <v>-2.13</v>
      </c>
      <c r="H1653">
        <v>-2.13</v>
      </c>
      <c r="J1653" s="5">
        <f>ABS(F1653-G1653)/ABS(F1653)</f>
        <v>0</v>
      </c>
      <c r="K1653" s="5">
        <f>ABS(G1653-H1653)/ABS(G1653)</f>
        <v>0</v>
      </c>
    </row>
    <row r="1654" spans="3:11" x14ac:dyDescent="0.2">
      <c r="C1654" t="s">
        <v>2317</v>
      </c>
      <c r="D1654" t="b">
        <f ca="1">IF(CELL("format",F1654)="G",IF(ABS(F1654-G1654) &lt;= ABS(F1654*B$3),TRUE,FALSE),IF(F1654=G1654,TRUE,FALSE))</f>
        <v>1</v>
      </c>
      <c r="E1654" s="5">
        <f>ABS(F1654-G1654)/ABS(F1654)</f>
        <v>0</v>
      </c>
      <c r="F1654">
        <v>-2.0099999999999998</v>
      </c>
      <c r="G1654">
        <v>-2.0099999999999998</v>
      </c>
      <c r="H1654">
        <v>-2.0099999999999998</v>
      </c>
      <c r="J1654" s="5">
        <f>ABS(F1654-G1654)/ABS(F1654)</f>
        <v>0</v>
      </c>
      <c r="K1654" s="5">
        <f>ABS(G1654-H1654)/ABS(G1654)</f>
        <v>0</v>
      </c>
    </row>
    <row r="1655" spans="3:11" x14ac:dyDescent="0.2">
      <c r="C1655" t="s">
        <v>2318</v>
      </c>
      <c r="D1655" t="b">
        <f ca="1">IF(CELL("format",F1655)="G",IF(ABS(F1655-G1655) &lt;= ABS(F1655*B$3),TRUE,FALSE),IF(F1655=G1655,TRUE,FALSE))</f>
        <v>1</v>
      </c>
      <c r="E1655" s="5">
        <f>ABS(F1655-G1655)/ABS(F1655)</f>
        <v>0</v>
      </c>
      <c r="F1655">
        <v>-1.86</v>
      </c>
      <c r="G1655">
        <v>-1.86</v>
      </c>
      <c r="H1655">
        <v>-1.86</v>
      </c>
      <c r="J1655" s="5">
        <f>ABS(F1655-G1655)/ABS(F1655)</f>
        <v>0</v>
      </c>
      <c r="K1655" s="5">
        <f>ABS(G1655-H1655)/ABS(G1655)</f>
        <v>0</v>
      </c>
    </row>
    <row r="1656" spans="3:11" x14ac:dyDescent="0.2">
      <c r="C1656" t="s">
        <v>2319</v>
      </c>
      <c r="D1656" t="b">
        <f ca="1">IF(CELL("format",F1656)="G",IF(ABS(F1656-G1656) &lt;= ABS(F1656*B$3),TRUE,FALSE),IF(F1656=G1656,TRUE,FALSE))</f>
        <v>1</v>
      </c>
      <c r="E1656" s="5">
        <f>ABS(F1656-G1656)/ABS(F1656)</f>
        <v>0</v>
      </c>
      <c r="F1656">
        <v>-1.69</v>
      </c>
      <c r="G1656">
        <v>-1.69</v>
      </c>
      <c r="H1656">
        <v>-1.69</v>
      </c>
      <c r="J1656" s="5">
        <f>ABS(F1656-G1656)/ABS(F1656)</f>
        <v>0</v>
      </c>
      <c r="K1656" s="5">
        <f>ABS(G1656-H1656)/ABS(G1656)</f>
        <v>0</v>
      </c>
    </row>
    <row r="1657" spans="3:11" x14ac:dyDescent="0.2">
      <c r="C1657" t="s">
        <v>2320</v>
      </c>
      <c r="D1657" t="b">
        <f ca="1">IF(CELL("format",F1657)="G",IF(ABS(F1657-G1657) &lt;= ABS(F1657*B$3),TRUE,FALSE),IF(F1657=G1657,TRUE,FALSE))</f>
        <v>1</v>
      </c>
      <c r="E1657" s="5">
        <f>ABS(F1657-G1657)/ABS(F1657)</f>
        <v>0</v>
      </c>
      <c r="F1657">
        <v>-1.5</v>
      </c>
      <c r="G1657">
        <v>-1.5</v>
      </c>
      <c r="H1657">
        <v>-1.5</v>
      </c>
      <c r="J1657" s="5">
        <f>ABS(F1657-G1657)/ABS(F1657)</f>
        <v>0</v>
      </c>
      <c r="K1657" s="5">
        <f>ABS(G1657-H1657)/ABS(G1657)</f>
        <v>0</v>
      </c>
    </row>
    <row r="1658" spans="3:11" x14ac:dyDescent="0.2">
      <c r="C1658" t="s">
        <v>2321</v>
      </c>
      <c r="D1658" t="b">
        <f ca="1">IF(CELL("format",F1658)="G",IF(ABS(F1658-G1658) &lt;= ABS(F1658*B$3),TRUE,FALSE),IF(F1658=G1658,TRUE,FALSE))</f>
        <v>1</v>
      </c>
      <c r="E1658" s="5">
        <f>ABS(F1658-G1658)/ABS(F1658)</f>
        <v>0</v>
      </c>
      <c r="F1658">
        <v>-1.34</v>
      </c>
      <c r="G1658">
        <v>-1.34</v>
      </c>
      <c r="H1658">
        <v>-1.34</v>
      </c>
      <c r="J1658" s="5">
        <f>ABS(F1658-G1658)/ABS(F1658)</f>
        <v>0</v>
      </c>
      <c r="K1658" s="5">
        <f>ABS(G1658-H1658)/ABS(G1658)</f>
        <v>0</v>
      </c>
    </row>
    <row r="1659" spans="3:11" x14ac:dyDescent="0.2">
      <c r="C1659" t="s">
        <v>2322</v>
      </c>
      <c r="D1659" t="b">
        <f ca="1">IF(CELL("format",F1659)="G",IF(ABS(F1659-G1659) &lt;= ABS(F1659*B$3),TRUE,FALSE),IF(F1659=G1659,TRUE,FALSE))</f>
        <v>1</v>
      </c>
      <c r="E1659" s="5">
        <f>ABS(F1659-G1659)/ABS(F1659)</f>
        <v>0</v>
      </c>
      <c r="F1659">
        <v>-1.21</v>
      </c>
      <c r="G1659">
        <v>-1.21</v>
      </c>
      <c r="H1659">
        <v>-1.21</v>
      </c>
      <c r="J1659" s="5">
        <f>ABS(F1659-G1659)/ABS(F1659)</f>
        <v>0</v>
      </c>
      <c r="K1659" s="5">
        <f>ABS(G1659-H1659)/ABS(G1659)</f>
        <v>0</v>
      </c>
    </row>
    <row r="1660" spans="3:11" x14ac:dyDescent="0.2">
      <c r="C1660" t="s">
        <v>2323</v>
      </c>
      <c r="D1660" t="b">
        <f ca="1">IF(CELL("format",F1660)="G",IF(ABS(F1660-G1660) &lt;= ABS(F1660*B$3),TRUE,FALSE),IF(F1660=G1660,TRUE,FALSE))</f>
        <v>1</v>
      </c>
      <c r="E1660" s="5">
        <f>ABS(F1660-G1660)/ABS(F1660)</f>
        <v>0</v>
      </c>
      <c r="F1660">
        <v>-1.1000000000000001</v>
      </c>
      <c r="G1660">
        <v>-1.1000000000000001</v>
      </c>
      <c r="H1660">
        <v>-1.1000000000000001</v>
      </c>
      <c r="J1660" s="5">
        <f>ABS(F1660-G1660)/ABS(F1660)</f>
        <v>0</v>
      </c>
      <c r="K1660" s="5">
        <f>ABS(G1660-H1660)/ABS(G1660)</f>
        <v>0</v>
      </c>
    </row>
    <row r="1661" spans="3:11" x14ac:dyDescent="0.2">
      <c r="C1661" t="s">
        <v>2324</v>
      </c>
      <c r="D1661" t="b">
        <f ca="1">IF(CELL("format",F1661)="G",IF(ABS(F1661-G1661) &lt;= ABS(F1661*B$3),TRUE,FALSE),IF(F1661=G1661,TRUE,FALSE))</f>
        <v>1</v>
      </c>
      <c r="E1661" s="5">
        <f>ABS(F1661-G1661)/ABS(F1661)</f>
        <v>0</v>
      </c>
      <c r="F1661">
        <v>-0.97</v>
      </c>
      <c r="G1661">
        <v>-0.97</v>
      </c>
      <c r="H1661">
        <v>-0.97</v>
      </c>
      <c r="J1661" s="5">
        <f>ABS(F1661-G1661)/ABS(F1661)</f>
        <v>0</v>
      </c>
      <c r="K1661" s="5">
        <f>ABS(G1661-H1661)/ABS(G1661)</f>
        <v>0</v>
      </c>
    </row>
    <row r="1662" spans="3:11" x14ac:dyDescent="0.2">
      <c r="C1662" t="s">
        <v>2301</v>
      </c>
      <c r="D1662" t="b">
        <f ca="1">IF(CELL("format",F1662)="G",IF(ABS(F1662-G1662) &lt;= ABS(F1662*B$3),TRUE,FALSE),IF(F1662=G1662,TRUE,FALSE))</f>
        <v>1</v>
      </c>
      <c r="E1662" s="5">
        <f>ABS(F1662-G1662)/ABS(F1662)</f>
        <v>0</v>
      </c>
      <c r="F1662">
        <v>-0.64</v>
      </c>
      <c r="G1662">
        <v>-0.64</v>
      </c>
      <c r="H1662">
        <v>-0.64</v>
      </c>
      <c r="J1662" s="5">
        <f>ABS(F1662-G1662)/ABS(F1662)</f>
        <v>0</v>
      </c>
      <c r="K1662" s="5">
        <f>ABS(G1662-H1662)/ABS(G1662)</f>
        <v>0</v>
      </c>
    </row>
    <row r="1663" spans="3:11" x14ac:dyDescent="0.2">
      <c r="C1663" t="s">
        <v>2302</v>
      </c>
      <c r="D1663" t="b">
        <f ca="1">IF(CELL("format",F1663)="G",IF(ABS(F1663-G1663) &lt;= ABS(F1663*B$3),TRUE,FALSE),IF(F1663=G1663,TRUE,FALSE))</f>
        <v>1</v>
      </c>
      <c r="E1663" s="5">
        <f>ABS(F1663-G1663)/ABS(F1663)</f>
        <v>0</v>
      </c>
      <c r="F1663">
        <v>-0.57999999999999996</v>
      </c>
      <c r="G1663">
        <v>-0.57999999999999996</v>
      </c>
      <c r="H1663">
        <v>-0.57999999999999996</v>
      </c>
      <c r="J1663" s="5">
        <f>ABS(F1663-G1663)/ABS(F1663)</f>
        <v>0</v>
      </c>
      <c r="K1663" s="5">
        <f>ABS(G1663-H1663)/ABS(G1663)</f>
        <v>0</v>
      </c>
    </row>
    <row r="1664" spans="3:11" x14ac:dyDescent="0.2">
      <c r="C1664" t="s">
        <v>2303</v>
      </c>
      <c r="D1664" t="b">
        <f ca="1">IF(CELL("format",F1664)="G",IF(ABS(F1664-G1664) &lt;= ABS(F1664*B$3),TRUE,FALSE),IF(F1664=G1664,TRUE,FALSE))</f>
        <v>1</v>
      </c>
      <c r="E1664" s="5">
        <f>ABS(F1664-G1664)/ABS(F1664)</f>
        <v>0</v>
      </c>
      <c r="F1664">
        <v>-0.5</v>
      </c>
      <c r="G1664">
        <v>-0.5</v>
      </c>
      <c r="H1664">
        <v>-0.5</v>
      </c>
      <c r="J1664" s="5">
        <f>ABS(F1664-G1664)/ABS(F1664)</f>
        <v>0</v>
      </c>
      <c r="K1664" s="5">
        <f>ABS(G1664-H1664)/ABS(G1664)</f>
        <v>0</v>
      </c>
    </row>
    <row r="1665" spans="3:11" x14ac:dyDescent="0.2">
      <c r="C1665" t="s">
        <v>2304</v>
      </c>
      <c r="D1665" t="b">
        <f ca="1">IF(CELL("format",F1665)="G",IF(ABS(F1665-G1665) &lt;= ABS(F1665*B$3),TRUE,FALSE),IF(F1665=G1665,TRUE,FALSE))</f>
        <v>1</v>
      </c>
      <c r="E1665" s="5">
        <f>ABS(F1665-G1665)/ABS(F1665)</f>
        <v>0</v>
      </c>
      <c r="F1665">
        <v>-0.43</v>
      </c>
      <c r="G1665">
        <v>-0.43</v>
      </c>
      <c r="H1665">
        <v>-0.43</v>
      </c>
      <c r="J1665" s="5">
        <f>ABS(F1665-G1665)/ABS(F1665)</f>
        <v>0</v>
      </c>
      <c r="K1665" s="5">
        <f>ABS(G1665-H1665)/ABS(G1665)</f>
        <v>0</v>
      </c>
    </row>
    <row r="1666" spans="3:11" x14ac:dyDescent="0.2">
      <c r="C1666" t="s">
        <v>2305</v>
      </c>
      <c r="D1666" t="b">
        <f ca="1">IF(CELL("format",F1666)="G",IF(ABS(F1666-G1666) &lt;= ABS(F1666*B$3),TRUE,FALSE),IF(F1666=G1666,TRUE,FALSE))</f>
        <v>1</v>
      </c>
      <c r="E1666" s="5">
        <f>ABS(F1666-G1666)/ABS(F1666)</f>
        <v>0</v>
      </c>
      <c r="F1666">
        <v>-0.35</v>
      </c>
      <c r="G1666">
        <v>-0.35</v>
      </c>
      <c r="H1666">
        <v>-0.35</v>
      </c>
      <c r="J1666" s="5">
        <f>ABS(F1666-G1666)/ABS(F1666)</f>
        <v>0</v>
      </c>
      <c r="K1666" s="5">
        <f>ABS(G1666-H1666)/ABS(G1666)</f>
        <v>0</v>
      </c>
    </row>
    <row r="1667" spans="3:11" x14ac:dyDescent="0.2">
      <c r="C1667" t="s">
        <v>2306</v>
      </c>
      <c r="D1667" t="b">
        <f ca="1">IF(CELL("format",F1667)="G",IF(ABS(F1667-G1667) &lt;= ABS(F1667*B$3),TRUE,FALSE),IF(F1667=G1667,TRUE,FALSE))</f>
        <v>1</v>
      </c>
      <c r="E1667" s="5">
        <f>ABS(F1667-G1667)/ABS(F1667)</f>
        <v>0</v>
      </c>
      <c r="F1667">
        <v>-0.37</v>
      </c>
      <c r="G1667">
        <v>-0.37</v>
      </c>
      <c r="H1667">
        <v>-0.37</v>
      </c>
      <c r="J1667" s="5">
        <f>ABS(F1667-G1667)/ABS(F1667)</f>
        <v>0</v>
      </c>
      <c r="K1667" s="5">
        <f>ABS(G1667-H1667)/ABS(G1667)</f>
        <v>0</v>
      </c>
    </row>
    <row r="1668" spans="3:11" x14ac:dyDescent="0.2">
      <c r="C1668" t="s">
        <v>2307</v>
      </c>
      <c r="D1668" t="b">
        <f ca="1">IF(CELL("format",F1668)="G",IF(ABS(F1668-G1668) &lt;= ABS(F1668*B$3),TRUE,FALSE),IF(F1668=G1668,TRUE,FALSE))</f>
        <v>1</v>
      </c>
      <c r="E1668" s="5">
        <f>ABS(F1668-G1668)/ABS(F1668)</f>
        <v>0</v>
      </c>
      <c r="F1668">
        <v>-0.47</v>
      </c>
      <c r="G1668">
        <v>-0.47</v>
      </c>
      <c r="H1668">
        <v>-0.47</v>
      </c>
      <c r="J1668" s="5">
        <f>ABS(F1668-G1668)/ABS(F1668)</f>
        <v>0</v>
      </c>
      <c r="K1668" s="5">
        <f>ABS(G1668-H1668)/ABS(G1668)</f>
        <v>0</v>
      </c>
    </row>
    <row r="1669" spans="3:11" x14ac:dyDescent="0.2">
      <c r="C1669" t="s">
        <v>2308</v>
      </c>
      <c r="D1669" t="b">
        <f ca="1">IF(CELL("format",F1669)="G",IF(ABS(F1669-G1669) &lt;= ABS(F1669*B$3),TRUE,FALSE),IF(F1669=G1669,TRUE,FALSE))</f>
        <v>1</v>
      </c>
      <c r="E1669" s="5">
        <f>ABS(F1669-G1669)/ABS(F1669)</f>
        <v>0</v>
      </c>
      <c r="F1669">
        <v>-0.57999999999999996</v>
      </c>
      <c r="G1669">
        <v>-0.57999999999999996</v>
      </c>
      <c r="H1669">
        <v>-0.57999999999999996</v>
      </c>
      <c r="J1669" s="5">
        <f>ABS(F1669-G1669)/ABS(F1669)</f>
        <v>0</v>
      </c>
      <c r="K1669" s="5">
        <f>ABS(G1669-H1669)/ABS(G1669)</f>
        <v>0</v>
      </c>
    </row>
    <row r="1670" spans="3:11" x14ac:dyDescent="0.2">
      <c r="C1670" t="s">
        <v>2309</v>
      </c>
      <c r="D1670" t="b">
        <f ca="1">IF(CELL("format",F1670)="G",IF(ABS(F1670-G1670) &lt;= ABS(F1670*B$3),TRUE,FALSE),IF(F1670=G1670,TRUE,FALSE))</f>
        <v>1</v>
      </c>
      <c r="E1670" s="5">
        <f>ABS(F1670-G1670)/ABS(F1670)</f>
        <v>0</v>
      </c>
      <c r="F1670">
        <v>-0.73</v>
      </c>
      <c r="G1670">
        <v>-0.73</v>
      </c>
      <c r="H1670">
        <v>-0.73</v>
      </c>
      <c r="J1670" s="5">
        <f>ABS(F1670-G1670)/ABS(F1670)</f>
        <v>0</v>
      </c>
      <c r="K1670" s="5">
        <f>ABS(G1670-H1670)/ABS(G1670)</f>
        <v>0</v>
      </c>
    </row>
    <row r="1671" spans="3:11" x14ac:dyDescent="0.2">
      <c r="C1671" t="s">
        <v>2310</v>
      </c>
      <c r="D1671" t="b">
        <f ca="1">IF(CELL("format",F1671)="G",IF(ABS(F1671-G1671) &lt;= ABS(F1671*B$3),TRUE,FALSE),IF(F1671=G1671,TRUE,FALSE))</f>
        <v>1</v>
      </c>
      <c r="E1671" s="5">
        <f>ABS(F1671-G1671)/ABS(F1671)</f>
        <v>0</v>
      </c>
      <c r="F1671">
        <v>-0.99</v>
      </c>
      <c r="G1671">
        <v>-0.99</v>
      </c>
      <c r="H1671">
        <v>-0.99</v>
      </c>
      <c r="J1671" s="5">
        <f>ABS(F1671-G1671)/ABS(F1671)</f>
        <v>0</v>
      </c>
      <c r="K1671" s="5">
        <f>ABS(G1671-H1671)/ABS(G1671)</f>
        <v>0</v>
      </c>
    </row>
    <row r="1672" spans="3:11" x14ac:dyDescent="0.2">
      <c r="C1672" t="s">
        <v>2311</v>
      </c>
      <c r="D1672" t="b">
        <f ca="1">IF(CELL("format",F1672)="G",IF(ABS(F1672-G1672) &lt;= ABS(F1672*B$3),TRUE,FALSE),IF(F1672=G1672,TRUE,FALSE))</f>
        <v>1</v>
      </c>
      <c r="E1672" s="5">
        <f>ABS(F1672-G1672)/ABS(F1672)</f>
        <v>0</v>
      </c>
      <c r="F1672">
        <v>-1.3</v>
      </c>
      <c r="G1672">
        <v>-1.3</v>
      </c>
      <c r="H1672">
        <v>-1.3</v>
      </c>
      <c r="J1672" s="5">
        <f>ABS(F1672-G1672)/ABS(F1672)</f>
        <v>0</v>
      </c>
      <c r="K1672" s="5">
        <f>ABS(G1672-H1672)/ABS(G1672)</f>
        <v>0</v>
      </c>
    </row>
    <row r="1673" spans="3:11" x14ac:dyDescent="0.2">
      <c r="C1673" t="s">
        <v>2312</v>
      </c>
      <c r="D1673" t="b">
        <f ca="1">IF(CELL("format",F1673)="G",IF(ABS(F1673-G1673) &lt;= ABS(F1673*B$3),TRUE,FALSE),IF(F1673=G1673,TRUE,FALSE))</f>
        <v>1</v>
      </c>
      <c r="E1673" s="5">
        <f>ABS(F1673-G1673)/ABS(F1673)</f>
        <v>0</v>
      </c>
      <c r="F1673">
        <v>-1.59</v>
      </c>
      <c r="G1673">
        <v>-1.59</v>
      </c>
      <c r="H1673">
        <v>-1.59</v>
      </c>
      <c r="J1673" s="5">
        <f>ABS(F1673-G1673)/ABS(F1673)</f>
        <v>0</v>
      </c>
      <c r="K1673" s="5">
        <f>ABS(G1673-H1673)/ABS(G1673)</f>
        <v>0</v>
      </c>
    </row>
    <row r="1674" spans="3:11" x14ac:dyDescent="0.2">
      <c r="C1674" t="s">
        <v>2313</v>
      </c>
      <c r="D1674" t="b">
        <f ca="1">IF(CELL("format",F1674)="G",IF(ABS(F1674-G1674) &lt;= ABS(F1674*B$3),TRUE,FALSE),IF(F1674=G1674,TRUE,FALSE))</f>
        <v>1</v>
      </c>
      <c r="E1674" s="5">
        <f>ABS(F1674-G1674)/ABS(F1674)</f>
        <v>0</v>
      </c>
      <c r="F1674">
        <v>-1.82</v>
      </c>
      <c r="G1674">
        <v>-1.82</v>
      </c>
      <c r="H1674">
        <v>-1.82</v>
      </c>
      <c r="J1674" s="5">
        <f>ABS(F1674-G1674)/ABS(F1674)</f>
        <v>0</v>
      </c>
      <c r="K1674" s="5">
        <f>ABS(G1674-H1674)/ABS(G1674)</f>
        <v>0</v>
      </c>
    </row>
    <row r="1675" spans="3:11" x14ac:dyDescent="0.2">
      <c r="C1675" t="s">
        <v>2314</v>
      </c>
      <c r="D1675" t="b">
        <f ca="1">IF(CELL("format",F1675)="G",IF(ABS(F1675-G1675) &lt;= ABS(F1675*B$3),TRUE,FALSE),IF(F1675=G1675,TRUE,FALSE))</f>
        <v>1</v>
      </c>
      <c r="E1675" s="5">
        <f>ABS(F1675-G1675)/ABS(F1675)</f>
        <v>0</v>
      </c>
      <c r="F1675">
        <v>-1.94</v>
      </c>
      <c r="G1675">
        <v>-1.94</v>
      </c>
      <c r="H1675">
        <v>-1.94</v>
      </c>
      <c r="J1675" s="5">
        <f>ABS(F1675-G1675)/ABS(F1675)</f>
        <v>0</v>
      </c>
      <c r="K1675" s="5">
        <f>ABS(G1675-H1675)/ABS(G1675)</f>
        <v>0</v>
      </c>
    </row>
    <row r="1676" spans="3:11" x14ac:dyDescent="0.2">
      <c r="C1676" t="s">
        <v>2315</v>
      </c>
      <c r="D1676" t="b">
        <f ca="1">IF(CELL("format",F1676)="G",IF(ABS(F1676-G1676) &lt;= ABS(F1676*B$3),TRUE,FALSE),IF(F1676=G1676,TRUE,FALSE))</f>
        <v>1</v>
      </c>
      <c r="E1676" s="5">
        <f>ABS(F1676-G1676)/ABS(F1676)</f>
        <v>0</v>
      </c>
      <c r="F1676">
        <v>-1.93</v>
      </c>
      <c r="G1676">
        <v>-1.93</v>
      </c>
      <c r="H1676">
        <v>-1.93</v>
      </c>
      <c r="J1676" s="5">
        <f>ABS(F1676-G1676)/ABS(F1676)</f>
        <v>0</v>
      </c>
      <c r="K1676" s="5">
        <f>ABS(G1676-H1676)/ABS(G1676)</f>
        <v>0</v>
      </c>
    </row>
    <row r="1677" spans="3:11" x14ac:dyDescent="0.2">
      <c r="C1677" t="s">
        <v>2316</v>
      </c>
      <c r="D1677" t="b">
        <f ca="1">IF(CELL("format",F1677)="G",IF(ABS(F1677-G1677) &lt;= ABS(F1677*B$3),TRUE,FALSE),IF(F1677=G1677,TRUE,FALSE))</f>
        <v>1</v>
      </c>
      <c r="E1677" s="5">
        <f>ABS(F1677-G1677)/ABS(F1677)</f>
        <v>0</v>
      </c>
      <c r="F1677">
        <v>-1.81</v>
      </c>
      <c r="G1677">
        <v>-1.81</v>
      </c>
      <c r="H1677">
        <v>-1.81</v>
      </c>
      <c r="J1677" s="5">
        <f>ABS(F1677-G1677)/ABS(F1677)</f>
        <v>0</v>
      </c>
      <c r="K1677" s="5">
        <f>ABS(G1677-H1677)/ABS(G1677)</f>
        <v>0</v>
      </c>
    </row>
    <row r="1678" spans="3:11" x14ac:dyDescent="0.2">
      <c r="C1678" t="s">
        <v>2317</v>
      </c>
      <c r="D1678" t="b">
        <f ca="1">IF(CELL("format",F1678)="G",IF(ABS(F1678-G1678) &lt;= ABS(F1678*B$3),TRUE,FALSE),IF(F1678=G1678,TRUE,FALSE))</f>
        <v>1</v>
      </c>
      <c r="E1678" s="5">
        <f>ABS(F1678-G1678)/ABS(F1678)</f>
        <v>0</v>
      </c>
      <c r="F1678">
        <v>-1.7</v>
      </c>
      <c r="G1678">
        <v>-1.7</v>
      </c>
      <c r="H1678">
        <v>-1.7</v>
      </c>
      <c r="J1678" s="5">
        <f>ABS(F1678-G1678)/ABS(F1678)</f>
        <v>0</v>
      </c>
      <c r="K1678" s="5">
        <f>ABS(G1678-H1678)/ABS(G1678)</f>
        <v>0</v>
      </c>
    </row>
    <row r="1679" spans="3:11" x14ac:dyDescent="0.2">
      <c r="C1679" t="s">
        <v>2318</v>
      </c>
      <c r="D1679" t="b">
        <f ca="1">IF(CELL("format",F1679)="G",IF(ABS(F1679-G1679) &lt;= ABS(F1679*B$3),TRUE,FALSE),IF(F1679=G1679,TRUE,FALSE))</f>
        <v>1</v>
      </c>
      <c r="E1679" s="5">
        <f>ABS(F1679-G1679)/ABS(F1679)</f>
        <v>0</v>
      </c>
      <c r="F1679">
        <v>-1.58</v>
      </c>
      <c r="G1679">
        <v>-1.58</v>
      </c>
      <c r="H1679">
        <v>-1.58</v>
      </c>
      <c r="J1679" s="5">
        <f>ABS(F1679-G1679)/ABS(F1679)</f>
        <v>0</v>
      </c>
      <c r="K1679" s="5">
        <f>ABS(G1679-H1679)/ABS(G1679)</f>
        <v>0</v>
      </c>
    </row>
    <row r="1680" spans="3:11" x14ac:dyDescent="0.2">
      <c r="C1680" t="s">
        <v>2319</v>
      </c>
      <c r="D1680" t="b">
        <f ca="1">IF(CELL("format",F1680)="G",IF(ABS(F1680-G1680) &lt;= ABS(F1680*B$3),TRUE,FALSE),IF(F1680=G1680,TRUE,FALSE))</f>
        <v>1</v>
      </c>
      <c r="E1680" s="5">
        <f>ABS(F1680-G1680)/ABS(F1680)</f>
        <v>0</v>
      </c>
      <c r="F1680">
        <v>-1.42</v>
      </c>
      <c r="G1680">
        <v>-1.42</v>
      </c>
      <c r="H1680">
        <v>-1.42</v>
      </c>
      <c r="J1680" s="5">
        <f>ABS(F1680-G1680)/ABS(F1680)</f>
        <v>0</v>
      </c>
      <c r="K1680" s="5">
        <f>ABS(G1680-H1680)/ABS(G1680)</f>
        <v>0</v>
      </c>
    </row>
    <row r="1681" spans="3:11" x14ac:dyDescent="0.2">
      <c r="C1681" t="s">
        <v>2320</v>
      </c>
      <c r="D1681" t="b">
        <f ca="1">IF(CELL("format",F1681)="G",IF(ABS(F1681-G1681) &lt;= ABS(F1681*B$3),TRUE,FALSE),IF(F1681=G1681,TRUE,FALSE))</f>
        <v>1</v>
      </c>
      <c r="E1681" s="5">
        <f>ABS(F1681-G1681)/ABS(F1681)</f>
        <v>0</v>
      </c>
      <c r="F1681">
        <v>-1.25</v>
      </c>
      <c r="G1681">
        <v>-1.25</v>
      </c>
      <c r="H1681">
        <v>-1.25</v>
      </c>
      <c r="J1681" s="5">
        <f>ABS(F1681-G1681)/ABS(F1681)</f>
        <v>0</v>
      </c>
      <c r="K1681" s="5">
        <f>ABS(G1681-H1681)/ABS(G1681)</f>
        <v>0</v>
      </c>
    </row>
    <row r="1682" spans="3:11" x14ac:dyDescent="0.2">
      <c r="C1682" t="s">
        <v>2321</v>
      </c>
      <c r="D1682" t="b">
        <f ca="1">IF(CELL("format",F1682)="G",IF(ABS(F1682-G1682) &lt;= ABS(F1682*B$3),TRUE,FALSE),IF(F1682=G1682,TRUE,FALSE))</f>
        <v>1</v>
      </c>
      <c r="E1682" s="5">
        <f>ABS(F1682-G1682)/ABS(F1682)</f>
        <v>0</v>
      </c>
      <c r="F1682">
        <v>-1.1100000000000001</v>
      </c>
      <c r="G1682">
        <v>-1.1100000000000001</v>
      </c>
      <c r="H1682">
        <v>-1.1100000000000001</v>
      </c>
      <c r="J1682" s="5">
        <f>ABS(F1682-G1682)/ABS(F1682)</f>
        <v>0</v>
      </c>
      <c r="K1682" s="5">
        <f>ABS(G1682-H1682)/ABS(G1682)</f>
        <v>0</v>
      </c>
    </row>
    <row r="1683" spans="3:11" x14ac:dyDescent="0.2">
      <c r="C1683" t="s">
        <v>2322</v>
      </c>
      <c r="D1683" t="b">
        <f ca="1">IF(CELL("format",F1683)="G",IF(ABS(F1683-G1683) &lt;= ABS(F1683*B$3),TRUE,FALSE),IF(F1683=G1683,TRUE,FALSE))</f>
        <v>1</v>
      </c>
      <c r="E1683" s="5">
        <f>ABS(F1683-G1683)/ABS(F1683)</f>
        <v>0</v>
      </c>
      <c r="F1683">
        <v>-1.01</v>
      </c>
      <c r="G1683">
        <v>-1.01</v>
      </c>
      <c r="H1683">
        <v>-1.01</v>
      </c>
      <c r="J1683" s="5">
        <f>ABS(F1683-G1683)/ABS(F1683)</f>
        <v>0</v>
      </c>
      <c r="K1683" s="5">
        <f>ABS(G1683-H1683)/ABS(G1683)</f>
        <v>0</v>
      </c>
    </row>
    <row r="1684" spans="3:11" x14ac:dyDescent="0.2">
      <c r="C1684" t="s">
        <v>2323</v>
      </c>
      <c r="D1684" t="b">
        <f ca="1">IF(CELL("format",F1684)="G",IF(ABS(F1684-G1684) &lt;= ABS(F1684*B$3),TRUE,FALSE),IF(F1684=G1684,TRUE,FALSE))</f>
        <v>1</v>
      </c>
      <c r="E1684" s="5">
        <f>ABS(F1684-G1684)/ABS(F1684)</f>
        <v>0</v>
      </c>
      <c r="F1684">
        <v>-0.92</v>
      </c>
      <c r="G1684">
        <v>-0.92</v>
      </c>
      <c r="H1684">
        <v>-0.92</v>
      </c>
      <c r="J1684" s="5">
        <f>ABS(F1684-G1684)/ABS(F1684)</f>
        <v>0</v>
      </c>
      <c r="K1684" s="5">
        <f>ABS(G1684-H1684)/ABS(G1684)</f>
        <v>0</v>
      </c>
    </row>
    <row r="1685" spans="3:11" x14ac:dyDescent="0.2">
      <c r="C1685" t="s">
        <v>2324</v>
      </c>
      <c r="D1685" t="b">
        <f ca="1">IF(CELL("format",F1685)="G",IF(ABS(F1685-G1685) &lt;= ABS(F1685*B$3),TRUE,FALSE),IF(F1685=G1685,TRUE,FALSE))</f>
        <v>1</v>
      </c>
      <c r="E1685" s="5">
        <f>ABS(F1685-G1685)/ABS(F1685)</f>
        <v>0</v>
      </c>
      <c r="F1685">
        <v>-0.82</v>
      </c>
      <c r="G1685">
        <v>-0.82</v>
      </c>
      <c r="H1685">
        <v>-0.82</v>
      </c>
      <c r="J1685" s="5">
        <f>ABS(F1685-G1685)/ABS(F1685)</f>
        <v>0</v>
      </c>
      <c r="K1685" s="5">
        <f>ABS(G1685-H1685)/ABS(G1685)</f>
        <v>0</v>
      </c>
    </row>
    <row r="1686" spans="3:11" x14ac:dyDescent="0.2">
      <c r="C1686" t="s">
        <v>2301</v>
      </c>
      <c r="D1686" t="b">
        <f ca="1">IF(CELL("format",F1686)="G",IF(ABS(F1686-G1686) &lt;= ABS(F1686*B$3),TRUE,FALSE),IF(F1686=G1686,TRUE,FALSE))</f>
        <v>1</v>
      </c>
      <c r="E1686" s="5">
        <f>ABS(F1686-G1686)/ABS(F1686)</f>
        <v>0</v>
      </c>
      <c r="F1686">
        <v>10.7</v>
      </c>
      <c r="G1686">
        <v>10.7</v>
      </c>
      <c r="H1686">
        <v>10.7</v>
      </c>
      <c r="J1686" s="5">
        <f>ABS(F1686-G1686)/ABS(F1686)</f>
        <v>0</v>
      </c>
      <c r="K1686" s="5">
        <f>ABS(G1686-H1686)/ABS(G1686)</f>
        <v>0</v>
      </c>
    </row>
    <row r="1687" spans="3:11" x14ac:dyDescent="0.2">
      <c r="C1687" t="s">
        <v>2302</v>
      </c>
      <c r="D1687" t="b">
        <f ca="1">IF(CELL("format",F1687)="G",IF(ABS(F1687-G1687) &lt;= ABS(F1687*B$3),TRUE,FALSE),IF(F1687=G1687,TRUE,FALSE))</f>
        <v>1</v>
      </c>
      <c r="E1687" s="5">
        <f>ABS(F1687-G1687)/ABS(F1687)</f>
        <v>0</v>
      </c>
      <c r="F1687">
        <v>10</v>
      </c>
      <c r="G1687">
        <v>10</v>
      </c>
      <c r="H1687">
        <v>10</v>
      </c>
      <c r="J1687" s="5">
        <f>ABS(F1687-G1687)/ABS(F1687)</f>
        <v>0</v>
      </c>
      <c r="K1687" s="5">
        <f>ABS(G1687-H1687)/ABS(G1687)</f>
        <v>0</v>
      </c>
    </row>
    <row r="1688" spans="3:11" x14ac:dyDescent="0.2">
      <c r="C1688" t="s">
        <v>2303</v>
      </c>
      <c r="D1688" t="b">
        <f ca="1">IF(CELL("format",F1688)="G",IF(ABS(F1688-G1688) &lt;= ABS(F1688*B$3),TRUE,FALSE),IF(F1688=G1688,TRUE,FALSE))</f>
        <v>1</v>
      </c>
      <c r="E1688" s="5">
        <f>ABS(F1688-G1688)/ABS(F1688)</f>
        <v>0</v>
      </c>
      <c r="F1688">
        <v>10</v>
      </c>
      <c r="G1688">
        <v>10</v>
      </c>
      <c r="H1688">
        <v>10</v>
      </c>
      <c r="J1688" s="5">
        <f>ABS(F1688-G1688)/ABS(F1688)</f>
        <v>0</v>
      </c>
      <c r="K1688" s="5">
        <f>ABS(G1688-H1688)/ABS(G1688)</f>
        <v>0</v>
      </c>
    </row>
    <row r="1689" spans="3:11" x14ac:dyDescent="0.2">
      <c r="C1689" t="s">
        <v>2304</v>
      </c>
      <c r="D1689" t="b">
        <f ca="1">IF(CELL("format",F1689)="G",IF(ABS(F1689-G1689) &lt;= ABS(F1689*B$3),TRUE,FALSE),IF(F1689=G1689,TRUE,FALSE))</f>
        <v>1</v>
      </c>
      <c r="E1689" s="5">
        <f>ABS(F1689-G1689)/ABS(F1689)</f>
        <v>0</v>
      </c>
      <c r="F1689">
        <v>10</v>
      </c>
      <c r="G1689">
        <v>10</v>
      </c>
      <c r="H1689">
        <v>10</v>
      </c>
      <c r="J1689" s="5">
        <f>ABS(F1689-G1689)/ABS(F1689)</f>
        <v>0</v>
      </c>
      <c r="K1689" s="5">
        <f>ABS(G1689-H1689)/ABS(G1689)</f>
        <v>0</v>
      </c>
    </row>
    <row r="1690" spans="3:11" x14ac:dyDescent="0.2">
      <c r="C1690" t="s">
        <v>2305</v>
      </c>
      <c r="D1690" t="b">
        <f ca="1">IF(CELL("format",F1690)="G",IF(ABS(F1690-G1690) &lt;= ABS(F1690*B$3),TRUE,FALSE),IF(F1690=G1690,TRUE,FALSE))</f>
        <v>1</v>
      </c>
      <c r="E1690" s="5">
        <f>ABS(F1690-G1690)/ABS(F1690)</f>
        <v>0</v>
      </c>
      <c r="F1690">
        <v>10</v>
      </c>
      <c r="G1690">
        <v>10</v>
      </c>
      <c r="H1690">
        <v>10</v>
      </c>
      <c r="J1690" s="5">
        <f>ABS(F1690-G1690)/ABS(F1690)</f>
        <v>0</v>
      </c>
      <c r="K1690" s="5">
        <f>ABS(G1690-H1690)/ABS(G1690)</f>
        <v>0</v>
      </c>
    </row>
    <row r="1691" spans="3:11" x14ac:dyDescent="0.2">
      <c r="C1691" t="s">
        <v>2306</v>
      </c>
      <c r="D1691" t="b">
        <f ca="1">IF(CELL("format",F1691)="G",IF(ABS(F1691-G1691) &lt;= ABS(F1691*B$3),TRUE,FALSE),IF(F1691=G1691,TRUE,FALSE))</f>
        <v>1</v>
      </c>
      <c r="E1691" s="5">
        <f>ABS(F1691-G1691)/ABS(F1691)</f>
        <v>0</v>
      </c>
      <c r="F1691">
        <v>10</v>
      </c>
      <c r="G1691">
        <v>10</v>
      </c>
      <c r="H1691">
        <v>10</v>
      </c>
      <c r="J1691" s="5">
        <f>ABS(F1691-G1691)/ABS(F1691)</f>
        <v>0</v>
      </c>
      <c r="K1691" s="5">
        <f>ABS(G1691-H1691)/ABS(G1691)</f>
        <v>0</v>
      </c>
    </row>
    <row r="1692" spans="3:11" x14ac:dyDescent="0.2">
      <c r="C1692" t="s">
        <v>2307</v>
      </c>
      <c r="D1692" t="b">
        <f ca="1">IF(CELL("format",F1692)="G",IF(ABS(F1692-G1692) &lt;= ABS(F1692*B$3),TRUE,FALSE),IF(F1692=G1692,TRUE,FALSE))</f>
        <v>1</v>
      </c>
      <c r="E1692" s="5">
        <f>ABS(F1692-G1692)/ABS(F1692)</f>
        <v>0</v>
      </c>
      <c r="F1692">
        <v>10</v>
      </c>
      <c r="G1692">
        <v>10</v>
      </c>
      <c r="H1692">
        <v>10</v>
      </c>
      <c r="J1692" s="5">
        <f>ABS(F1692-G1692)/ABS(F1692)</f>
        <v>0</v>
      </c>
      <c r="K1692" s="5">
        <f>ABS(G1692-H1692)/ABS(G1692)</f>
        <v>0</v>
      </c>
    </row>
    <row r="1693" spans="3:11" x14ac:dyDescent="0.2">
      <c r="C1693" t="s">
        <v>2308</v>
      </c>
      <c r="D1693" t="b">
        <f ca="1">IF(CELL("format",F1693)="G",IF(ABS(F1693-G1693) &lt;= ABS(F1693*B$3),TRUE,FALSE),IF(F1693=G1693,TRUE,FALSE))</f>
        <v>1</v>
      </c>
      <c r="E1693" s="5">
        <f>ABS(F1693-G1693)/ABS(F1693)</f>
        <v>0</v>
      </c>
      <c r="F1693">
        <v>15.8</v>
      </c>
      <c r="G1693">
        <v>15.8</v>
      </c>
      <c r="H1693">
        <v>15.8</v>
      </c>
      <c r="J1693" s="5">
        <f>ABS(F1693-G1693)/ABS(F1693)</f>
        <v>0</v>
      </c>
      <c r="K1693" s="5">
        <f>ABS(G1693-H1693)/ABS(G1693)</f>
        <v>0</v>
      </c>
    </row>
    <row r="1694" spans="3:11" x14ac:dyDescent="0.2">
      <c r="C1694" t="s">
        <v>2309</v>
      </c>
      <c r="D1694" t="b">
        <f ca="1">IF(CELL("format",F1694)="G",IF(ABS(F1694-G1694) &lt;= ABS(F1694*B$3),TRUE,FALSE),IF(F1694=G1694,TRUE,FALSE))</f>
        <v>1</v>
      </c>
      <c r="E1694" s="5">
        <f>ABS(F1694-G1694)/ABS(F1694)</f>
        <v>0</v>
      </c>
      <c r="F1694">
        <v>20</v>
      </c>
      <c r="G1694">
        <v>20</v>
      </c>
      <c r="H1694">
        <v>20</v>
      </c>
      <c r="J1694" s="5">
        <f>ABS(F1694-G1694)/ABS(F1694)</f>
        <v>0</v>
      </c>
      <c r="K1694" s="5">
        <f>ABS(G1694-H1694)/ABS(G1694)</f>
        <v>0</v>
      </c>
    </row>
    <row r="1695" spans="3:11" x14ac:dyDescent="0.2">
      <c r="C1695" t="s">
        <v>2310</v>
      </c>
      <c r="D1695" t="b">
        <f ca="1">IF(CELL("format",F1695)="G",IF(ABS(F1695-G1695) &lt;= ABS(F1695*B$3),TRUE,FALSE),IF(F1695=G1695,TRUE,FALSE))</f>
        <v>1</v>
      </c>
      <c r="E1695" s="5">
        <f>ABS(F1695-G1695)/ABS(F1695)</f>
        <v>0</v>
      </c>
      <c r="F1695">
        <v>21.3</v>
      </c>
      <c r="G1695">
        <v>21.3</v>
      </c>
      <c r="H1695">
        <v>21.3</v>
      </c>
      <c r="J1695" s="5">
        <f>ABS(F1695-G1695)/ABS(F1695)</f>
        <v>0</v>
      </c>
      <c r="K1695" s="5">
        <f>ABS(G1695-H1695)/ABS(G1695)</f>
        <v>0</v>
      </c>
    </row>
    <row r="1696" spans="3:11" x14ac:dyDescent="0.2">
      <c r="C1696" t="s">
        <v>2311</v>
      </c>
      <c r="D1696" t="b">
        <f ca="1">IF(CELL("format",F1696)="G",IF(ABS(F1696-G1696) &lt;= ABS(F1696*B$3),TRUE,FALSE),IF(F1696=G1696,TRUE,FALSE))</f>
        <v>1</v>
      </c>
      <c r="E1696" s="5">
        <f>ABS(F1696-G1696)/ABS(F1696)</f>
        <v>0</v>
      </c>
      <c r="F1696">
        <v>26.5</v>
      </c>
      <c r="G1696">
        <v>26.5</v>
      </c>
      <c r="H1696">
        <v>26.5</v>
      </c>
      <c r="J1696" s="5">
        <f>ABS(F1696-G1696)/ABS(F1696)</f>
        <v>0</v>
      </c>
      <c r="K1696" s="5">
        <f>ABS(G1696-H1696)/ABS(G1696)</f>
        <v>0</v>
      </c>
    </row>
    <row r="1697" spans="3:11" x14ac:dyDescent="0.2">
      <c r="C1697" t="s">
        <v>2312</v>
      </c>
      <c r="D1697" t="b">
        <f ca="1">IF(CELL("format",F1697)="G",IF(ABS(F1697-G1697) &lt;= ABS(F1697*B$3),TRUE,FALSE),IF(F1697=G1697,TRUE,FALSE))</f>
        <v>1</v>
      </c>
      <c r="E1697" s="5">
        <f>ABS(F1697-G1697)/ABS(F1697)</f>
        <v>0</v>
      </c>
      <c r="F1697">
        <v>27</v>
      </c>
      <c r="G1697">
        <v>27</v>
      </c>
      <c r="H1697">
        <v>27</v>
      </c>
      <c r="J1697" s="5">
        <f>ABS(F1697-G1697)/ABS(F1697)</f>
        <v>0</v>
      </c>
      <c r="K1697" s="5">
        <f>ABS(G1697-H1697)/ABS(G1697)</f>
        <v>0</v>
      </c>
    </row>
    <row r="1698" spans="3:11" x14ac:dyDescent="0.2">
      <c r="C1698" t="s">
        <v>2313</v>
      </c>
      <c r="D1698" t="b">
        <f ca="1">IF(CELL("format",F1698)="G",IF(ABS(F1698-G1698) &lt;= ABS(F1698*B$3),TRUE,FALSE),IF(F1698=G1698,TRUE,FALSE))</f>
        <v>1</v>
      </c>
      <c r="E1698" s="5">
        <f>ABS(F1698-G1698)/ABS(F1698)</f>
        <v>0</v>
      </c>
      <c r="F1698">
        <v>27</v>
      </c>
      <c r="G1698">
        <v>27</v>
      </c>
      <c r="H1698">
        <v>27</v>
      </c>
      <c r="J1698" s="5">
        <f>ABS(F1698-G1698)/ABS(F1698)</f>
        <v>0</v>
      </c>
      <c r="K1698" s="5">
        <f>ABS(G1698-H1698)/ABS(G1698)</f>
        <v>0</v>
      </c>
    </row>
    <row r="1699" spans="3:11" x14ac:dyDescent="0.2">
      <c r="C1699" t="s">
        <v>2314</v>
      </c>
      <c r="D1699" t="b">
        <f ca="1">IF(CELL("format",F1699)="G",IF(ABS(F1699-G1699) &lt;= ABS(F1699*B$3),TRUE,FALSE),IF(F1699=G1699,TRUE,FALSE))</f>
        <v>1</v>
      </c>
      <c r="E1699" s="5">
        <f>ABS(F1699-G1699)/ABS(F1699)</f>
        <v>0</v>
      </c>
      <c r="F1699">
        <v>27</v>
      </c>
      <c r="G1699">
        <v>27</v>
      </c>
      <c r="H1699">
        <v>27</v>
      </c>
      <c r="J1699" s="5">
        <f>ABS(F1699-G1699)/ABS(F1699)</f>
        <v>0</v>
      </c>
      <c r="K1699" s="5">
        <f>ABS(G1699-H1699)/ABS(G1699)</f>
        <v>0</v>
      </c>
    </row>
    <row r="1700" spans="3:11" x14ac:dyDescent="0.2">
      <c r="C1700" t="s">
        <v>2315</v>
      </c>
      <c r="D1700" t="b">
        <f ca="1">IF(CELL("format",F1700)="G",IF(ABS(F1700-G1700) &lt;= ABS(F1700*B$3),TRUE,FALSE),IF(F1700=G1700,TRUE,FALSE))</f>
        <v>1</v>
      </c>
      <c r="E1700" s="5">
        <f>ABS(F1700-G1700)/ABS(F1700)</f>
        <v>0</v>
      </c>
      <c r="F1700">
        <v>27</v>
      </c>
      <c r="G1700">
        <v>27</v>
      </c>
      <c r="H1700">
        <v>27</v>
      </c>
      <c r="J1700" s="5">
        <f>ABS(F1700-G1700)/ABS(F1700)</f>
        <v>0</v>
      </c>
      <c r="K1700" s="5">
        <f>ABS(G1700-H1700)/ABS(G1700)</f>
        <v>0</v>
      </c>
    </row>
    <row r="1701" spans="3:11" x14ac:dyDescent="0.2">
      <c r="C1701" t="s">
        <v>2316</v>
      </c>
      <c r="D1701" t="b">
        <f ca="1">IF(CELL("format",F1701)="G",IF(ABS(F1701-G1701) &lt;= ABS(F1701*B$3),TRUE,FALSE),IF(F1701=G1701,TRUE,FALSE))</f>
        <v>1</v>
      </c>
      <c r="E1701" s="5">
        <f>ABS(F1701-G1701)/ABS(F1701)</f>
        <v>0</v>
      </c>
      <c r="F1701">
        <v>27</v>
      </c>
      <c r="G1701">
        <v>27</v>
      </c>
      <c r="H1701">
        <v>27</v>
      </c>
      <c r="J1701" s="5">
        <f>ABS(F1701-G1701)/ABS(F1701)</f>
        <v>0</v>
      </c>
      <c r="K1701" s="5">
        <f>ABS(G1701-H1701)/ABS(G1701)</f>
        <v>0</v>
      </c>
    </row>
    <row r="1702" spans="3:11" x14ac:dyDescent="0.2">
      <c r="C1702" t="s">
        <v>2317</v>
      </c>
      <c r="D1702" t="b">
        <f ca="1">IF(CELL("format",F1702)="G",IF(ABS(F1702-G1702) &lt;= ABS(F1702*B$3),TRUE,FALSE),IF(F1702=G1702,TRUE,FALSE))</f>
        <v>1</v>
      </c>
      <c r="E1702" s="5">
        <f>ABS(F1702-G1702)/ABS(F1702)</f>
        <v>0</v>
      </c>
      <c r="F1702">
        <v>27</v>
      </c>
      <c r="G1702">
        <v>27</v>
      </c>
      <c r="H1702">
        <v>27</v>
      </c>
      <c r="J1702" s="5">
        <f>ABS(F1702-G1702)/ABS(F1702)</f>
        <v>0</v>
      </c>
      <c r="K1702" s="5">
        <f>ABS(G1702-H1702)/ABS(G1702)</f>
        <v>0</v>
      </c>
    </row>
    <row r="1703" spans="3:11" x14ac:dyDescent="0.2">
      <c r="C1703" t="s">
        <v>2318</v>
      </c>
      <c r="D1703" t="b">
        <f ca="1">IF(CELL("format",F1703)="G",IF(ABS(F1703-G1703) &lt;= ABS(F1703*B$3),TRUE,FALSE),IF(F1703=G1703,TRUE,FALSE))</f>
        <v>1</v>
      </c>
      <c r="E1703" s="5">
        <f>ABS(F1703-G1703)/ABS(F1703)</f>
        <v>0</v>
      </c>
      <c r="F1703">
        <v>25.5</v>
      </c>
      <c r="G1703">
        <v>25.5</v>
      </c>
      <c r="H1703">
        <v>25.5</v>
      </c>
      <c r="J1703" s="5">
        <f>ABS(F1703-G1703)/ABS(F1703)</f>
        <v>0</v>
      </c>
      <c r="K1703" s="5">
        <f>ABS(G1703-H1703)/ABS(G1703)</f>
        <v>0</v>
      </c>
    </row>
    <row r="1704" spans="3:11" x14ac:dyDescent="0.2">
      <c r="C1704" t="s">
        <v>2319</v>
      </c>
      <c r="D1704" t="b">
        <f ca="1">IF(CELL("format",F1704)="G",IF(ABS(F1704-G1704) &lt;= ABS(F1704*B$3),TRUE,FALSE),IF(F1704=G1704,TRUE,FALSE))</f>
        <v>1</v>
      </c>
      <c r="E1704" s="5">
        <f>ABS(F1704-G1704)/ABS(F1704)</f>
        <v>0</v>
      </c>
      <c r="F1704">
        <v>21.1</v>
      </c>
      <c r="G1704">
        <v>21.1</v>
      </c>
      <c r="H1704">
        <v>21.1</v>
      </c>
      <c r="J1704" s="5">
        <f>ABS(F1704-G1704)/ABS(F1704)</f>
        <v>0</v>
      </c>
      <c r="K1704" s="5">
        <f>ABS(G1704-H1704)/ABS(G1704)</f>
        <v>0</v>
      </c>
    </row>
    <row r="1705" spans="3:11" x14ac:dyDescent="0.2">
      <c r="C1705" t="s">
        <v>2320</v>
      </c>
      <c r="D1705" t="b">
        <f ca="1">IF(CELL("format",F1705)="G",IF(ABS(F1705-G1705) &lt;= ABS(F1705*B$3),TRUE,FALSE),IF(F1705=G1705,TRUE,FALSE))</f>
        <v>1</v>
      </c>
      <c r="E1705" s="5">
        <f>ABS(F1705-G1705)/ABS(F1705)</f>
        <v>0</v>
      </c>
      <c r="F1705">
        <v>20</v>
      </c>
      <c r="G1705">
        <v>20</v>
      </c>
      <c r="H1705">
        <v>20</v>
      </c>
      <c r="J1705" s="5">
        <f>ABS(F1705-G1705)/ABS(F1705)</f>
        <v>0</v>
      </c>
      <c r="K1705" s="5">
        <f>ABS(G1705-H1705)/ABS(G1705)</f>
        <v>0</v>
      </c>
    </row>
    <row r="1706" spans="3:11" x14ac:dyDescent="0.2">
      <c r="C1706" t="s">
        <v>2321</v>
      </c>
      <c r="D1706" t="b">
        <f ca="1">IF(CELL("format",F1706)="G",IF(ABS(F1706-G1706) &lt;= ABS(F1706*B$3),TRUE,FALSE),IF(F1706=G1706,TRUE,FALSE))</f>
        <v>1</v>
      </c>
      <c r="E1706" s="5">
        <f>ABS(F1706-G1706)/ABS(F1706)</f>
        <v>0</v>
      </c>
      <c r="F1706">
        <v>20</v>
      </c>
      <c r="G1706">
        <v>20</v>
      </c>
      <c r="H1706">
        <v>20</v>
      </c>
      <c r="J1706" s="5">
        <f>ABS(F1706-G1706)/ABS(F1706)</f>
        <v>0</v>
      </c>
      <c r="K1706" s="5">
        <f>ABS(G1706-H1706)/ABS(G1706)</f>
        <v>0</v>
      </c>
    </row>
    <row r="1707" spans="3:11" x14ac:dyDescent="0.2">
      <c r="C1707" t="s">
        <v>2322</v>
      </c>
      <c r="D1707" t="b">
        <f ca="1">IF(CELL("format",F1707)="G",IF(ABS(F1707-G1707) &lt;= ABS(F1707*B$3),TRUE,FALSE),IF(F1707=G1707,TRUE,FALSE))</f>
        <v>1</v>
      </c>
      <c r="E1707" s="5">
        <f>ABS(F1707-G1707)/ABS(F1707)</f>
        <v>0</v>
      </c>
      <c r="F1707">
        <v>20</v>
      </c>
      <c r="G1707">
        <v>20</v>
      </c>
      <c r="H1707">
        <v>20</v>
      </c>
      <c r="J1707" s="5">
        <f>ABS(F1707-G1707)/ABS(F1707)</f>
        <v>0</v>
      </c>
      <c r="K1707" s="5">
        <f>ABS(G1707-H1707)/ABS(G1707)</f>
        <v>0</v>
      </c>
    </row>
    <row r="1708" spans="3:11" x14ac:dyDescent="0.2">
      <c r="C1708" t="s">
        <v>2323</v>
      </c>
      <c r="D1708" t="b">
        <f ca="1">IF(CELL("format",F1708)="G",IF(ABS(F1708-G1708) &lt;= ABS(F1708*B$3),TRUE,FALSE),IF(F1708=G1708,TRUE,FALSE))</f>
        <v>1</v>
      </c>
      <c r="E1708" s="5">
        <f>ABS(F1708-G1708)/ABS(F1708)</f>
        <v>0</v>
      </c>
      <c r="F1708">
        <v>20</v>
      </c>
      <c r="G1708">
        <v>20</v>
      </c>
      <c r="H1708">
        <v>20</v>
      </c>
      <c r="J1708" s="5">
        <f>ABS(F1708-G1708)/ABS(F1708)</f>
        <v>0</v>
      </c>
      <c r="K1708" s="5">
        <f>ABS(G1708-H1708)/ABS(G1708)</f>
        <v>0</v>
      </c>
    </row>
    <row r="1709" spans="3:11" x14ac:dyDescent="0.2">
      <c r="C1709" t="s">
        <v>2324</v>
      </c>
      <c r="D1709" t="b">
        <f ca="1">IF(CELL("format",F1709)="G",IF(ABS(F1709-G1709) &lt;= ABS(F1709*B$3),TRUE,FALSE),IF(F1709=G1709,TRUE,FALSE))</f>
        <v>1</v>
      </c>
      <c r="E1709" s="5">
        <f>ABS(F1709-G1709)/ABS(F1709)</f>
        <v>0</v>
      </c>
      <c r="F1709">
        <v>12.9</v>
      </c>
      <c r="G1709">
        <v>12.9</v>
      </c>
      <c r="H1709">
        <v>12.9</v>
      </c>
      <c r="J1709" s="5">
        <f>ABS(F1709-G1709)/ABS(F1709)</f>
        <v>0</v>
      </c>
      <c r="K1709" s="5">
        <f>ABS(G1709-H1709)/ABS(G1709)</f>
        <v>0</v>
      </c>
    </row>
    <row r="1710" spans="3:11" x14ac:dyDescent="0.2">
      <c r="C1710" t="s">
        <v>2301</v>
      </c>
      <c r="D1710" t="b">
        <f ca="1">IF(CELL("format",F1710)="G",IF(ABS(F1710-G1710) &lt;= ABS(F1710*B$3),TRUE,FALSE),IF(F1710=G1710,TRUE,FALSE))</f>
        <v>1</v>
      </c>
      <c r="E1710" s="5">
        <f>ABS(F1710-G1710)/ABS(F1710)</f>
        <v>0</v>
      </c>
      <c r="F1710">
        <v>15.6</v>
      </c>
      <c r="G1710">
        <v>15.6</v>
      </c>
      <c r="H1710">
        <v>15.6</v>
      </c>
      <c r="J1710" s="5">
        <f>ABS(F1710-G1710)/ABS(F1710)</f>
        <v>0</v>
      </c>
      <c r="K1710" s="5">
        <f>ABS(G1710-H1710)/ABS(G1710)</f>
        <v>0</v>
      </c>
    </row>
    <row r="1711" spans="3:11" x14ac:dyDescent="0.2">
      <c r="C1711" t="s">
        <v>2302</v>
      </c>
      <c r="D1711" t="b">
        <f ca="1">IF(CELL("format",F1711)="G",IF(ABS(F1711-G1711) &lt;= ABS(F1711*B$3),TRUE,FALSE),IF(F1711=G1711,TRUE,FALSE))</f>
        <v>1</v>
      </c>
      <c r="E1711" s="5">
        <f>ABS(F1711-G1711)/ABS(F1711)</f>
        <v>0</v>
      </c>
      <c r="F1711">
        <v>15</v>
      </c>
      <c r="G1711">
        <v>15</v>
      </c>
      <c r="H1711">
        <v>15</v>
      </c>
      <c r="J1711" s="5">
        <f>ABS(F1711-G1711)/ABS(F1711)</f>
        <v>0</v>
      </c>
      <c r="K1711" s="5">
        <f>ABS(G1711-H1711)/ABS(G1711)</f>
        <v>0</v>
      </c>
    </row>
    <row r="1712" spans="3:11" x14ac:dyDescent="0.2">
      <c r="C1712" t="s">
        <v>2303</v>
      </c>
      <c r="D1712" t="b">
        <f ca="1">IF(CELL("format",F1712)="G",IF(ABS(F1712-G1712) &lt;= ABS(F1712*B$3),TRUE,FALSE),IF(F1712=G1712,TRUE,FALSE))</f>
        <v>1</v>
      </c>
      <c r="E1712" s="5">
        <f>ABS(F1712-G1712)/ABS(F1712)</f>
        <v>0</v>
      </c>
      <c r="F1712">
        <v>14.4</v>
      </c>
      <c r="G1712">
        <v>14.4</v>
      </c>
      <c r="H1712">
        <v>14.4</v>
      </c>
      <c r="J1712" s="5">
        <f>ABS(F1712-G1712)/ABS(F1712)</f>
        <v>0</v>
      </c>
      <c r="K1712" s="5">
        <f>ABS(G1712-H1712)/ABS(G1712)</f>
        <v>0</v>
      </c>
    </row>
    <row r="1713" spans="3:11" x14ac:dyDescent="0.2">
      <c r="C1713" t="s">
        <v>2304</v>
      </c>
      <c r="D1713" t="b">
        <f ca="1">IF(CELL("format",F1713)="G",IF(ABS(F1713-G1713) &lt;= ABS(F1713*B$3),TRUE,FALSE),IF(F1713=G1713,TRUE,FALSE))</f>
        <v>1</v>
      </c>
      <c r="E1713" s="5">
        <f>ABS(F1713-G1713)/ABS(F1713)</f>
        <v>0</v>
      </c>
      <c r="F1713">
        <v>13.9</v>
      </c>
      <c r="G1713">
        <v>13.9</v>
      </c>
      <c r="H1713">
        <v>13.9</v>
      </c>
      <c r="J1713" s="5">
        <f>ABS(F1713-G1713)/ABS(F1713)</f>
        <v>0</v>
      </c>
      <c r="K1713" s="5">
        <f>ABS(G1713-H1713)/ABS(G1713)</f>
        <v>0</v>
      </c>
    </row>
    <row r="1714" spans="3:11" x14ac:dyDescent="0.2">
      <c r="C1714" t="s">
        <v>2305</v>
      </c>
      <c r="D1714" t="b">
        <f ca="1">IF(CELL("format",F1714)="G",IF(ABS(F1714-G1714) &lt;= ABS(F1714*B$3),TRUE,FALSE),IF(F1714=G1714,TRUE,FALSE))</f>
        <v>1</v>
      </c>
      <c r="E1714" s="5">
        <f>ABS(F1714-G1714)/ABS(F1714)</f>
        <v>0</v>
      </c>
      <c r="F1714">
        <v>13.4</v>
      </c>
      <c r="G1714">
        <v>13.4</v>
      </c>
      <c r="H1714">
        <v>13.4</v>
      </c>
      <c r="J1714" s="5">
        <f>ABS(F1714-G1714)/ABS(F1714)</f>
        <v>0</v>
      </c>
      <c r="K1714" s="5">
        <f>ABS(G1714-H1714)/ABS(G1714)</f>
        <v>0</v>
      </c>
    </row>
    <row r="1715" spans="3:11" x14ac:dyDescent="0.2">
      <c r="C1715" t="s">
        <v>2306</v>
      </c>
      <c r="D1715" t="b">
        <f ca="1">IF(CELL("format",F1715)="G",IF(ABS(F1715-G1715) &lt;= ABS(F1715*B$3),TRUE,FALSE),IF(F1715=G1715,TRUE,FALSE))</f>
        <v>1</v>
      </c>
      <c r="E1715" s="5">
        <f>ABS(F1715-G1715)/ABS(F1715)</f>
        <v>0</v>
      </c>
      <c r="F1715">
        <v>12.9</v>
      </c>
      <c r="G1715">
        <v>12.9</v>
      </c>
      <c r="H1715">
        <v>12.9</v>
      </c>
      <c r="J1715" s="5">
        <f>ABS(F1715-G1715)/ABS(F1715)</f>
        <v>0</v>
      </c>
      <c r="K1715" s="5">
        <f>ABS(G1715-H1715)/ABS(G1715)</f>
        <v>0</v>
      </c>
    </row>
    <row r="1716" spans="3:11" x14ac:dyDescent="0.2">
      <c r="C1716" t="s">
        <v>2307</v>
      </c>
      <c r="D1716" t="b">
        <f ca="1">IF(CELL("format",F1716)="G",IF(ABS(F1716-G1716) &lt;= ABS(F1716*B$3),TRUE,FALSE),IF(F1716=G1716,TRUE,FALSE))</f>
        <v>1</v>
      </c>
      <c r="E1716" s="5">
        <f>ABS(F1716-G1716)/ABS(F1716)</f>
        <v>0</v>
      </c>
      <c r="F1716">
        <v>12.4</v>
      </c>
      <c r="G1716">
        <v>12.4</v>
      </c>
      <c r="H1716">
        <v>12.4</v>
      </c>
      <c r="J1716" s="5">
        <f>ABS(F1716-G1716)/ABS(F1716)</f>
        <v>0</v>
      </c>
      <c r="K1716" s="5">
        <f>ABS(G1716-H1716)/ABS(G1716)</f>
        <v>0</v>
      </c>
    </row>
    <row r="1717" spans="3:11" x14ac:dyDescent="0.2">
      <c r="C1717" t="s">
        <v>2308</v>
      </c>
      <c r="D1717" t="b">
        <f ca="1">IF(CELL("format",F1717)="G",IF(ABS(F1717-G1717) &lt;= ABS(F1717*B$3),TRUE,FALSE),IF(F1717=G1717,TRUE,FALSE))</f>
        <v>1</v>
      </c>
      <c r="E1717" s="5">
        <f>ABS(F1717-G1717)/ABS(F1717)</f>
        <v>0</v>
      </c>
      <c r="F1717">
        <v>16</v>
      </c>
      <c r="G1717">
        <v>16</v>
      </c>
      <c r="H1717">
        <v>16</v>
      </c>
      <c r="J1717" s="5">
        <f>ABS(F1717-G1717)/ABS(F1717)</f>
        <v>0</v>
      </c>
      <c r="K1717" s="5">
        <f>ABS(G1717-H1717)/ABS(G1717)</f>
        <v>0</v>
      </c>
    </row>
    <row r="1718" spans="3:11" x14ac:dyDescent="0.2">
      <c r="C1718" t="s">
        <v>2309</v>
      </c>
      <c r="D1718" t="b">
        <f ca="1">IF(CELL("format",F1718)="G",IF(ABS(F1718-G1718) &lt;= ABS(F1718*B$3),TRUE,FALSE),IF(F1718=G1718,TRUE,FALSE))</f>
        <v>1</v>
      </c>
      <c r="E1718" s="5">
        <f>ABS(F1718-G1718)/ABS(F1718)</f>
        <v>0</v>
      </c>
      <c r="F1718">
        <v>20</v>
      </c>
      <c r="G1718">
        <v>20</v>
      </c>
      <c r="H1718">
        <v>20</v>
      </c>
      <c r="J1718" s="5">
        <f>ABS(F1718-G1718)/ABS(F1718)</f>
        <v>0</v>
      </c>
      <c r="K1718" s="5">
        <f>ABS(G1718-H1718)/ABS(G1718)</f>
        <v>0</v>
      </c>
    </row>
    <row r="1719" spans="3:11" x14ac:dyDescent="0.2">
      <c r="C1719" t="s">
        <v>2310</v>
      </c>
      <c r="D1719" t="b">
        <f ca="1">IF(CELL("format",F1719)="G",IF(ABS(F1719-G1719) &lt;= ABS(F1719*B$3),TRUE,FALSE),IF(F1719=G1719,TRUE,FALSE))</f>
        <v>1</v>
      </c>
      <c r="E1719" s="5">
        <f>ABS(F1719-G1719)/ABS(F1719)</f>
        <v>0</v>
      </c>
      <c r="F1719">
        <v>20</v>
      </c>
      <c r="G1719">
        <v>20</v>
      </c>
      <c r="H1719">
        <v>20</v>
      </c>
      <c r="J1719" s="5">
        <f>ABS(F1719-G1719)/ABS(F1719)</f>
        <v>0</v>
      </c>
      <c r="K1719" s="5">
        <f>ABS(G1719-H1719)/ABS(G1719)</f>
        <v>0</v>
      </c>
    </row>
    <row r="1720" spans="3:11" x14ac:dyDescent="0.2">
      <c r="C1720" t="s">
        <v>2311</v>
      </c>
      <c r="D1720" t="b">
        <f ca="1">IF(CELL("format",F1720)="G",IF(ABS(F1720-G1720) &lt;= ABS(F1720*B$3),TRUE,FALSE),IF(F1720=G1720,TRUE,FALSE))</f>
        <v>1</v>
      </c>
      <c r="E1720" s="5">
        <f>ABS(F1720-G1720)/ABS(F1720)</f>
        <v>0</v>
      </c>
      <c r="F1720">
        <v>20</v>
      </c>
      <c r="G1720">
        <v>20</v>
      </c>
      <c r="H1720">
        <v>20</v>
      </c>
      <c r="J1720" s="5">
        <f>ABS(F1720-G1720)/ABS(F1720)</f>
        <v>0</v>
      </c>
      <c r="K1720" s="5">
        <f>ABS(G1720-H1720)/ABS(G1720)</f>
        <v>0</v>
      </c>
    </row>
    <row r="1721" spans="3:11" x14ac:dyDescent="0.2">
      <c r="C1721" t="s">
        <v>2312</v>
      </c>
      <c r="D1721" t="b">
        <f ca="1">IF(CELL("format",F1721)="G",IF(ABS(F1721-G1721) &lt;= ABS(F1721*B$3),TRUE,FALSE),IF(F1721=G1721,TRUE,FALSE))</f>
        <v>1</v>
      </c>
      <c r="E1721" s="5">
        <f>ABS(F1721-G1721)/ABS(F1721)</f>
        <v>0</v>
      </c>
      <c r="F1721">
        <v>21.1</v>
      </c>
      <c r="G1721">
        <v>21.1</v>
      </c>
      <c r="H1721">
        <v>21.1</v>
      </c>
      <c r="J1721" s="5">
        <f>ABS(F1721-G1721)/ABS(F1721)</f>
        <v>0</v>
      </c>
      <c r="K1721" s="5">
        <f>ABS(G1721-H1721)/ABS(G1721)</f>
        <v>0</v>
      </c>
    </row>
    <row r="1722" spans="3:11" x14ac:dyDescent="0.2">
      <c r="C1722" t="s">
        <v>2313</v>
      </c>
      <c r="D1722" t="b">
        <f ca="1">IF(CELL("format",F1722)="G",IF(ABS(F1722-G1722) &lt;= ABS(F1722*B$3),TRUE,FALSE),IF(F1722=G1722,TRUE,FALSE))</f>
        <v>1</v>
      </c>
      <c r="E1722" s="5">
        <f>ABS(F1722-G1722)/ABS(F1722)</f>
        <v>0</v>
      </c>
      <c r="F1722">
        <v>23.2</v>
      </c>
      <c r="G1722">
        <v>23.2</v>
      </c>
      <c r="H1722">
        <v>23.2</v>
      </c>
      <c r="J1722" s="5">
        <f>ABS(F1722-G1722)/ABS(F1722)</f>
        <v>0</v>
      </c>
      <c r="K1722" s="5">
        <f>ABS(G1722-H1722)/ABS(G1722)</f>
        <v>0</v>
      </c>
    </row>
    <row r="1723" spans="3:11" x14ac:dyDescent="0.2">
      <c r="C1723" t="s">
        <v>2314</v>
      </c>
      <c r="D1723" t="b">
        <f ca="1">IF(CELL("format",F1723)="G",IF(ABS(F1723-G1723) &lt;= ABS(F1723*B$3),TRUE,FALSE),IF(F1723=G1723,TRUE,FALSE))</f>
        <v>1</v>
      </c>
      <c r="E1723" s="5">
        <f>ABS(F1723-G1723)/ABS(F1723)</f>
        <v>0</v>
      </c>
      <c r="F1723">
        <v>24.7</v>
      </c>
      <c r="G1723">
        <v>24.7</v>
      </c>
      <c r="H1723">
        <v>24.7</v>
      </c>
      <c r="J1723" s="5">
        <f>ABS(F1723-G1723)/ABS(F1723)</f>
        <v>0</v>
      </c>
      <c r="K1723" s="5">
        <f>ABS(G1723-H1723)/ABS(G1723)</f>
        <v>0</v>
      </c>
    </row>
    <row r="1724" spans="3:11" x14ac:dyDescent="0.2">
      <c r="C1724" t="s">
        <v>2315</v>
      </c>
      <c r="D1724" t="b">
        <f ca="1">IF(CELL("format",F1724)="G",IF(ABS(F1724-G1724) &lt;= ABS(F1724*B$3),TRUE,FALSE),IF(F1724=G1724,TRUE,FALSE))</f>
        <v>1</v>
      </c>
      <c r="E1724" s="5">
        <f>ABS(F1724-G1724)/ABS(F1724)</f>
        <v>0</v>
      </c>
      <c r="F1724">
        <v>25.3</v>
      </c>
      <c r="G1724">
        <v>25.3</v>
      </c>
      <c r="H1724">
        <v>25.3</v>
      </c>
      <c r="J1724" s="5">
        <f>ABS(F1724-G1724)/ABS(F1724)</f>
        <v>0</v>
      </c>
      <c r="K1724" s="5">
        <f>ABS(G1724-H1724)/ABS(G1724)</f>
        <v>0</v>
      </c>
    </row>
    <row r="1725" spans="3:11" x14ac:dyDescent="0.2">
      <c r="C1725" t="s">
        <v>2316</v>
      </c>
      <c r="D1725" t="b">
        <f ca="1">IF(CELL("format",F1725)="G",IF(ABS(F1725-G1725) &lt;= ABS(F1725*B$3),TRUE,FALSE),IF(F1725=G1725,TRUE,FALSE))</f>
        <v>1</v>
      </c>
      <c r="E1725" s="5">
        <f>ABS(F1725-G1725)/ABS(F1725)</f>
        <v>0</v>
      </c>
      <c r="F1725">
        <v>25.3</v>
      </c>
      <c r="G1725">
        <v>25.3</v>
      </c>
      <c r="H1725">
        <v>25.3</v>
      </c>
      <c r="J1725" s="5">
        <f>ABS(F1725-G1725)/ABS(F1725)</f>
        <v>0</v>
      </c>
      <c r="K1725" s="5">
        <f>ABS(G1725-H1725)/ABS(G1725)</f>
        <v>0</v>
      </c>
    </row>
    <row r="1726" spans="3:11" x14ac:dyDescent="0.2">
      <c r="C1726" t="s">
        <v>2317</v>
      </c>
      <c r="D1726" t="b">
        <f ca="1">IF(CELL("format",F1726)="G",IF(ABS(F1726-G1726) &lt;= ABS(F1726*B$3),TRUE,FALSE),IF(F1726=G1726,TRUE,FALSE))</f>
        <v>1</v>
      </c>
      <c r="E1726" s="5">
        <f>ABS(F1726-G1726)/ABS(F1726)</f>
        <v>0</v>
      </c>
      <c r="F1726">
        <v>24.5</v>
      </c>
      <c r="G1726">
        <v>24.5</v>
      </c>
      <c r="H1726">
        <v>24.5</v>
      </c>
      <c r="J1726" s="5">
        <f>ABS(F1726-G1726)/ABS(F1726)</f>
        <v>0</v>
      </c>
      <c r="K1726" s="5">
        <f>ABS(G1726-H1726)/ABS(G1726)</f>
        <v>0</v>
      </c>
    </row>
    <row r="1727" spans="3:11" x14ac:dyDescent="0.2">
      <c r="C1727" t="s">
        <v>2318</v>
      </c>
      <c r="D1727" t="b">
        <f ca="1">IF(CELL("format",F1727)="G",IF(ABS(F1727-G1727) &lt;= ABS(F1727*B$3),TRUE,FALSE),IF(F1727=G1727,TRUE,FALSE))</f>
        <v>1</v>
      </c>
      <c r="E1727" s="5">
        <f>ABS(F1727-G1727)/ABS(F1727)</f>
        <v>0</v>
      </c>
      <c r="F1727">
        <v>22.8</v>
      </c>
      <c r="G1727">
        <v>22.8</v>
      </c>
      <c r="H1727">
        <v>22.8</v>
      </c>
      <c r="J1727" s="5">
        <f>ABS(F1727-G1727)/ABS(F1727)</f>
        <v>0</v>
      </c>
      <c r="K1727" s="5">
        <f>ABS(G1727-H1727)/ABS(G1727)</f>
        <v>0</v>
      </c>
    </row>
    <row r="1728" spans="3:11" x14ac:dyDescent="0.2">
      <c r="C1728" t="s">
        <v>2319</v>
      </c>
      <c r="D1728" t="b">
        <f ca="1">IF(CELL("format",F1728)="G",IF(ABS(F1728-G1728) &lt;= ABS(F1728*B$3),TRUE,FALSE),IF(F1728=G1728,TRUE,FALSE))</f>
        <v>1</v>
      </c>
      <c r="E1728" s="5">
        <f>ABS(F1728-G1728)/ABS(F1728)</f>
        <v>0</v>
      </c>
      <c r="F1728">
        <v>21.5</v>
      </c>
      <c r="G1728">
        <v>21.5</v>
      </c>
      <c r="H1728">
        <v>21.5</v>
      </c>
      <c r="J1728" s="5">
        <f>ABS(F1728-G1728)/ABS(F1728)</f>
        <v>0</v>
      </c>
      <c r="K1728" s="5">
        <f>ABS(G1728-H1728)/ABS(G1728)</f>
        <v>0</v>
      </c>
    </row>
    <row r="1729" spans="3:11" x14ac:dyDescent="0.2">
      <c r="C1729" t="s">
        <v>2320</v>
      </c>
      <c r="D1729" t="b">
        <f ca="1">IF(CELL("format",F1729)="G",IF(ABS(F1729-G1729) &lt;= ABS(F1729*B$3),TRUE,FALSE),IF(F1729=G1729,TRUE,FALSE))</f>
        <v>1</v>
      </c>
      <c r="E1729" s="5">
        <f>ABS(F1729-G1729)/ABS(F1729)</f>
        <v>0</v>
      </c>
      <c r="F1729">
        <v>20.6</v>
      </c>
      <c r="G1729">
        <v>20.6</v>
      </c>
      <c r="H1729">
        <v>20.6</v>
      </c>
      <c r="J1729" s="5">
        <f>ABS(F1729-G1729)/ABS(F1729)</f>
        <v>0</v>
      </c>
      <c r="K1729" s="5">
        <f>ABS(G1729-H1729)/ABS(G1729)</f>
        <v>0</v>
      </c>
    </row>
    <row r="1730" spans="3:11" x14ac:dyDescent="0.2">
      <c r="C1730" t="s">
        <v>2321</v>
      </c>
      <c r="D1730" t="b">
        <f ca="1">IF(CELL("format",F1730)="G",IF(ABS(F1730-G1730) &lt;= ABS(F1730*B$3),TRUE,FALSE),IF(F1730=G1730,TRUE,FALSE))</f>
        <v>1</v>
      </c>
      <c r="E1730" s="5">
        <f>ABS(F1730-G1730)/ABS(F1730)</f>
        <v>0</v>
      </c>
      <c r="F1730">
        <v>20</v>
      </c>
      <c r="G1730">
        <v>20</v>
      </c>
      <c r="H1730">
        <v>20</v>
      </c>
      <c r="J1730" s="5">
        <f>ABS(F1730-G1730)/ABS(F1730)</f>
        <v>0</v>
      </c>
      <c r="K1730" s="5">
        <f>ABS(G1730-H1730)/ABS(G1730)</f>
        <v>0</v>
      </c>
    </row>
    <row r="1731" spans="3:11" x14ac:dyDescent="0.2">
      <c r="C1731" t="s">
        <v>2322</v>
      </c>
      <c r="D1731" t="b">
        <f ca="1">IF(CELL("format",F1731)="G",IF(ABS(F1731-G1731) &lt;= ABS(F1731*B$3),TRUE,FALSE),IF(F1731=G1731,TRUE,FALSE))</f>
        <v>1</v>
      </c>
      <c r="E1731" s="5">
        <f>ABS(F1731-G1731)/ABS(F1731)</f>
        <v>0</v>
      </c>
      <c r="F1731">
        <v>20</v>
      </c>
      <c r="G1731">
        <v>20</v>
      </c>
      <c r="H1731">
        <v>20</v>
      </c>
      <c r="J1731" s="5">
        <f>ABS(F1731-G1731)/ABS(F1731)</f>
        <v>0</v>
      </c>
      <c r="K1731" s="5">
        <f>ABS(G1731-H1731)/ABS(G1731)</f>
        <v>0</v>
      </c>
    </row>
    <row r="1732" spans="3:11" x14ac:dyDescent="0.2">
      <c r="C1732" t="s">
        <v>2323</v>
      </c>
      <c r="D1732" t="b">
        <f ca="1">IF(CELL("format",F1732)="G",IF(ABS(F1732-G1732) &lt;= ABS(F1732*B$3),TRUE,FALSE),IF(F1732=G1732,TRUE,FALSE))</f>
        <v>1</v>
      </c>
      <c r="E1732" s="5">
        <f>ABS(F1732-G1732)/ABS(F1732)</f>
        <v>0</v>
      </c>
      <c r="F1732">
        <v>20</v>
      </c>
      <c r="G1732">
        <v>20</v>
      </c>
      <c r="H1732">
        <v>20</v>
      </c>
      <c r="J1732" s="5">
        <f>ABS(F1732-G1732)/ABS(F1732)</f>
        <v>0</v>
      </c>
      <c r="K1732" s="5">
        <f>ABS(G1732-H1732)/ABS(G1732)</f>
        <v>0</v>
      </c>
    </row>
    <row r="1733" spans="3:11" x14ac:dyDescent="0.2">
      <c r="C1733" t="s">
        <v>2324</v>
      </c>
      <c r="D1733" t="b">
        <f ca="1">IF(CELL("format",F1733)="G",IF(ABS(F1733-G1733) &lt;= ABS(F1733*B$3),TRUE,FALSE),IF(F1733=G1733,TRUE,FALSE))</f>
        <v>1</v>
      </c>
      <c r="E1733" s="5">
        <f>ABS(F1733-G1733)/ABS(F1733)</f>
        <v>0</v>
      </c>
      <c r="F1733">
        <v>18</v>
      </c>
      <c r="G1733">
        <v>18</v>
      </c>
      <c r="H1733">
        <v>18</v>
      </c>
      <c r="J1733" s="5">
        <f>ABS(F1733-G1733)/ABS(F1733)</f>
        <v>0</v>
      </c>
      <c r="K1733" s="5">
        <f>ABS(G1733-H1733)/ABS(G1733)</f>
        <v>0</v>
      </c>
    </row>
    <row r="1734" spans="3:11" x14ac:dyDescent="0.2">
      <c r="C1734" t="s">
        <v>2325</v>
      </c>
      <c r="D1734" t="b">
        <f ca="1">IF(CELL("format",F1734)="G",IF(ABS(F1734-G1734) &lt;= ABS(F1734*B$3),TRUE,FALSE),IF(F1734=G1734,TRUE,FALSE))</f>
        <v>1</v>
      </c>
      <c r="E1734" s="5">
        <f>ABS(F1734-G1734)/ABS(F1734)</f>
        <v>0</v>
      </c>
      <c r="F1734">
        <v>5.5</v>
      </c>
      <c r="G1734">
        <v>5.5</v>
      </c>
      <c r="H1734">
        <v>5.5</v>
      </c>
      <c r="J1734" s="5">
        <f>ABS(F1734-G1734)/ABS(F1734)</f>
        <v>0</v>
      </c>
      <c r="K1734" s="5">
        <f>ABS(G1734-H1734)/ABS(G1734)</f>
        <v>0</v>
      </c>
    </row>
    <row r="1735" spans="3:11" x14ac:dyDescent="0.2">
      <c r="C1735" t="s">
        <v>2326</v>
      </c>
      <c r="D1735" t="b">
        <f ca="1">IF(CELL("format",F1735)="G",IF(ABS(F1735-G1735) &lt;= ABS(F1735*B$3),TRUE,FALSE),IF(F1735=G1735,TRUE,FALSE))</f>
        <v>1</v>
      </c>
      <c r="E1735" s="5">
        <f>ABS(F1735-G1735)/ABS(F1735)</f>
        <v>0</v>
      </c>
      <c r="F1735">
        <v>3.8</v>
      </c>
      <c r="G1735">
        <v>3.8</v>
      </c>
      <c r="H1735">
        <v>3.8</v>
      </c>
      <c r="J1735" s="5">
        <f>ABS(F1735-G1735)/ABS(F1735)</f>
        <v>0</v>
      </c>
      <c r="K1735" s="5">
        <f>ABS(G1735-H1735)/ABS(G1735)</f>
        <v>0</v>
      </c>
    </row>
    <row r="1736" spans="3:11" x14ac:dyDescent="0.2">
      <c r="C1736" t="s">
        <v>2327</v>
      </c>
      <c r="D1736" t="b">
        <f ca="1">IF(CELL("format",F1736)="G",IF(ABS(F1736-G1736) &lt;= ABS(F1736*B$3),TRUE,FALSE),IF(F1736=G1736,TRUE,FALSE))</f>
        <v>1</v>
      </c>
      <c r="E1736" s="5">
        <f>ABS(F1736-G1736)/ABS(F1736)</f>
        <v>0</v>
      </c>
      <c r="F1736">
        <v>2.4</v>
      </c>
      <c r="G1736">
        <v>2.4</v>
      </c>
      <c r="H1736">
        <v>2.4</v>
      </c>
      <c r="J1736" s="5">
        <f>ABS(F1736-G1736)/ABS(F1736)</f>
        <v>0</v>
      </c>
      <c r="K1736" s="5">
        <f>ABS(G1736-H1736)/ABS(G1736)</f>
        <v>0</v>
      </c>
    </row>
    <row r="1737" spans="3:11" x14ac:dyDescent="0.2">
      <c r="C1737" t="s">
        <v>2328</v>
      </c>
      <c r="D1737" t="b">
        <f ca="1">IF(CELL("format",F1737)="G",IF(ABS(F1737-G1737) &lt;= ABS(F1737*B$3),TRUE,FALSE),IF(F1737=G1737,TRUE,FALSE))</f>
        <v>1</v>
      </c>
      <c r="E1737" s="5">
        <f>ABS(F1737-G1737)/ABS(F1737)</f>
        <v>0</v>
      </c>
      <c r="F1737">
        <v>1.1000000000000001</v>
      </c>
      <c r="G1737">
        <v>1.1000000000000001</v>
      </c>
      <c r="H1737">
        <v>1.1000000000000001</v>
      </c>
      <c r="J1737" s="5">
        <f>ABS(F1737-G1737)/ABS(F1737)</f>
        <v>0</v>
      </c>
      <c r="K1737" s="5">
        <f>ABS(G1737-H1737)/ABS(G1737)</f>
        <v>0</v>
      </c>
    </row>
    <row r="1738" spans="3:11" x14ac:dyDescent="0.2">
      <c r="C1738" t="s">
        <v>2329</v>
      </c>
      <c r="D1738" t="b">
        <f ca="1">IF(CELL("format",F1738)="G",IF(ABS(F1738-G1738) &lt;= ABS(F1738*B$3),TRUE,FALSE),IF(F1738=G1738,TRUE,FALSE))</f>
        <v>1</v>
      </c>
      <c r="E1738" s="5" t="e">
        <f>ABS(F1738-G1738)/ABS(F1738)</f>
        <v>#DIV/0!</v>
      </c>
      <c r="F1738">
        <v>0</v>
      </c>
      <c r="G1738">
        <v>0</v>
      </c>
      <c r="H1738">
        <v>0</v>
      </c>
      <c r="J1738" s="5" t="e">
        <f>ABS(F1738-G1738)/ABS(F1738)</f>
        <v>#DIV/0!</v>
      </c>
      <c r="K1738" s="5" t="e">
        <f>ABS(G1738-H1738)/ABS(G1738)</f>
        <v>#DIV/0!</v>
      </c>
    </row>
    <row r="1739" spans="3:11" x14ac:dyDescent="0.2">
      <c r="C1739" t="s">
        <v>2330</v>
      </c>
      <c r="D1739" t="b">
        <f ca="1">IF(CELL("format",F1739)="G",IF(ABS(F1739-G1739) &lt;= ABS(F1739*B$3),TRUE,FALSE),IF(F1739=G1739,TRUE,FALSE))</f>
        <v>1</v>
      </c>
      <c r="E1739" s="5">
        <f>ABS(F1739-G1739)/ABS(F1739)</f>
        <v>0</v>
      </c>
      <c r="F1739">
        <v>-0.9</v>
      </c>
      <c r="G1739">
        <v>-0.9</v>
      </c>
      <c r="H1739">
        <v>-0.9</v>
      </c>
      <c r="J1739" s="5">
        <f>ABS(F1739-G1739)/ABS(F1739)</f>
        <v>0</v>
      </c>
      <c r="K1739" s="5">
        <f>ABS(G1739-H1739)/ABS(G1739)</f>
        <v>0</v>
      </c>
    </row>
    <row r="1740" spans="3:11" x14ac:dyDescent="0.2">
      <c r="C1740" t="s">
        <v>2331</v>
      </c>
      <c r="D1740" t="b">
        <f ca="1">IF(CELL("format",F1740)="G",IF(ABS(F1740-G1740) &lt;= ABS(F1740*B$3),TRUE,FALSE),IF(F1740=G1740,TRUE,FALSE))</f>
        <v>1</v>
      </c>
      <c r="E1740" s="5">
        <f>ABS(F1740-G1740)/ABS(F1740)</f>
        <v>0</v>
      </c>
      <c r="F1740">
        <v>-1.7</v>
      </c>
      <c r="G1740">
        <v>-1.7</v>
      </c>
      <c r="H1740">
        <v>-1.7</v>
      </c>
      <c r="J1740" s="5">
        <f>ABS(F1740-G1740)/ABS(F1740)</f>
        <v>0</v>
      </c>
      <c r="K1740" s="5">
        <f>ABS(G1740-H1740)/ABS(G1740)</f>
        <v>0</v>
      </c>
    </row>
    <row r="1741" spans="3:11" x14ac:dyDescent="0.2">
      <c r="C1741" t="s">
        <v>2332</v>
      </c>
      <c r="D1741" t="b">
        <f ca="1">IF(CELL("format",F1741)="G",IF(ABS(F1741-G1741) &lt;= ABS(F1741*B$3),TRUE,FALSE),IF(F1741=G1741,TRUE,FALSE))</f>
        <v>1</v>
      </c>
      <c r="E1741" s="5">
        <f>ABS(F1741-G1741)/ABS(F1741)</f>
        <v>0</v>
      </c>
      <c r="F1741">
        <v>-1.5</v>
      </c>
      <c r="G1741">
        <v>-1.5</v>
      </c>
      <c r="H1741">
        <v>-1.5</v>
      </c>
      <c r="J1741" s="5">
        <f>ABS(F1741-G1741)/ABS(F1741)</f>
        <v>0</v>
      </c>
      <c r="K1741" s="5">
        <f>ABS(G1741-H1741)/ABS(G1741)</f>
        <v>0</v>
      </c>
    </row>
    <row r="1742" spans="3:11" x14ac:dyDescent="0.2">
      <c r="C1742" t="s">
        <v>2333</v>
      </c>
      <c r="D1742" t="b">
        <f ca="1">IF(CELL("format",F1742)="G",IF(ABS(F1742-G1742) &lt;= ABS(F1742*B$3),TRUE,FALSE),IF(F1742=G1742,TRUE,FALSE))</f>
        <v>1</v>
      </c>
      <c r="E1742" s="5">
        <f>ABS(F1742-G1742)/ABS(F1742)</f>
        <v>0</v>
      </c>
      <c r="F1742">
        <v>2.7</v>
      </c>
      <c r="G1742">
        <v>2.7</v>
      </c>
      <c r="H1742">
        <v>2.7</v>
      </c>
      <c r="J1742" s="5">
        <f>ABS(F1742-G1742)/ABS(F1742)</f>
        <v>0</v>
      </c>
      <c r="K1742" s="5">
        <f>ABS(G1742-H1742)/ABS(G1742)</f>
        <v>0</v>
      </c>
    </row>
    <row r="1743" spans="3:11" x14ac:dyDescent="0.2">
      <c r="C1743" t="s">
        <v>2334</v>
      </c>
      <c r="D1743" t="b">
        <f ca="1">IF(CELL("format",F1743)="G",IF(ABS(F1743-G1743) &lt;= ABS(F1743*B$3),TRUE,FALSE),IF(F1743=G1743,TRUE,FALSE))</f>
        <v>1</v>
      </c>
      <c r="E1743" s="5">
        <f>ABS(F1743-G1743)/ABS(F1743)</f>
        <v>0</v>
      </c>
      <c r="F1743">
        <v>10</v>
      </c>
      <c r="G1743">
        <v>10</v>
      </c>
      <c r="H1743">
        <v>10</v>
      </c>
      <c r="J1743" s="5">
        <f>ABS(F1743-G1743)/ABS(F1743)</f>
        <v>0</v>
      </c>
      <c r="K1743" s="5">
        <f>ABS(G1743-H1743)/ABS(G1743)</f>
        <v>0</v>
      </c>
    </row>
    <row r="1744" spans="3:11" x14ac:dyDescent="0.2">
      <c r="C1744" t="s">
        <v>2335</v>
      </c>
      <c r="D1744" t="b">
        <f ca="1">IF(CELL("format",F1744)="G",IF(ABS(F1744-G1744) &lt;= ABS(F1744*B$3),TRUE,FALSE),IF(F1744=G1744,TRUE,FALSE))</f>
        <v>1</v>
      </c>
      <c r="E1744" s="5">
        <f>ABS(F1744-G1744)/ABS(F1744)</f>
        <v>0</v>
      </c>
      <c r="F1744">
        <v>18.8</v>
      </c>
      <c r="G1744">
        <v>18.8</v>
      </c>
      <c r="H1744">
        <v>18.8</v>
      </c>
      <c r="J1744" s="5">
        <f>ABS(F1744-G1744)/ABS(F1744)</f>
        <v>0</v>
      </c>
      <c r="K1744" s="5">
        <f>ABS(G1744-H1744)/ABS(G1744)</f>
        <v>0</v>
      </c>
    </row>
    <row r="1745" spans="3:11" x14ac:dyDescent="0.2">
      <c r="C1745" t="s">
        <v>2336</v>
      </c>
      <c r="D1745" t="b">
        <f ca="1">IF(CELL("format",F1745)="G",IF(ABS(F1745-G1745) &lt;= ABS(F1745*B$3),TRUE,FALSE),IF(F1745=G1745,TRUE,FALSE))</f>
        <v>1</v>
      </c>
      <c r="E1745" s="5">
        <f>ABS(F1745-G1745)/ABS(F1745)</f>
        <v>0</v>
      </c>
      <c r="F1745">
        <v>28.2</v>
      </c>
      <c r="G1745">
        <v>28.2</v>
      </c>
      <c r="H1745">
        <v>28.2</v>
      </c>
      <c r="J1745" s="5">
        <f>ABS(F1745-G1745)/ABS(F1745)</f>
        <v>0</v>
      </c>
      <c r="K1745" s="5">
        <f>ABS(G1745-H1745)/ABS(G1745)</f>
        <v>0</v>
      </c>
    </row>
    <row r="1746" spans="3:11" x14ac:dyDescent="0.2">
      <c r="C1746" t="s">
        <v>2337</v>
      </c>
      <c r="D1746" t="b">
        <f ca="1">IF(CELL("format",F1746)="G",IF(ABS(F1746-G1746) &lt;= ABS(F1746*B$3),TRUE,FALSE),IF(F1746=G1746,TRUE,FALSE))</f>
        <v>1</v>
      </c>
      <c r="E1746" s="5">
        <f>ABS(F1746-G1746)/ABS(F1746)</f>
        <v>0</v>
      </c>
      <c r="F1746">
        <v>36.6</v>
      </c>
      <c r="G1746">
        <v>36.6</v>
      </c>
      <c r="H1746">
        <v>36.6</v>
      </c>
      <c r="J1746" s="5">
        <f>ABS(F1746-G1746)/ABS(F1746)</f>
        <v>0</v>
      </c>
      <c r="K1746" s="5">
        <f>ABS(G1746-H1746)/ABS(G1746)</f>
        <v>0</v>
      </c>
    </row>
    <row r="1747" spans="3:11" x14ac:dyDescent="0.2">
      <c r="C1747" t="s">
        <v>2338</v>
      </c>
      <c r="D1747" t="b">
        <f ca="1">IF(CELL("format",F1747)="G",IF(ABS(F1747-G1747) &lt;= ABS(F1747*B$3),TRUE,FALSE),IF(F1747=G1747,TRUE,FALSE))</f>
        <v>1</v>
      </c>
      <c r="E1747" s="5">
        <f>ABS(F1747-G1747)/ABS(F1747)</f>
        <v>0</v>
      </c>
      <c r="F1747">
        <v>43.5</v>
      </c>
      <c r="G1747">
        <v>43.5</v>
      </c>
      <c r="H1747">
        <v>43.5</v>
      </c>
      <c r="J1747" s="5">
        <f>ABS(F1747-G1747)/ABS(F1747)</f>
        <v>0</v>
      </c>
      <c r="K1747" s="5">
        <f>ABS(G1747-H1747)/ABS(G1747)</f>
        <v>0</v>
      </c>
    </row>
    <row r="1748" spans="3:11" x14ac:dyDescent="0.2">
      <c r="C1748" t="s">
        <v>2339</v>
      </c>
      <c r="D1748" t="b">
        <f ca="1">IF(CELL("format",F1748)="G",IF(ABS(F1748-G1748) &lt;= ABS(F1748*B$3),TRUE,FALSE),IF(F1748=G1748,TRUE,FALSE))</f>
        <v>1</v>
      </c>
      <c r="E1748" s="5">
        <f>ABS(F1748-G1748)/ABS(F1748)</f>
        <v>0</v>
      </c>
      <c r="F1748">
        <v>47.1</v>
      </c>
      <c r="G1748">
        <v>47.1</v>
      </c>
      <c r="H1748">
        <v>47.1</v>
      </c>
      <c r="J1748" s="5">
        <f>ABS(F1748-G1748)/ABS(F1748)</f>
        <v>0</v>
      </c>
      <c r="K1748" s="5">
        <f>ABS(G1748-H1748)/ABS(G1748)</f>
        <v>0</v>
      </c>
    </row>
    <row r="1749" spans="3:11" x14ac:dyDescent="0.2">
      <c r="C1749" t="s">
        <v>2340</v>
      </c>
      <c r="D1749" t="b">
        <f ca="1">IF(CELL("format",F1749)="G",IF(ABS(F1749-G1749) &lt;= ABS(F1749*B$3),TRUE,FALSE),IF(F1749=G1749,TRUE,FALSE))</f>
        <v>1</v>
      </c>
      <c r="E1749" s="5">
        <f>ABS(F1749-G1749)/ABS(F1749)</f>
        <v>0</v>
      </c>
      <c r="F1749">
        <v>47.7</v>
      </c>
      <c r="G1749">
        <v>47.7</v>
      </c>
      <c r="H1749">
        <v>47.7</v>
      </c>
      <c r="J1749" s="5">
        <f>ABS(F1749-G1749)/ABS(F1749)</f>
        <v>0</v>
      </c>
      <c r="K1749" s="5">
        <f>ABS(G1749-H1749)/ABS(G1749)</f>
        <v>0</v>
      </c>
    </row>
    <row r="1750" spans="3:11" x14ac:dyDescent="0.2">
      <c r="C1750" t="s">
        <v>2341</v>
      </c>
      <c r="D1750" t="b">
        <f ca="1">IF(CELL("format",F1750)="G",IF(ABS(F1750-G1750) &lt;= ABS(F1750*B$3),TRUE,FALSE),IF(F1750=G1750,TRUE,FALSE))</f>
        <v>1</v>
      </c>
      <c r="E1750" s="5">
        <f>ABS(F1750-G1750)/ABS(F1750)</f>
        <v>0</v>
      </c>
      <c r="F1750">
        <v>45</v>
      </c>
      <c r="G1750">
        <v>45</v>
      </c>
      <c r="H1750">
        <v>45</v>
      </c>
      <c r="J1750" s="5">
        <f>ABS(F1750-G1750)/ABS(F1750)</f>
        <v>0</v>
      </c>
      <c r="K1750" s="5">
        <f>ABS(G1750-H1750)/ABS(G1750)</f>
        <v>0</v>
      </c>
    </row>
    <row r="1751" spans="3:11" x14ac:dyDescent="0.2">
      <c r="C1751" t="s">
        <v>2342</v>
      </c>
      <c r="D1751" t="b">
        <f ca="1">IF(CELL("format",F1751)="G",IF(ABS(F1751-G1751) &lt;= ABS(F1751*B$3),TRUE,FALSE),IF(F1751=G1751,TRUE,FALSE))</f>
        <v>1</v>
      </c>
      <c r="E1751" s="5">
        <f>ABS(F1751-G1751)/ABS(F1751)</f>
        <v>0</v>
      </c>
      <c r="F1751">
        <v>38.799999999999997</v>
      </c>
      <c r="G1751">
        <v>38.799999999999997</v>
      </c>
      <c r="H1751">
        <v>38.799999999999997</v>
      </c>
      <c r="J1751" s="5">
        <f>ABS(F1751-G1751)/ABS(F1751)</f>
        <v>0</v>
      </c>
      <c r="K1751" s="5">
        <f>ABS(G1751-H1751)/ABS(G1751)</f>
        <v>0</v>
      </c>
    </row>
    <row r="1752" spans="3:11" x14ac:dyDescent="0.2">
      <c r="C1752" t="s">
        <v>2343</v>
      </c>
      <c r="D1752" t="b">
        <f ca="1">IF(CELL("format",F1752)="G",IF(ABS(F1752-G1752) &lt;= ABS(F1752*B$3),TRUE,FALSE),IF(F1752=G1752,TRUE,FALSE))</f>
        <v>1</v>
      </c>
      <c r="E1752" s="5">
        <f>ABS(F1752-G1752)/ABS(F1752)</f>
        <v>0</v>
      </c>
      <c r="F1752">
        <v>32.200000000000003</v>
      </c>
      <c r="G1752">
        <v>32.200000000000003</v>
      </c>
      <c r="H1752">
        <v>32.200000000000003</v>
      </c>
      <c r="J1752" s="5">
        <f>ABS(F1752-G1752)/ABS(F1752)</f>
        <v>0</v>
      </c>
      <c r="K1752" s="5">
        <f>ABS(G1752-H1752)/ABS(G1752)</f>
        <v>0</v>
      </c>
    </row>
    <row r="1753" spans="3:11" x14ac:dyDescent="0.2">
      <c r="C1753" t="s">
        <v>2344</v>
      </c>
      <c r="D1753" t="b">
        <f ca="1">IF(CELL("format",F1753)="G",IF(ABS(F1753-G1753) &lt;= ABS(F1753*B$3),TRUE,FALSE),IF(F1753=G1753,TRUE,FALSE))</f>
        <v>1</v>
      </c>
      <c r="E1753" s="5">
        <f>ABS(F1753-G1753)/ABS(F1753)</f>
        <v>0</v>
      </c>
      <c r="F1753">
        <v>26.3</v>
      </c>
      <c r="G1753">
        <v>26.3</v>
      </c>
      <c r="H1753">
        <v>26.3</v>
      </c>
      <c r="J1753" s="5">
        <f>ABS(F1753-G1753)/ABS(F1753)</f>
        <v>0</v>
      </c>
      <c r="K1753" s="5">
        <f>ABS(G1753-H1753)/ABS(G1753)</f>
        <v>0</v>
      </c>
    </row>
    <row r="1754" spans="3:11" x14ac:dyDescent="0.2">
      <c r="C1754" t="s">
        <v>2345</v>
      </c>
      <c r="D1754" t="b">
        <f ca="1">IF(CELL("format",F1754)="G",IF(ABS(F1754-G1754) &lt;= ABS(F1754*B$3),TRUE,FALSE),IF(F1754=G1754,TRUE,FALSE))</f>
        <v>1</v>
      </c>
      <c r="E1754" s="5">
        <f>ABS(F1754-G1754)/ABS(F1754)</f>
        <v>0</v>
      </c>
      <c r="F1754">
        <v>21.6</v>
      </c>
      <c r="G1754">
        <v>21.6</v>
      </c>
      <c r="H1754">
        <v>21.6</v>
      </c>
      <c r="J1754" s="5">
        <f>ABS(F1754-G1754)/ABS(F1754)</f>
        <v>0</v>
      </c>
      <c r="K1754" s="5">
        <f>ABS(G1754-H1754)/ABS(G1754)</f>
        <v>0</v>
      </c>
    </row>
    <row r="1755" spans="3:11" x14ac:dyDescent="0.2">
      <c r="C1755" t="s">
        <v>2346</v>
      </c>
      <c r="D1755" t="b">
        <f ca="1">IF(CELL("format",F1755)="G",IF(ABS(F1755-G1755) &lt;= ABS(F1755*B$3),TRUE,FALSE),IF(F1755=G1755,TRUE,FALSE))</f>
        <v>1</v>
      </c>
      <c r="E1755" s="5">
        <f>ABS(F1755-G1755)/ABS(F1755)</f>
        <v>0</v>
      </c>
      <c r="F1755">
        <v>17.100000000000001</v>
      </c>
      <c r="G1755">
        <v>17.100000000000001</v>
      </c>
      <c r="H1755">
        <v>17.100000000000001</v>
      </c>
      <c r="J1755" s="5">
        <f>ABS(F1755-G1755)/ABS(F1755)</f>
        <v>0</v>
      </c>
      <c r="K1755" s="5">
        <f>ABS(G1755-H1755)/ABS(G1755)</f>
        <v>0</v>
      </c>
    </row>
    <row r="1756" spans="3:11" x14ac:dyDescent="0.2">
      <c r="C1756" t="s">
        <v>2347</v>
      </c>
      <c r="D1756" t="b">
        <f ca="1">IF(CELL("format",F1756)="G",IF(ABS(F1756-G1756) &lt;= ABS(F1756*B$3),TRUE,FALSE),IF(F1756=G1756,TRUE,FALSE))</f>
        <v>1</v>
      </c>
      <c r="E1756" s="5">
        <f>ABS(F1756-G1756)/ABS(F1756)</f>
        <v>0</v>
      </c>
      <c r="F1756">
        <v>13.3</v>
      </c>
      <c r="G1756">
        <v>13.3</v>
      </c>
      <c r="H1756">
        <v>13.3</v>
      </c>
      <c r="J1756" s="5">
        <f>ABS(F1756-G1756)/ABS(F1756)</f>
        <v>0</v>
      </c>
      <c r="K1756" s="5">
        <f>ABS(G1756-H1756)/ABS(G1756)</f>
        <v>0</v>
      </c>
    </row>
    <row r="1757" spans="3:11" x14ac:dyDescent="0.2">
      <c r="C1757" t="s">
        <v>2348</v>
      </c>
      <c r="D1757" t="b">
        <f ca="1">IF(CELL("format",F1757)="G",IF(ABS(F1757-G1757) &lt;= ABS(F1757*B$3),TRUE,FALSE),IF(F1757=G1757,TRUE,FALSE))</f>
        <v>1</v>
      </c>
      <c r="E1757" s="5">
        <f>ABS(F1757-G1757)/ABS(F1757)</f>
        <v>0</v>
      </c>
      <c r="F1757">
        <v>10.199999999999999</v>
      </c>
      <c r="G1757">
        <v>10.199999999999999</v>
      </c>
      <c r="H1757">
        <v>10.199999999999999</v>
      </c>
      <c r="J1757" s="5">
        <f>ABS(F1757-G1757)/ABS(F1757)</f>
        <v>0</v>
      </c>
      <c r="K1757" s="5">
        <f>ABS(G1757-H1757)/ABS(G1757)</f>
        <v>0</v>
      </c>
    </row>
    <row r="1758" spans="3:11" x14ac:dyDescent="0.2">
      <c r="C1758" t="s">
        <v>2325</v>
      </c>
      <c r="D1758" t="b">
        <f ca="1">IF(CELL("format",F1758)="G",IF(ABS(F1758-G1758) &lt;= ABS(F1758*B$3),TRUE,FALSE),IF(F1758=G1758,TRUE,FALSE))</f>
        <v>1</v>
      </c>
      <c r="E1758" s="5">
        <f>ABS(F1758-G1758)/ABS(F1758)</f>
        <v>0</v>
      </c>
      <c r="F1758">
        <v>13</v>
      </c>
      <c r="G1758">
        <v>13</v>
      </c>
      <c r="H1758">
        <v>13</v>
      </c>
      <c r="J1758" s="5">
        <f>ABS(F1758-G1758)/ABS(F1758)</f>
        <v>0</v>
      </c>
      <c r="K1758" s="5">
        <f>ABS(G1758-H1758)/ABS(G1758)</f>
        <v>0</v>
      </c>
    </row>
    <row r="1759" spans="3:11" x14ac:dyDescent="0.2">
      <c r="C1759" t="s">
        <v>2326</v>
      </c>
      <c r="D1759" t="b">
        <f ca="1">IF(CELL("format",F1759)="G",IF(ABS(F1759-G1759) &lt;= ABS(F1759*B$3),TRUE,FALSE),IF(F1759=G1759,TRUE,FALSE))</f>
        <v>1</v>
      </c>
      <c r="E1759" s="5">
        <f>ABS(F1759-G1759)/ABS(F1759)</f>
        <v>0</v>
      </c>
      <c r="F1759">
        <v>12.4</v>
      </c>
      <c r="G1759">
        <v>12.4</v>
      </c>
      <c r="H1759">
        <v>12.4</v>
      </c>
      <c r="J1759" s="5">
        <f>ABS(F1759-G1759)/ABS(F1759)</f>
        <v>0</v>
      </c>
      <c r="K1759" s="5">
        <f>ABS(G1759-H1759)/ABS(G1759)</f>
        <v>0</v>
      </c>
    </row>
    <row r="1760" spans="3:11" x14ac:dyDescent="0.2">
      <c r="C1760" t="s">
        <v>2327</v>
      </c>
      <c r="D1760" t="b">
        <f ca="1">IF(CELL("format",F1760)="G",IF(ABS(F1760-G1760) &lt;= ABS(F1760*B$3),TRUE,FALSE),IF(F1760=G1760,TRUE,FALSE))</f>
        <v>1</v>
      </c>
      <c r="E1760" s="5">
        <f>ABS(F1760-G1760)/ABS(F1760)</f>
        <v>0</v>
      </c>
      <c r="F1760">
        <v>11.9</v>
      </c>
      <c r="G1760">
        <v>11.9</v>
      </c>
      <c r="H1760">
        <v>11.9</v>
      </c>
      <c r="J1760" s="5">
        <f>ABS(F1760-G1760)/ABS(F1760)</f>
        <v>0</v>
      </c>
      <c r="K1760" s="5">
        <f>ABS(G1760-H1760)/ABS(G1760)</f>
        <v>0</v>
      </c>
    </row>
    <row r="1761" spans="3:11" x14ac:dyDescent="0.2">
      <c r="C1761" t="s">
        <v>2328</v>
      </c>
      <c r="D1761" t="b">
        <f ca="1">IF(CELL("format",F1761)="G",IF(ABS(F1761-G1761) &lt;= ABS(F1761*B$3),TRUE,FALSE),IF(F1761=G1761,TRUE,FALSE))</f>
        <v>1</v>
      </c>
      <c r="E1761" s="5">
        <f>ABS(F1761-G1761)/ABS(F1761)</f>
        <v>0</v>
      </c>
      <c r="F1761">
        <v>11.4</v>
      </c>
      <c r="G1761">
        <v>11.4</v>
      </c>
      <c r="H1761">
        <v>11.4</v>
      </c>
      <c r="J1761" s="5">
        <f>ABS(F1761-G1761)/ABS(F1761)</f>
        <v>0</v>
      </c>
      <c r="K1761" s="5">
        <f>ABS(G1761-H1761)/ABS(G1761)</f>
        <v>0</v>
      </c>
    </row>
    <row r="1762" spans="3:11" x14ac:dyDescent="0.2">
      <c r="C1762" t="s">
        <v>2329</v>
      </c>
      <c r="D1762" t="b">
        <f ca="1">IF(CELL("format",F1762)="G",IF(ABS(F1762-G1762) &lt;= ABS(F1762*B$3),TRUE,FALSE),IF(F1762=G1762,TRUE,FALSE))</f>
        <v>1</v>
      </c>
      <c r="E1762" s="5">
        <f>ABS(F1762-G1762)/ABS(F1762)</f>
        <v>0</v>
      </c>
      <c r="F1762">
        <v>11</v>
      </c>
      <c r="G1762">
        <v>11</v>
      </c>
      <c r="H1762">
        <v>11</v>
      </c>
      <c r="J1762" s="5">
        <f>ABS(F1762-G1762)/ABS(F1762)</f>
        <v>0</v>
      </c>
      <c r="K1762" s="5">
        <f>ABS(G1762-H1762)/ABS(G1762)</f>
        <v>0</v>
      </c>
    </row>
    <row r="1763" spans="3:11" x14ac:dyDescent="0.2">
      <c r="C1763" t="s">
        <v>2330</v>
      </c>
      <c r="D1763" t="b">
        <f ca="1">IF(CELL("format",F1763)="G",IF(ABS(F1763-G1763) &lt;= ABS(F1763*B$3),TRUE,FALSE),IF(F1763=G1763,TRUE,FALSE))</f>
        <v>1</v>
      </c>
      <c r="E1763" s="5">
        <f>ABS(F1763-G1763)/ABS(F1763)</f>
        <v>0</v>
      </c>
      <c r="F1763">
        <v>10.6</v>
      </c>
      <c r="G1763">
        <v>10.6</v>
      </c>
      <c r="H1763">
        <v>10.6</v>
      </c>
      <c r="J1763" s="5">
        <f>ABS(F1763-G1763)/ABS(F1763)</f>
        <v>0</v>
      </c>
      <c r="K1763" s="5">
        <f>ABS(G1763-H1763)/ABS(G1763)</f>
        <v>0</v>
      </c>
    </row>
    <row r="1764" spans="3:11" x14ac:dyDescent="0.2">
      <c r="C1764" t="s">
        <v>2331</v>
      </c>
      <c r="D1764" t="b">
        <f ca="1">IF(CELL("format",F1764)="G",IF(ABS(F1764-G1764) &lt;= ABS(F1764*B$3),TRUE,FALSE),IF(F1764=G1764,TRUE,FALSE))</f>
        <v>1</v>
      </c>
      <c r="E1764" s="5">
        <f>ABS(F1764-G1764)/ABS(F1764)</f>
        <v>0</v>
      </c>
      <c r="F1764">
        <v>10.199999999999999</v>
      </c>
      <c r="G1764">
        <v>10.199999999999999</v>
      </c>
      <c r="H1764">
        <v>10.199999999999999</v>
      </c>
      <c r="J1764" s="5">
        <f>ABS(F1764-G1764)/ABS(F1764)</f>
        <v>0</v>
      </c>
      <c r="K1764" s="5">
        <f>ABS(G1764-H1764)/ABS(G1764)</f>
        <v>0</v>
      </c>
    </row>
    <row r="1765" spans="3:11" x14ac:dyDescent="0.2">
      <c r="C1765" t="s">
        <v>2332</v>
      </c>
      <c r="D1765" t="b">
        <f ca="1">IF(CELL("format",F1765)="G",IF(ABS(F1765-G1765) &lt;= ABS(F1765*B$3),TRUE,FALSE),IF(F1765=G1765,TRUE,FALSE))</f>
        <v>1</v>
      </c>
      <c r="E1765" s="5">
        <f>ABS(F1765-G1765)/ABS(F1765)</f>
        <v>0</v>
      </c>
      <c r="F1765">
        <v>10.3</v>
      </c>
      <c r="G1765">
        <v>10.3</v>
      </c>
      <c r="H1765">
        <v>10.3</v>
      </c>
      <c r="J1765" s="5">
        <f>ABS(F1765-G1765)/ABS(F1765)</f>
        <v>0</v>
      </c>
      <c r="K1765" s="5">
        <f>ABS(G1765-H1765)/ABS(G1765)</f>
        <v>0</v>
      </c>
    </row>
    <row r="1766" spans="3:11" x14ac:dyDescent="0.2">
      <c r="C1766" t="s">
        <v>2333</v>
      </c>
      <c r="D1766" t="b">
        <f ca="1">IF(CELL("format",F1766)="G",IF(ABS(F1766-G1766) &lt;= ABS(F1766*B$3),TRUE,FALSE),IF(F1766=G1766,TRUE,FALSE))</f>
        <v>1</v>
      </c>
      <c r="E1766" s="5">
        <f>ABS(F1766-G1766)/ABS(F1766)</f>
        <v>0</v>
      </c>
      <c r="F1766">
        <v>11.8</v>
      </c>
      <c r="G1766">
        <v>11.8</v>
      </c>
      <c r="H1766">
        <v>11.8</v>
      </c>
      <c r="J1766" s="5">
        <f>ABS(F1766-G1766)/ABS(F1766)</f>
        <v>0</v>
      </c>
      <c r="K1766" s="5">
        <f>ABS(G1766-H1766)/ABS(G1766)</f>
        <v>0</v>
      </c>
    </row>
    <row r="1767" spans="3:11" x14ac:dyDescent="0.2">
      <c r="C1767" t="s">
        <v>2334</v>
      </c>
      <c r="D1767" t="b">
        <f ca="1">IF(CELL("format",F1767)="G",IF(ABS(F1767-G1767) &lt;= ABS(F1767*B$3),TRUE,FALSE),IF(F1767=G1767,TRUE,FALSE))</f>
        <v>1</v>
      </c>
      <c r="E1767" s="5">
        <f>ABS(F1767-G1767)/ABS(F1767)</f>
        <v>0</v>
      </c>
      <c r="F1767">
        <v>13.8</v>
      </c>
      <c r="G1767">
        <v>13.8</v>
      </c>
      <c r="H1767">
        <v>13.8</v>
      </c>
      <c r="J1767" s="5">
        <f>ABS(F1767-G1767)/ABS(F1767)</f>
        <v>0</v>
      </c>
      <c r="K1767" s="5">
        <f>ABS(G1767-H1767)/ABS(G1767)</f>
        <v>0</v>
      </c>
    </row>
    <row r="1768" spans="3:11" x14ac:dyDescent="0.2">
      <c r="C1768" t="s">
        <v>2335</v>
      </c>
      <c r="D1768" t="b">
        <f ca="1">IF(CELL("format",F1768)="G",IF(ABS(F1768-G1768) &lt;= ABS(F1768*B$3),TRUE,FALSE),IF(F1768=G1768,TRUE,FALSE))</f>
        <v>1</v>
      </c>
      <c r="E1768" s="5">
        <f>ABS(F1768-G1768)/ABS(F1768)</f>
        <v>0</v>
      </c>
      <c r="F1768">
        <v>16</v>
      </c>
      <c r="G1768">
        <v>16</v>
      </c>
      <c r="H1768">
        <v>16</v>
      </c>
      <c r="J1768" s="5">
        <f>ABS(F1768-G1768)/ABS(F1768)</f>
        <v>0</v>
      </c>
      <c r="K1768" s="5">
        <f>ABS(G1768-H1768)/ABS(G1768)</f>
        <v>0</v>
      </c>
    </row>
    <row r="1769" spans="3:11" x14ac:dyDescent="0.2">
      <c r="C1769" t="s">
        <v>2336</v>
      </c>
      <c r="D1769" t="b">
        <f ca="1">IF(CELL("format",F1769)="G",IF(ABS(F1769-G1769) &lt;= ABS(F1769*B$3),TRUE,FALSE),IF(F1769=G1769,TRUE,FALSE))</f>
        <v>1</v>
      </c>
      <c r="E1769" s="5">
        <f>ABS(F1769-G1769)/ABS(F1769)</f>
        <v>0</v>
      </c>
      <c r="F1769">
        <v>18.3</v>
      </c>
      <c r="G1769">
        <v>18.3</v>
      </c>
      <c r="H1769">
        <v>18.3</v>
      </c>
      <c r="J1769" s="5">
        <f>ABS(F1769-G1769)/ABS(F1769)</f>
        <v>0</v>
      </c>
      <c r="K1769" s="5">
        <f>ABS(G1769-H1769)/ABS(G1769)</f>
        <v>0</v>
      </c>
    </row>
    <row r="1770" spans="3:11" x14ac:dyDescent="0.2">
      <c r="C1770" t="s">
        <v>2337</v>
      </c>
      <c r="D1770" t="b">
        <f ca="1">IF(CELL("format",F1770)="G",IF(ABS(F1770-G1770) &lt;= ABS(F1770*B$3),TRUE,FALSE),IF(F1770=G1770,TRUE,FALSE))</f>
        <v>1</v>
      </c>
      <c r="E1770" s="5">
        <f>ABS(F1770-G1770)/ABS(F1770)</f>
        <v>0</v>
      </c>
      <c r="F1770">
        <v>20.5</v>
      </c>
      <c r="G1770">
        <v>20.5</v>
      </c>
      <c r="H1770">
        <v>20.5</v>
      </c>
      <c r="J1770" s="5">
        <f>ABS(F1770-G1770)/ABS(F1770)</f>
        <v>0</v>
      </c>
      <c r="K1770" s="5">
        <f>ABS(G1770-H1770)/ABS(G1770)</f>
        <v>0</v>
      </c>
    </row>
    <row r="1771" spans="3:11" x14ac:dyDescent="0.2">
      <c r="C1771" t="s">
        <v>2338</v>
      </c>
      <c r="D1771" t="b">
        <f ca="1">IF(CELL("format",F1771)="G",IF(ABS(F1771-G1771) &lt;= ABS(F1771*B$3),TRUE,FALSE),IF(F1771=G1771,TRUE,FALSE))</f>
        <v>1</v>
      </c>
      <c r="E1771" s="5">
        <f>ABS(F1771-G1771)/ABS(F1771)</f>
        <v>0</v>
      </c>
      <c r="F1771">
        <v>22.1</v>
      </c>
      <c r="G1771">
        <v>22.1</v>
      </c>
      <c r="H1771">
        <v>22.1</v>
      </c>
      <c r="J1771" s="5">
        <f>ABS(F1771-G1771)/ABS(F1771)</f>
        <v>0</v>
      </c>
      <c r="K1771" s="5">
        <f>ABS(G1771-H1771)/ABS(G1771)</f>
        <v>0</v>
      </c>
    </row>
    <row r="1772" spans="3:11" x14ac:dyDescent="0.2">
      <c r="C1772" t="s">
        <v>2339</v>
      </c>
      <c r="D1772" t="b">
        <f ca="1">IF(CELL("format",F1772)="G",IF(ABS(F1772-G1772) &lt;= ABS(F1772*B$3),TRUE,FALSE),IF(F1772=G1772,TRUE,FALSE))</f>
        <v>1</v>
      </c>
      <c r="E1772" s="5">
        <f>ABS(F1772-G1772)/ABS(F1772)</f>
        <v>0</v>
      </c>
      <c r="F1772">
        <v>22.8</v>
      </c>
      <c r="G1772">
        <v>22.8</v>
      </c>
      <c r="H1772">
        <v>22.8</v>
      </c>
      <c r="J1772" s="5">
        <f>ABS(F1772-G1772)/ABS(F1772)</f>
        <v>0</v>
      </c>
      <c r="K1772" s="5">
        <f>ABS(G1772-H1772)/ABS(G1772)</f>
        <v>0</v>
      </c>
    </row>
    <row r="1773" spans="3:11" x14ac:dyDescent="0.2">
      <c r="C1773" t="s">
        <v>2340</v>
      </c>
      <c r="D1773" t="b">
        <f ca="1">IF(CELL("format",F1773)="G",IF(ABS(F1773-G1773) &lt;= ABS(F1773*B$3),TRUE,FALSE),IF(F1773=G1773,TRUE,FALSE))</f>
        <v>1</v>
      </c>
      <c r="E1773" s="5">
        <f>ABS(F1773-G1773)/ABS(F1773)</f>
        <v>0</v>
      </c>
      <c r="F1773">
        <v>22.9</v>
      </c>
      <c r="G1773">
        <v>22.9</v>
      </c>
      <c r="H1773">
        <v>22.9</v>
      </c>
      <c r="J1773" s="5">
        <f>ABS(F1773-G1773)/ABS(F1773)</f>
        <v>0</v>
      </c>
      <c r="K1773" s="5">
        <f>ABS(G1773-H1773)/ABS(G1773)</f>
        <v>0</v>
      </c>
    </row>
    <row r="1774" spans="3:11" x14ac:dyDescent="0.2">
      <c r="C1774" t="s">
        <v>2341</v>
      </c>
      <c r="D1774" t="b">
        <f ca="1">IF(CELL("format",F1774)="G",IF(ABS(F1774-G1774) &lt;= ABS(F1774*B$3),TRUE,FALSE),IF(F1774=G1774,TRUE,FALSE))</f>
        <v>1</v>
      </c>
      <c r="E1774" s="5">
        <f>ABS(F1774-G1774)/ABS(F1774)</f>
        <v>0</v>
      </c>
      <c r="F1774">
        <v>22.1</v>
      </c>
      <c r="G1774">
        <v>22.1</v>
      </c>
      <c r="H1774">
        <v>22.1</v>
      </c>
      <c r="J1774" s="5">
        <f>ABS(F1774-G1774)/ABS(F1774)</f>
        <v>0</v>
      </c>
      <c r="K1774" s="5">
        <f>ABS(G1774-H1774)/ABS(G1774)</f>
        <v>0</v>
      </c>
    </row>
    <row r="1775" spans="3:11" x14ac:dyDescent="0.2">
      <c r="C1775" t="s">
        <v>2342</v>
      </c>
      <c r="D1775" t="b">
        <f ca="1">IF(CELL("format",F1775)="G",IF(ABS(F1775-G1775) &lt;= ABS(F1775*B$3),TRUE,FALSE),IF(F1775=G1775,TRUE,FALSE))</f>
        <v>1</v>
      </c>
      <c r="E1775" s="5">
        <f>ABS(F1775-G1775)/ABS(F1775)</f>
        <v>0</v>
      </c>
      <c r="F1775">
        <v>20.5</v>
      </c>
      <c r="G1775">
        <v>20.5</v>
      </c>
      <c r="H1775">
        <v>20.5</v>
      </c>
      <c r="J1775" s="5">
        <f>ABS(F1775-G1775)/ABS(F1775)</f>
        <v>0</v>
      </c>
      <c r="K1775" s="5">
        <f>ABS(G1775-H1775)/ABS(G1775)</f>
        <v>0</v>
      </c>
    </row>
    <row r="1776" spans="3:11" x14ac:dyDescent="0.2">
      <c r="C1776" t="s">
        <v>2343</v>
      </c>
      <c r="D1776" t="b">
        <f ca="1">IF(CELL("format",F1776)="G",IF(ABS(F1776-G1776) &lt;= ABS(F1776*B$3),TRUE,FALSE),IF(F1776=G1776,TRUE,FALSE))</f>
        <v>1</v>
      </c>
      <c r="E1776" s="5">
        <f>ABS(F1776-G1776)/ABS(F1776)</f>
        <v>0</v>
      </c>
      <c r="F1776">
        <v>19.3</v>
      </c>
      <c r="G1776">
        <v>19.3</v>
      </c>
      <c r="H1776">
        <v>19.3</v>
      </c>
      <c r="J1776" s="5">
        <f>ABS(F1776-G1776)/ABS(F1776)</f>
        <v>0</v>
      </c>
      <c r="K1776" s="5">
        <f>ABS(G1776-H1776)/ABS(G1776)</f>
        <v>0</v>
      </c>
    </row>
    <row r="1777" spans="3:11" x14ac:dyDescent="0.2">
      <c r="C1777" t="s">
        <v>2344</v>
      </c>
      <c r="D1777" t="b">
        <f ca="1">IF(CELL("format",F1777)="G",IF(ABS(F1777-G1777) &lt;= ABS(F1777*B$3),TRUE,FALSE),IF(F1777=G1777,TRUE,FALSE))</f>
        <v>1</v>
      </c>
      <c r="E1777" s="5">
        <f>ABS(F1777-G1777)/ABS(F1777)</f>
        <v>0</v>
      </c>
      <c r="F1777">
        <v>18.399999999999999</v>
      </c>
      <c r="G1777">
        <v>18.399999999999999</v>
      </c>
      <c r="H1777">
        <v>18.399999999999999</v>
      </c>
      <c r="J1777" s="5">
        <f>ABS(F1777-G1777)/ABS(F1777)</f>
        <v>0</v>
      </c>
      <c r="K1777" s="5">
        <f>ABS(G1777-H1777)/ABS(G1777)</f>
        <v>0</v>
      </c>
    </row>
    <row r="1778" spans="3:11" x14ac:dyDescent="0.2">
      <c r="C1778" t="s">
        <v>2345</v>
      </c>
      <c r="D1778" t="b">
        <f ca="1">IF(CELL("format",F1778)="G",IF(ABS(F1778-G1778) &lt;= ABS(F1778*B$3),TRUE,FALSE),IF(F1778=G1778,TRUE,FALSE))</f>
        <v>1</v>
      </c>
      <c r="E1778" s="5">
        <f>ABS(F1778-G1778)/ABS(F1778)</f>
        <v>0</v>
      </c>
      <c r="F1778">
        <v>17.600000000000001</v>
      </c>
      <c r="G1778">
        <v>17.600000000000001</v>
      </c>
      <c r="H1778">
        <v>17.600000000000001</v>
      </c>
      <c r="J1778" s="5">
        <f>ABS(F1778-G1778)/ABS(F1778)</f>
        <v>0</v>
      </c>
      <c r="K1778" s="5">
        <f>ABS(G1778-H1778)/ABS(G1778)</f>
        <v>0</v>
      </c>
    </row>
    <row r="1779" spans="3:11" x14ac:dyDescent="0.2">
      <c r="C1779" t="s">
        <v>2346</v>
      </c>
      <c r="D1779" t="b">
        <f ca="1">IF(CELL("format",F1779)="G",IF(ABS(F1779-G1779) &lt;= ABS(F1779*B$3),TRUE,FALSE),IF(F1779=G1779,TRUE,FALSE))</f>
        <v>1</v>
      </c>
      <c r="E1779" s="5">
        <f>ABS(F1779-G1779)/ABS(F1779)</f>
        <v>0</v>
      </c>
      <c r="F1779">
        <v>16.8</v>
      </c>
      <c r="G1779">
        <v>16.8</v>
      </c>
      <c r="H1779">
        <v>16.8</v>
      </c>
      <c r="J1779" s="5">
        <f>ABS(F1779-G1779)/ABS(F1779)</f>
        <v>0</v>
      </c>
      <c r="K1779" s="5">
        <f>ABS(G1779-H1779)/ABS(G1779)</f>
        <v>0</v>
      </c>
    </row>
    <row r="1780" spans="3:11" x14ac:dyDescent="0.2">
      <c r="C1780" t="s">
        <v>2347</v>
      </c>
      <c r="D1780" t="b">
        <f ca="1">IF(CELL("format",F1780)="G",IF(ABS(F1780-G1780) &lt;= ABS(F1780*B$3),TRUE,FALSE),IF(F1780=G1780,TRUE,FALSE))</f>
        <v>1</v>
      </c>
      <c r="E1780" s="5">
        <f>ABS(F1780-G1780)/ABS(F1780)</f>
        <v>0</v>
      </c>
      <c r="F1780">
        <v>16</v>
      </c>
      <c r="G1780">
        <v>16</v>
      </c>
      <c r="H1780">
        <v>16</v>
      </c>
      <c r="J1780" s="5">
        <f>ABS(F1780-G1780)/ABS(F1780)</f>
        <v>0</v>
      </c>
      <c r="K1780" s="5">
        <f>ABS(G1780-H1780)/ABS(G1780)</f>
        <v>0</v>
      </c>
    </row>
    <row r="1781" spans="3:11" x14ac:dyDescent="0.2">
      <c r="C1781" t="s">
        <v>2348</v>
      </c>
      <c r="D1781" t="b">
        <f ca="1">IF(CELL("format",F1781)="G",IF(ABS(F1781-G1781) &lt;= ABS(F1781*B$3),TRUE,FALSE),IF(F1781=G1781,TRUE,FALSE))</f>
        <v>1</v>
      </c>
      <c r="E1781" s="5">
        <f>ABS(F1781-G1781)/ABS(F1781)</f>
        <v>0</v>
      </c>
      <c r="F1781">
        <v>15.4</v>
      </c>
      <c r="G1781">
        <v>15.4</v>
      </c>
      <c r="H1781">
        <v>15.4</v>
      </c>
      <c r="J1781" s="5">
        <f>ABS(F1781-G1781)/ABS(F1781)</f>
        <v>0</v>
      </c>
      <c r="K1781" s="5">
        <f>ABS(G1781-H1781)/ABS(G1781)</f>
        <v>0</v>
      </c>
    </row>
    <row r="1782" spans="3:11" x14ac:dyDescent="0.2">
      <c r="C1782" t="s">
        <v>2325</v>
      </c>
      <c r="D1782" t="b">
        <f ca="1">IF(CELL("format",F1782)="G",IF(ABS(F1782-G1782) &lt;= ABS(F1782*B$3),TRUE,FALSE),IF(F1782=G1782,TRUE,FALSE))</f>
        <v>1</v>
      </c>
      <c r="E1782" s="5">
        <f>ABS(F1782-G1782)/ABS(F1782)</f>
        <v>0</v>
      </c>
      <c r="F1782">
        <v>19.899999999999999</v>
      </c>
      <c r="G1782">
        <v>19.899999999999999</v>
      </c>
      <c r="H1782">
        <v>19.899999999999999</v>
      </c>
      <c r="J1782" s="5">
        <f>ABS(F1782-G1782)/ABS(F1782)</f>
        <v>0</v>
      </c>
      <c r="K1782" s="5">
        <f>ABS(G1782-H1782)/ABS(G1782)</f>
        <v>0</v>
      </c>
    </row>
    <row r="1783" spans="3:11" x14ac:dyDescent="0.2">
      <c r="C1783" t="s">
        <v>2326</v>
      </c>
      <c r="D1783" t="b">
        <f ca="1">IF(CELL("format",F1783)="G",IF(ABS(F1783-G1783) &lt;= ABS(F1783*B$3),TRUE,FALSE),IF(F1783=G1783,TRUE,FALSE))</f>
        <v>1</v>
      </c>
      <c r="E1783" s="5">
        <f>ABS(F1783-G1783)/ABS(F1783)</f>
        <v>0</v>
      </c>
      <c r="F1783">
        <v>19.100000000000001</v>
      </c>
      <c r="G1783">
        <v>19.100000000000001</v>
      </c>
      <c r="H1783">
        <v>19.100000000000001</v>
      </c>
      <c r="J1783" s="5">
        <f>ABS(F1783-G1783)/ABS(F1783)</f>
        <v>0</v>
      </c>
      <c r="K1783" s="5">
        <f>ABS(G1783-H1783)/ABS(G1783)</f>
        <v>0</v>
      </c>
    </row>
    <row r="1784" spans="3:11" x14ac:dyDescent="0.2">
      <c r="C1784" t="s">
        <v>2327</v>
      </c>
      <c r="D1784" t="b">
        <f ca="1">IF(CELL("format",F1784)="G",IF(ABS(F1784-G1784) &lt;= ABS(F1784*B$3),TRUE,FALSE),IF(F1784=G1784,TRUE,FALSE))</f>
        <v>1</v>
      </c>
      <c r="E1784" s="5">
        <f>ABS(F1784-G1784)/ABS(F1784)</f>
        <v>0</v>
      </c>
      <c r="F1784">
        <v>18.100000000000001</v>
      </c>
      <c r="G1784">
        <v>18.100000000000001</v>
      </c>
      <c r="H1784">
        <v>18.100000000000001</v>
      </c>
      <c r="J1784" s="5">
        <f>ABS(F1784-G1784)/ABS(F1784)</f>
        <v>0</v>
      </c>
      <c r="K1784" s="5">
        <f>ABS(G1784-H1784)/ABS(G1784)</f>
        <v>0</v>
      </c>
    </row>
    <row r="1785" spans="3:11" x14ac:dyDescent="0.2">
      <c r="C1785" t="s">
        <v>2328</v>
      </c>
      <c r="D1785" t="b">
        <f ca="1">IF(CELL("format",F1785)="G",IF(ABS(F1785-G1785) &lt;= ABS(F1785*B$3),TRUE,FALSE),IF(F1785=G1785,TRUE,FALSE))</f>
        <v>1</v>
      </c>
      <c r="E1785" s="5">
        <f>ABS(F1785-G1785)/ABS(F1785)</f>
        <v>0</v>
      </c>
      <c r="F1785">
        <v>17</v>
      </c>
      <c r="G1785">
        <v>17</v>
      </c>
      <c r="H1785">
        <v>17</v>
      </c>
      <c r="J1785" s="5">
        <f>ABS(F1785-G1785)/ABS(F1785)</f>
        <v>0</v>
      </c>
      <c r="K1785" s="5">
        <f>ABS(G1785-H1785)/ABS(G1785)</f>
        <v>0</v>
      </c>
    </row>
    <row r="1786" spans="3:11" x14ac:dyDescent="0.2">
      <c r="C1786" t="s">
        <v>2329</v>
      </c>
      <c r="D1786" t="b">
        <f ca="1">IF(CELL("format",F1786)="G",IF(ABS(F1786-G1786) &lt;= ABS(F1786*B$3),TRUE,FALSE),IF(F1786=G1786,TRUE,FALSE))</f>
        <v>1</v>
      </c>
      <c r="E1786" s="5">
        <f>ABS(F1786-G1786)/ABS(F1786)</f>
        <v>0</v>
      </c>
      <c r="F1786">
        <v>15.9</v>
      </c>
      <c r="G1786">
        <v>15.9</v>
      </c>
      <c r="H1786">
        <v>15.9</v>
      </c>
      <c r="J1786" s="5">
        <f>ABS(F1786-G1786)/ABS(F1786)</f>
        <v>0</v>
      </c>
      <c r="K1786" s="5">
        <f>ABS(G1786-H1786)/ABS(G1786)</f>
        <v>0</v>
      </c>
    </row>
    <row r="1787" spans="3:11" x14ac:dyDescent="0.2">
      <c r="C1787" t="s">
        <v>2330</v>
      </c>
      <c r="D1787" t="b">
        <f ca="1">IF(CELL("format",F1787)="G",IF(ABS(F1787-G1787) &lt;= ABS(F1787*B$3),TRUE,FALSE),IF(F1787=G1787,TRUE,FALSE))</f>
        <v>1</v>
      </c>
      <c r="E1787" s="5">
        <f>ABS(F1787-G1787)/ABS(F1787)</f>
        <v>0</v>
      </c>
      <c r="F1787">
        <v>16.399999999999999</v>
      </c>
      <c r="G1787">
        <v>16.399999999999999</v>
      </c>
      <c r="H1787">
        <v>16.399999999999999</v>
      </c>
      <c r="J1787" s="5">
        <f>ABS(F1787-G1787)/ABS(F1787)</f>
        <v>0</v>
      </c>
      <c r="K1787" s="5">
        <f>ABS(G1787-H1787)/ABS(G1787)</f>
        <v>0</v>
      </c>
    </row>
    <row r="1788" spans="3:11" x14ac:dyDescent="0.2">
      <c r="C1788" t="s">
        <v>2331</v>
      </c>
      <c r="D1788" t="b">
        <f ca="1">IF(CELL("format",F1788)="G",IF(ABS(F1788-G1788) &lt;= ABS(F1788*B$3),TRUE,FALSE),IF(F1788=G1788,TRUE,FALSE))</f>
        <v>1</v>
      </c>
      <c r="E1788" s="5">
        <f>ABS(F1788-G1788)/ABS(F1788)</f>
        <v>0</v>
      </c>
      <c r="F1788">
        <v>18.8</v>
      </c>
      <c r="G1788">
        <v>18.8</v>
      </c>
      <c r="H1788">
        <v>18.8</v>
      </c>
      <c r="J1788" s="5">
        <f>ABS(F1788-G1788)/ABS(F1788)</f>
        <v>0</v>
      </c>
      <c r="K1788" s="5">
        <f>ABS(G1788-H1788)/ABS(G1788)</f>
        <v>0</v>
      </c>
    </row>
    <row r="1789" spans="3:11" x14ac:dyDescent="0.2">
      <c r="C1789" t="s">
        <v>2332</v>
      </c>
      <c r="D1789" t="b">
        <f ca="1">IF(CELL("format",F1789)="G",IF(ABS(F1789-G1789) &lt;= ABS(F1789*B$3),TRUE,FALSE),IF(F1789=G1789,TRUE,FALSE))</f>
        <v>1</v>
      </c>
      <c r="E1789" s="5">
        <f>ABS(F1789-G1789)/ABS(F1789)</f>
        <v>0</v>
      </c>
      <c r="F1789">
        <v>20.9</v>
      </c>
      <c r="G1789">
        <v>20.9</v>
      </c>
      <c r="H1789">
        <v>20.9</v>
      </c>
      <c r="J1789" s="5">
        <f>ABS(F1789-G1789)/ABS(F1789)</f>
        <v>0</v>
      </c>
      <c r="K1789" s="5">
        <f>ABS(G1789-H1789)/ABS(G1789)</f>
        <v>0</v>
      </c>
    </row>
    <row r="1790" spans="3:11" x14ac:dyDescent="0.2">
      <c r="C1790" t="s">
        <v>2333</v>
      </c>
      <c r="D1790" t="b">
        <f ca="1">IF(CELL("format",F1790)="G",IF(ABS(F1790-G1790) &lt;= ABS(F1790*B$3),TRUE,FALSE),IF(F1790=G1790,TRUE,FALSE))</f>
        <v>1</v>
      </c>
      <c r="E1790" s="5">
        <f>ABS(F1790-G1790)/ABS(F1790)</f>
        <v>0</v>
      </c>
      <c r="F1790">
        <v>23.3</v>
      </c>
      <c r="G1790">
        <v>23.3</v>
      </c>
      <c r="H1790">
        <v>23.3</v>
      </c>
      <c r="J1790" s="5">
        <f>ABS(F1790-G1790)/ABS(F1790)</f>
        <v>0</v>
      </c>
      <c r="K1790" s="5">
        <f>ABS(G1790-H1790)/ABS(G1790)</f>
        <v>0</v>
      </c>
    </row>
    <row r="1791" spans="3:11" x14ac:dyDescent="0.2">
      <c r="C1791" t="s">
        <v>2334</v>
      </c>
      <c r="D1791" t="b">
        <f ca="1">IF(CELL("format",F1791)="G",IF(ABS(F1791-G1791) &lt;= ABS(F1791*B$3),TRUE,FALSE),IF(F1791=G1791,TRUE,FALSE))</f>
        <v>1</v>
      </c>
      <c r="E1791" s="5">
        <f>ABS(F1791-G1791)/ABS(F1791)</f>
        <v>0</v>
      </c>
      <c r="F1791">
        <v>26.4</v>
      </c>
      <c r="G1791">
        <v>26.4</v>
      </c>
      <c r="H1791">
        <v>26.4</v>
      </c>
      <c r="J1791" s="5">
        <f>ABS(F1791-G1791)/ABS(F1791)</f>
        <v>0</v>
      </c>
      <c r="K1791" s="5">
        <f>ABS(G1791-H1791)/ABS(G1791)</f>
        <v>0</v>
      </c>
    </row>
    <row r="1792" spans="3:11" x14ac:dyDescent="0.2">
      <c r="C1792" t="s">
        <v>2335</v>
      </c>
      <c r="D1792" t="b">
        <f ca="1">IF(CELL("format",F1792)="G",IF(ABS(F1792-G1792) &lt;= ABS(F1792*B$3),TRUE,FALSE),IF(F1792=G1792,TRUE,FALSE))</f>
        <v>1</v>
      </c>
      <c r="E1792" s="5">
        <f>ABS(F1792-G1792)/ABS(F1792)</f>
        <v>0</v>
      </c>
      <c r="F1792">
        <v>30.6</v>
      </c>
      <c r="G1792">
        <v>30.6</v>
      </c>
      <c r="H1792">
        <v>30.6</v>
      </c>
      <c r="J1792" s="5">
        <f>ABS(F1792-G1792)/ABS(F1792)</f>
        <v>0</v>
      </c>
      <c r="K1792" s="5">
        <f>ABS(G1792-H1792)/ABS(G1792)</f>
        <v>0</v>
      </c>
    </row>
    <row r="1793" spans="3:11" x14ac:dyDescent="0.2">
      <c r="C1793" t="s">
        <v>2336</v>
      </c>
      <c r="D1793" t="b">
        <f ca="1">IF(CELL("format",F1793)="G",IF(ABS(F1793-G1793) &lt;= ABS(F1793*B$3),TRUE,FALSE),IF(F1793=G1793,TRUE,FALSE))</f>
        <v>1</v>
      </c>
      <c r="E1793" s="5">
        <f>ABS(F1793-G1793)/ABS(F1793)</f>
        <v>0</v>
      </c>
      <c r="F1793">
        <v>35.200000000000003</v>
      </c>
      <c r="G1793">
        <v>35.200000000000003</v>
      </c>
      <c r="H1793">
        <v>35.200000000000003</v>
      </c>
      <c r="J1793" s="5">
        <f>ABS(F1793-G1793)/ABS(F1793)</f>
        <v>0</v>
      </c>
      <c r="K1793" s="5">
        <f>ABS(G1793-H1793)/ABS(G1793)</f>
        <v>0</v>
      </c>
    </row>
    <row r="1794" spans="3:11" x14ac:dyDescent="0.2">
      <c r="C1794" t="s">
        <v>2337</v>
      </c>
      <c r="D1794" t="b">
        <f ca="1">IF(CELL("format",F1794)="G",IF(ABS(F1794-G1794) &lt;= ABS(F1794*B$3),TRUE,FALSE),IF(F1794=G1794,TRUE,FALSE))</f>
        <v>1</v>
      </c>
      <c r="E1794" s="5">
        <f>ABS(F1794-G1794)/ABS(F1794)</f>
        <v>0</v>
      </c>
      <c r="F1794">
        <v>39.200000000000003</v>
      </c>
      <c r="G1794">
        <v>39.200000000000003</v>
      </c>
      <c r="H1794">
        <v>39.200000000000003</v>
      </c>
      <c r="J1794" s="5">
        <f>ABS(F1794-G1794)/ABS(F1794)</f>
        <v>0</v>
      </c>
      <c r="K1794" s="5">
        <f>ABS(G1794-H1794)/ABS(G1794)</f>
        <v>0</v>
      </c>
    </row>
    <row r="1795" spans="3:11" x14ac:dyDescent="0.2">
      <c r="C1795" t="s">
        <v>2338</v>
      </c>
      <c r="D1795" t="b">
        <f ca="1">IF(CELL("format",F1795)="G",IF(ABS(F1795-G1795) &lt;= ABS(F1795*B$3),TRUE,FALSE),IF(F1795=G1795,TRUE,FALSE))</f>
        <v>1</v>
      </c>
      <c r="E1795" s="5">
        <f>ABS(F1795-G1795)/ABS(F1795)</f>
        <v>0</v>
      </c>
      <c r="F1795">
        <v>42.1</v>
      </c>
      <c r="G1795">
        <v>42.1</v>
      </c>
      <c r="H1795">
        <v>42.1</v>
      </c>
      <c r="J1795" s="5">
        <f>ABS(F1795-G1795)/ABS(F1795)</f>
        <v>0</v>
      </c>
      <c r="K1795" s="5">
        <f>ABS(G1795-H1795)/ABS(G1795)</f>
        <v>0</v>
      </c>
    </row>
    <row r="1796" spans="3:11" x14ac:dyDescent="0.2">
      <c r="C1796" t="s">
        <v>2339</v>
      </c>
      <c r="D1796" t="b">
        <f ca="1">IF(CELL("format",F1796)="G",IF(ABS(F1796-G1796) &lt;= ABS(F1796*B$3),TRUE,FALSE),IF(F1796=G1796,TRUE,FALSE))</f>
        <v>1</v>
      </c>
      <c r="E1796" s="5">
        <f>ABS(F1796-G1796)/ABS(F1796)</f>
        <v>0</v>
      </c>
      <c r="F1796">
        <v>44.2</v>
      </c>
      <c r="G1796">
        <v>44.2</v>
      </c>
      <c r="H1796">
        <v>44.2</v>
      </c>
      <c r="J1796" s="5">
        <f>ABS(F1796-G1796)/ABS(F1796)</f>
        <v>0</v>
      </c>
      <c r="K1796" s="5">
        <f>ABS(G1796-H1796)/ABS(G1796)</f>
        <v>0</v>
      </c>
    </row>
    <row r="1797" spans="3:11" x14ac:dyDescent="0.2">
      <c r="C1797" t="s">
        <v>2340</v>
      </c>
      <c r="D1797" t="b">
        <f ca="1">IF(CELL("format",F1797)="G",IF(ABS(F1797-G1797) &lt;= ABS(F1797*B$3),TRUE,FALSE),IF(F1797=G1797,TRUE,FALSE))</f>
        <v>1</v>
      </c>
      <c r="E1797" s="5">
        <f>ABS(F1797-G1797)/ABS(F1797)</f>
        <v>0</v>
      </c>
      <c r="F1797">
        <v>44.9</v>
      </c>
      <c r="G1797">
        <v>44.9</v>
      </c>
      <c r="H1797">
        <v>44.9</v>
      </c>
      <c r="J1797" s="5">
        <f>ABS(F1797-G1797)/ABS(F1797)</f>
        <v>0</v>
      </c>
      <c r="K1797" s="5">
        <f>ABS(G1797-H1797)/ABS(G1797)</f>
        <v>0</v>
      </c>
    </row>
    <row r="1798" spans="3:11" x14ac:dyDescent="0.2">
      <c r="C1798" t="s">
        <v>2341</v>
      </c>
      <c r="D1798" t="b">
        <f ca="1">IF(CELL("format",F1798)="G",IF(ABS(F1798-G1798) &lt;= ABS(F1798*B$3),TRUE,FALSE),IF(F1798=G1798,TRUE,FALSE))</f>
        <v>1</v>
      </c>
      <c r="E1798" s="5">
        <f>ABS(F1798-G1798)/ABS(F1798)</f>
        <v>0</v>
      </c>
      <c r="F1798">
        <v>44.6</v>
      </c>
      <c r="G1798">
        <v>44.6</v>
      </c>
      <c r="H1798">
        <v>44.6</v>
      </c>
      <c r="J1798" s="5">
        <f>ABS(F1798-G1798)/ABS(F1798)</f>
        <v>0</v>
      </c>
      <c r="K1798" s="5">
        <f>ABS(G1798-H1798)/ABS(G1798)</f>
        <v>0</v>
      </c>
    </row>
    <row r="1799" spans="3:11" x14ac:dyDescent="0.2">
      <c r="C1799" t="s">
        <v>2342</v>
      </c>
      <c r="D1799" t="b">
        <f ca="1">IF(CELL("format",F1799)="G",IF(ABS(F1799-G1799) &lt;= ABS(F1799*B$3),TRUE,FALSE),IF(F1799=G1799,TRUE,FALSE))</f>
        <v>1</v>
      </c>
      <c r="E1799" s="5">
        <f>ABS(F1799-G1799)/ABS(F1799)</f>
        <v>0</v>
      </c>
      <c r="F1799">
        <v>43.8</v>
      </c>
      <c r="G1799">
        <v>43.8</v>
      </c>
      <c r="H1799">
        <v>43.8</v>
      </c>
      <c r="J1799" s="5">
        <f>ABS(F1799-G1799)/ABS(F1799)</f>
        <v>0</v>
      </c>
      <c r="K1799" s="5">
        <f>ABS(G1799-H1799)/ABS(G1799)</f>
        <v>0</v>
      </c>
    </row>
    <row r="1800" spans="3:11" x14ac:dyDescent="0.2">
      <c r="C1800" t="s">
        <v>2343</v>
      </c>
      <c r="D1800" t="b">
        <f ca="1">IF(CELL("format",F1800)="G",IF(ABS(F1800-G1800) &lt;= ABS(F1800*B$3),TRUE,FALSE),IF(F1800=G1800,TRUE,FALSE))</f>
        <v>1</v>
      </c>
      <c r="E1800" s="5">
        <f>ABS(F1800-G1800)/ABS(F1800)</f>
        <v>0</v>
      </c>
      <c r="F1800">
        <v>34.5</v>
      </c>
      <c r="G1800">
        <v>34.5</v>
      </c>
      <c r="H1800">
        <v>34.5</v>
      </c>
      <c r="J1800" s="5">
        <f>ABS(F1800-G1800)/ABS(F1800)</f>
        <v>0</v>
      </c>
      <c r="K1800" s="5">
        <f>ABS(G1800-H1800)/ABS(G1800)</f>
        <v>0</v>
      </c>
    </row>
    <row r="1801" spans="3:11" x14ac:dyDescent="0.2">
      <c r="C1801" t="s">
        <v>2344</v>
      </c>
      <c r="D1801" t="b">
        <f ca="1">IF(CELL("format",F1801)="G",IF(ABS(F1801-G1801) &lt;= ABS(F1801*B$3),TRUE,FALSE),IF(F1801=G1801,TRUE,FALSE))</f>
        <v>1</v>
      </c>
      <c r="E1801" s="5">
        <f>ABS(F1801-G1801)/ABS(F1801)</f>
        <v>0</v>
      </c>
      <c r="F1801">
        <v>30.9</v>
      </c>
      <c r="G1801">
        <v>30.9</v>
      </c>
      <c r="H1801">
        <v>30.9</v>
      </c>
      <c r="J1801" s="5">
        <f>ABS(F1801-G1801)/ABS(F1801)</f>
        <v>0</v>
      </c>
      <c r="K1801" s="5">
        <f>ABS(G1801-H1801)/ABS(G1801)</f>
        <v>0</v>
      </c>
    </row>
    <row r="1802" spans="3:11" x14ac:dyDescent="0.2">
      <c r="C1802" t="s">
        <v>2345</v>
      </c>
      <c r="D1802" t="b">
        <f ca="1">IF(CELL("format",F1802)="G",IF(ABS(F1802-G1802) &lt;= ABS(F1802*B$3),TRUE,FALSE),IF(F1802=G1802,TRUE,FALSE))</f>
        <v>1</v>
      </c>
      <c r="E1802" s="5">
        <f>ABS(F1802-G1802)/ABS(F1802)</f>
        <v>0</v>
      </c>
      <c r="F1802">
        <v>28</v>
      </c>
      <c r="G1802">
        <v>28</v>
      </c>
      <c r="H1802">
        <v>28</v>
      </c>
      <c r="J1802" s="5">
        <f>ABS(F1802-G1802)/ABS(F1802)</f>
        <v>0</v>
      </c>
      <c r="K1802" s="5">
        <f>ABS(G1802-H1802)/ABS(G1802)</f>
        <v>0</v>
      </c>
    </row>
    <row r="1803" spans="3:11" x14ac:dyDescent="0.2">
      <c r="C1803" t="s">
        <v>2346</v>
      </c>
      <c r="D1803" t="b">
        <f ca="1">IF(CELL("format",F1803)="G",IF(ABS(F1803-G1803) &lt;= ABS(F1803*B$3),TRUE,FALSE),IF(F1803=G1803,TRUE,FALSE))</f>
        <v>1</v>
      </c>
      <c r="E1803" s="5">
        <f>ABS(F1803-G1803)/ABS(F1803)</f>
        <v>0</v>
      </c>
      <c r="F1803">
        <v>26</v>
      </c>
      <c r="G1803">
        <v>26</v>
      </c>
      <c r="H1803">
        <v>26</v>
      </c>
      <c r="J1803" s="5">
        <f>ABS(F1803-G1803)/ABS(F1803)</f>
        <v>0</v>
      </c>
      <c r="K1803" s="5">
        <f>ABS(G1803-H1803)/ABS(G1803)</f>
        <v>0</v>
      </c>
    </row>
    <row r="1804" spans="3:11" x14ac:dyDescent="0.2">
      <c r="C1804" t="s">
        <v>2347</v>
      </c>
      <c r="D1804" t="b">
        <f ca="1">IF(CELL("format",F1804)="G",IF(ABS(F1804-G1804) &lt;= ABS(F1804*B$3),TRUE,FALSE),IF(F1804=G1804,TRUE,FALSE))</f>
        <v>1</v>
      </c>
      <c r="E1804" s="5">
        <f>ABS(F1804-G1804)/ABS(F1804)</f>
        <v>0</v>
      </c>
      <c r="F1804">
        <v>24.5</v>
      </c>
      <c r="G1804">
        <v>24.5</v>
      </c>
      <c r="H1804">
        <v>24.5</v>
      </c>
      <c r="J1804" s="5">
        <f>ABS(F1804-G1804)/ABS(F1804)</f>
        <v>0</v>
      </c>
      <c r="K1804" s="5">
        <f>ABS(G1804-H1804)/ABS(G1804)</f>
        <v>0</v>
      </c>
    </row>
    <row r="1805" spans="3:11" x14ac:dyDescent="0.2">
      <c r="C1805" t="s">
        <v>2348</v>
      </c>
      <c r="D1805" t="b">
        <f ca="1">IF(CELL("format",F1805)="G",IF(ABS(F1805-G1805) &lt;= ABS(F1805*B$3),TRUE,FALSE),IF(F1805=G1805,TRUE,FALSE))</f>
        <v>1</v>
      </c>
      <c r="E1805" s="5">
        <f>ABS(F1805-G1805)/ABS(F1805)</f>
        <v>0</v>
      </c>
      <c r="F1805">
        <v>23</v>
      </c>
      <c r="G1805">
        <v>23</v>
      </c>
      <c r="H1805">
        <v>23</v>
      </c>
      <c r="J1805" s="5">
        <f>ABS(F1805-G1805)/ABS(F1805)</f>
        <v>0</v>
      </c>
      <c r="K1805" s="5">
        <f>ABS(G1805-H1805)/ABS(G1805)</f>
        <v>0</v>
      </c>
    </row>
    <row r="1806" spans="3:11" x14ac:dyDescent="0.2">
      <c r="C1806" t="s">
        <v>2325</v>
      </c>
      <c r="D1806" t="b">
        <f ca="1">IF(CELL("format",F1806)="G",IF(ABS(F1806-G1806) &lt;= ABS(F1806*B$3),TRUE,FALSE),IF(F1806=G1806,TRUE,FALSE))</f>
        <v>1</v>
      </c>
      <c r="E1806" s="5">
        <f>ABS(F1806-G1806)/ABS(F1806)</f>
        <v>0</v>
      </c>
      <c r="F1806">
        <v>21.2</v>
      </c>
      <c r="G1806">
        <v>21.2</v>
      </c>
      <c r="H1806">
        <v>21.2</v>
      </c>
      <c r="J1806" s="5">
        <f>ABS(F1806-G1806)/ABS(F1806)</f>
        <v>0</v>
      </c>
      <c r="K1806" s="5">
        <f>ABS(G1806-H1806)/ABS(G1806)</f>
        <v>0</v>
      </c>
    </row>
    <row r="1807" spans="3:11" x14ac:dyDescent="0.2">
      <c r="C1807" t="s">
        <v>2326</v>
      </c>
      <c r="D1807" t="b">
        <f ca="1">IF(CELL("format",F1807)="G",IF(ABS(F1807-G1807) &lt;= ABS(F1807*B$3),TRUE,FALSE),IF(F1807=G1807,TRUE,FALSE))</f>
        <v>1</v>
      </c>
      <c r="E1807" s="5">
        <f>ABS(F1807-G1807)/ABS(F1807)</f>
        <v>0</v>
      </c>
      <c r="F1807">
        <v>20.7</v>
      </c>
      <c r="G1807">
        <v>20.7</v>
      </c>
      <c r="H1807">
        <v>20.7</v>
      </c>
      <c r="J1807" s="5">
        <f>ABS(F1807-G1807)/ABS(F1807)</f>
        <v>0</v>
      </c>
      <c r="K1807" s="5">
        <f>ABS(G1807-H1807)/ABS(G1807)</f>
        <v>0</v>
      </c>
    </row>
    <row r="1808" spans="3:11" x14ac:dyDescent="0.2">
      <c r="C1808" t="s">
        <v>2327</v>
      </c>
      <c r="D1808" t="b">
        <f ca="1">IF(CELL("format",F1808)="G",IF(ABS(F1808-G1808) &lt;= ABS(F1808*B$3),TRUE,FALSE),IF(F1808=G1808,TRUE,FALSE))</f>
        <v>1</v>
      </c>
      <c r="E1808" s="5">
        <f>ABS(F1808-G1808)/ABS(F1808)</f>
        <v>0</v>
      </c>
      <c r="F1808">
        <v>20</v>
      </c>
      <c r="G1808">
        <v>20</v>
      </c>
      <c r="H1808">
        <v>20</v>
      </c>
      <c r="J1808" s="5">
        <f>ABS(F1808-G1808)/ABS(F1808)</f>
        <v>0</v>
      </c>
      <c r="K1808" s="5">
        <f>ABS(G1808-H1808)/ABS(G1808)</f>
        <v>0</v>
      </c>
    </row>
    <row r="1809" spans="3:11" x14ac:dyDescent="0.2">
      <c r="C1809" t="s">
        <v>2328</v>
      </c>
      <c r="D1809" t="b">
        <f ca="1">IF(CELL("format",F1809)="G",IF(ABS(F1809-G1809) &lt;= ABS(F1809*B$3),TRUE,FALSE),IF(F1809=G1809,TRUE,FALSE))</f>
        <v>1</v>
      </c>
      <c r="E1809" s="5">
        <f>ABS(F1809-G1809)/ABS(F1809)</f>
        <v>0</v>
      </c>
      <c r="F1809">
        <v>19.2</v>
      </c>
      <c r="G1809">
        <v>19.2</v>
      </c>
      <c r="H1809">
        <v>19.2</v>
      </c>
      <c r="J1809" s="5">
        <f>ABS(F1809-G1809)/ABS(F1809)</f>
        <v>0</v>
      </c>
      <c r="K1809" s="5">
        <f>ABS(G1809-H1809)/ABS(G1809)</f>
        <v>0</v>
      </c>
    </row>
    <row r="1810" spans="3:11" x14ac:dyDescent="0.2">
      <c r="C1810" t="s">
        <v>2329</v>
      </c>
      <c r="D1810" t="b">
        <f ca="1">IF(CELL("format",F1810)="G",IF(ABS(F1810-G1810) &lt;= ABS(F1810*B$3),TRUE,FALSE),IF(F1810=G1810,TRUE,FALSE))</f>
        <v>1</v>
      </c>
      <c r="E1810" s="5">
        <f>ABS(F1810-G1810)/ABS(F1810)</f>
        <v>0</v>
      </c>
      <c r="F1810">
        <v>18.3</v>
      </c>
      <c r="G1810">
        <v>18.3</v>
      </c>
      <c r="H1810">
        <v>18.3</v>
      </c>
      <c r="J1810" s="5">
        <f>ABS(F1810-G1810)/ABS(F1810)</f>
        <v>0</v>
      </c>
      <c r="K1810" s="5">
        <f>ABS(G1810-H1810)/ABS(G1810)</f>
        <v>0</v>
      </c>
    </row>
    <row r="1811" spans="3:11" x14ac:dyDescent="0.2">
      <c r="C1811" t="s">
        <v>2330</v>
      </c>
      <c r="D1811" t="b">
        <f ca="1">IF(CELL("format",F1811)="G",IF(ABS(F1811-G1811) &lt;= ABS(F1811*B$3),TRUE,FALSE),IF(F1811=G1811,TRUE,FALSE))</f>
        <v>1</v>
      </c>
      <c r="E1811" s="5">
        <f>ABS(F1811-G1811)/ABS(F1811)</f>
        <v>0</v>
      </c>
      <c r="F1811">
        <v>18.600000000000001</v>
      </c>
      <c r="G1811">
        <v>18.600000000000001</v>
      </c>
      <c r="H1811">
        <v>18.600000000000001</v>
      </c>
      <c r="J1811" s="5">
        <f>ABS(F1811-G1811)/ABS(F1811)</f>
        <v>0</v>
      </c>
      <c r="K1811" s="5">
        <f>ABS(G1811-H1811)/ABS(G1811)</f>
        <v>0</v>
      </c>
    </row>
    <row r="1812" spans="3:11" x14ac:dyDescent="0.2">
      <c r="C1812" t="s">
        <v>2331</v>
      </c>
      <c r="D1812" t="b">
        <f ca="1">IF(CELL("format",F1812)="G",IF(ABS(F1812-G1812) &lt;= ABS(F1812*B$3),TRUE,FALSE),IF(F1812=G1812,TRUE,FALSE))</f>
        <v>1</v>
      </c>
      <c r="E1812" s="5">
        <f>ABS(F1812-G1812)/ABS(F1812)</f>
        <v>0</v>
      </c>
      <c r="F1812">
        <v>20.3</v>
      </c>
      <c r="G1812">
        <v>20.3</v>
      </c>
      <c r="H1812">
        <v>20.3</v>
      </c>
      <c r="J1812" s="5">
        <f>ABS(F1812-G1812)/ABS(F1812)</f>
        <v>0</v>
      </c>
      <c r="K1812" s="5">
        <f>ABS(G1812-H1812)/ABS(G1812)</f>
        <v>0</v>
      </c>
    </row>
    <row r="1813" spans="3:11" x14ac:dyDescent="0.2">
      <c r="C1813" t="s">
        <v>2332</v>
      </c>
      <c r="D1813" t="b">
        <f ca="1">IF(CELL("format",F1813)="G",IF(ABS(F1813-G1813) &lt;= ABS(F1813*B$3),TRUE,FALSE),IF(F1813=G1813,TRUE,FALSE))</f>
        <v>1</v>
      </c>
      <c r="E1813" s="5">
        <f>ABS(F1813-G1813)/ABS(F1813)</f>
        <v>0</v>
      </c>
      <c r="F1813">
        <v>22.9</v>
      </c>
      <c r="G1813">
        <v>22.9</v>
      </c>
      <c r="H1813">
        <v>22.9</v>
      </c>
      <c r="J1813" s="5">
        <f>ABS(F1813-G1813)/ABS(F1813)</f>
        <v>0</v>
      </c>
      <c r="K1813" s="5">
        <f>ABS(G1813-H1813)/ABS(G1813)</f>
        <v>0</v>
      </c>
    </row>
    <row r="1814" spans="3:11" x14ac:dyDescent="0.2">
      <c r="C1814" t="s">
        <v>2333</v>
      </c>
      <c r="D1814" t="b">
        <f ca="1">IF(CELL("format",F1814)="G",IF(ABS(F1814-G1814) &lt;= ABS(F1814*B$3),TRUE,FALSE),IF(F1814=G1814,TRUE,FALSE))</f>
        <v>1</v>
      </c>
      <c r="E1814" s="5">
        <f>ABS(F1814-G1814)/ABS(F1814)</f>
        <v>0</v>
      </c>
      <c r="F1814">
        <v>24.4</v>
      </c>
      <c r="G1814">
        <v>24.4</v>
      </c>
      <c r="H1814">
        <v>24.4</v>
      </c>
      <c r="J1814" s="5">
        <f>ABS(F1814-G1814)/ABS(F1814)</f>
        <v>0</v>
      </c>
      <c r="K1814" s="5">
        <f>ABS(G1814-H1814)/ABS(G1814)</f>
        <v>0</v>
      </c>
    </row>
    <row r="1815" spans="3:11" x14ac:dyDescent="0.2">
      <c r="C1815" t="s">
        <v>2334</v>
      </c>
      <c r="D1815" t="b">
        <f ca="1">IF(CELL("format",F1815)="G",IF(ABS(F1815-G1815) &lt;= ABS(F1815*B$3),TRUE,FALSE),IF(F1815=G1815,TRUE,FALSE))</f>
        <v>1</v>
      </c>
      <c r="E1815" s="5">
        <f>ABS(F1815-G1815)/ABS(F1815)</f>
        <v>0</v>
      </c>
      <c r="F1815">
        <v>25.6</v>
      </c>
      <c r="G1815">
        <v>25.6</v>
      </c>
      <c r="H1815">
        <v>25.6</v>
      </c>
      <c r="J1815" s="5">
        <f>ABS(F1815-G1815)/ABS(F1815)</f>
        <v>0</v>
      </c>
      <c r="K1815" s="5">
        <f>ABS(G1815-H1815)/ABS(G1815)</f>
        <v>0</v>
      </c>
    </row>
    <row r="1816" spans="3:11" x14ac:dyDescent="0.2">
      <c r="C1816" t="s">
        <v>2335</v>
      </c>
      <c r="D1816" t="b">
        <f ca="1">IF(CELL("format",F1816)="G",IF(ABS(F1816-G1816) &lt;= ABS(F1816*B$3),TRUE,FALSE),IF(F1816=G1816,TRUE,FALSE))</f>
        <v>1</v>
      </c>
      <c r="E1816" s="5">
        <f>ABS(F1816-G1816)/ABS(F1816)</f>
        <v>0</v>
      </c>
      <c r="F1816">
        <v>26.9</v>
      </c>
      <c r="G1816">
        <v>26.9</v>
      </c>
      <c r="H1816">
        <v>26.9</v>
      </c>
      <c r="J1816" s="5">
        <f>ABS(F1816-G1816)/ABS(F1816)</f>
        <v>0</v>
      </c>
      <c r="K1816" s="5">
        <f>ABS(G1816-H1816)/ABS(G1816)</f>
        <v>0</v>
      </c>
    </row>
    <row r="1817" spans="3:11" x14ac:dyDescent="0.2">
      <c r="C1817" t="s">
        <v>2336</v>
      </c>
      <c r="D1817" t="b">
        <f ca="1">IF(CELL("format",F1817)="G",IF(ABS(F1817-G1817) &lt;= ABS(F1817*B$3),TRUE,FALSE),IF(F1817=G1817,TRUE,FALSE))</f>
        <v>1</v>
      </c>
      <c r="E1817" s="5">
        <f>ABS(F1817-G1817)/ABS(F1817)</f>
        <v>0</v>
      </c>
      <c r="F1817">
        <v>28.2</v>
      </c>
      <c r="G1817">
        <v>28.2</v>
      </c>
      <c r="H1817">
        <v>28.2</v>
      </c>
      <c r="J1817" s="5">
        <f>ABS(F1817-G1817)/ABS(F1817)</f>
        <v>0</v>
      </c>
      <c r="K1817" s="5">
        <f>ABS(G1817-H1817)/ABS(G1817)</f>
        <v>0</v>
      </c>
    </row>
    <row r="1818" spans="3:11" x14ac:dyDescent="0.2">
      <c r="C1818" t="s">
        <v>2337</v>
      </c>
      <c r="D1818" t="b">
        <f ca="1">IF(CELL("format",F1818)="G",IF(ABS(F1818-G1818) &lt;= ABS(F1818*B$3),TRUE,FALSE),IF(F1818=G1818,TRUE,FALSE))</f>
        <v>1</v>
      </c>
      <c r="E1818" s="5">
        <f>ABS(F1818-G1818)/ABS(F1818)</f>
        <v>0</v>
      </c>
      <c r="F1818">
        <v>29.1</v>
      </c>
      <c r="G1818">
        <v>29.1</v>
      </c>
      <c r="H1818">
        <v>29.1</v>
      </c>
      <c r="J1818" s="5">
        <f>ABS(F1818-G1818)/ABS(F1818)</f>
        <v>0</v>
      </c>
      <c r="K1818" s="5">
        <f>ABS(G1818-H1818)/ABS(G1818)</f>
        <v>0</v>
      </c>
    </row>
    <row r="1819" spans="3:11" x14ac:dyDescent="0.2">
      <c r="C1819" t="s">
        <v>2338</v>
      </c>
      <c r="D1819" t="b">
        <f ca="1">IF(CELL("format",F1819)="G",IF(ABS(F1819-G1819) &lt;= ABS(F1819*B$3),TRUE,FALSE),IF(F1819=G1819,TRUE,FALSE))</f>
        <v>1</v>
      </c>
      <c r="E1819" s="5">
        <f>ABS(F1819-G1819)/ABS(F1819)</f>
        <v>0</v>
      </c>
      <c r="F1819">
        <v>29.9</v>
      </c>
      <c r="G1819">
        <v>29.9</v>
      </c>
      <c r="H1819">
        <v>29.9</v>
      </c>
      <c r="J1819" s="5">
        <f>ABS(F1819-G1819)/ABS(F1819)</f>
        <v>0</v>
      </c>
      <c r="K1819" s="5">
        <f>ABS(G1819-H1819)/ABS(G1819)</f>
        <v>0</v>
      </c>
    </row>
    <row r="1820" spans="3:11" x14ac:dyDescent="0.2">
      <c r="C1820" t="s">
        <v>2339</v>
      </c>
      <c r="D1820" t="b">
        <f ca="1">IF(CELL("format",F1820)="G",IF(ABS(F1820-G1820) &lt;= ABS(F1820*B$3),TRUE,FALSE),IF(F1820=G1820,TRUE,FALSE))</f>
        <v>1</v>
      </c>
      <c r="E1820" s="5">
        <f>ABS(F1820-G1820)/ABS(F1820)</f>
        <v>0</v>
      </c>
      <c r="F1820">
        <v>30.3</v>
      </c>
      <c r="G1820">
        <v>30.3</v>
      </c>
      <c r="H1820">
        <v>30.3</v>
      </c>
      <c r="J1820" s="5">
        <f>ABS(F1820-G1820)/ABS(F1820)</f>
        <v>0</v>
      </c>
      <c r="K1820" s="5">
        <f>ABS(G1820-H1820)/ABS(G1820)</f>
        <v>0</v>
      </c>
    </row>
    <row r="1821" spans="3:11" x14ac:dyDescent="0.2">
      <c r="C1821" t="s">
        <v>2340</v>
      </c>
      <c r="D1821" t="b">
        <f ca="1">IF(CELL("format",F1821)="G",IF(ABS(F1821-G1821) &lt;= ABS(F1821*B$3),TRUE,FALSE),IF(F1821=G1821,TRUE,FALSE))</f>
        <v>1</v>
      </c>
      <c r="E1821" s="5">
        <f>ABS(F1821-G1821)/ABS(F1821)</f>
        <v>0</v>
      </c>
      <c r="F1821">
        <v>30.4</v>
      </c>
      <c r="G1821">
        <v>30.4</v>
      </c>
      <c r="H1821">
        <v>30.4</v>
      </c>
      <c r="J1821" s="5">
        <f>ABS(F1821-G1821)/ABS(F1821)</f>
        <v>0</v>
      </c>
      <c r="K1821" s="5">
        <f>ABS(G1821-H1821)/ABS(G1821)</f>
        <v>0</v>
      </c>
    </row>
    <row r="1822" spans="3:11" x14ac:dyDescent="0.2">
      <c r="C1822" t="s">
        <v>2341</v>
      </c>
      <c r="D1822" t="b">
        <f ca="1">IF(CELL("format",F1822)="G",IF(ABS(F1822-G1822) &lt;= ABS(F1822*B$3),TRUE,FALSE),IF(F1822=G1822,TRUE,FALSE))</f>
        <v>1</v>
      </c>
      <c r="E1822" s="5">
        <f>ABS(F1822-G1822)/ABS(F1822)</f>
        <v>0</v>
      </c>
      <c r="F1822">
        <v>30.4</v>
      </c>
      <c r="G1822">
        <v>30.4</v>
      </c>
      <c r="H1822">
        <v>30.4</v>
      </c>
      <c r="J1822" s="5">
        <f>ABS(F1822-G1822)/ABS(F1822)</f>
        <v>0</v>
      </c>
      <c r="K1822" s="5">
        <f>ABS(G1822-H1822)/ABS(G1822)</f>
        <v>0</v>
      </c>
    </row>
    <row r="1823" spans="3:11" x14ac:dyDescent="0.2">
      <c r="C1823" t="s">
        <v>2342</v>
      </c>
      <c r="D1823" t="b">
        <f ca="1">IF(CELL("format",F1823)="G",IF(ABS(F1823-G1823) &lt;= ABS(F1823*B$3),TRUE,FALSE),IF(F1823=G1823,TRUE,FALSE))</f>
        <v>1</v>
      </c>
      <c r="E1823" s="5">
        <f>ABS(F1823-G1823)/ABS(F1823)</f>
        <v>0</v>
      </c>
      <c r="F1823">
        <v>30.4</v>
      </c>
      <c r="G1823">
        <v>30.4</v>
      </c>
      <c r="H1823">
        <v>30.4</v>
      </c>
      <c r="J1823" s="5">
        <f>ABS(F1823-G1823)/ABS(F1823)</f>
        <v>0</v>
      </c>
      <c r="K1823" s="5">
        <f>ABS(G1823-H1823)/ABS(G1823)</f>
        <v>0</v>
      </c>
    </row>
    <row r="1824" spans="3:11" x14ac:dyDescent="0.2">
      <c r="C1824" t="s">
        <v>2343</v>
      </c>
      <c r="D1824" t="b">
        <f ca="1">IF(CELL("format",F1824)="G",IF(ABS(F1824-G1824) &lt;= ABS(F1824*B$3),TRUE,FALSE),IF(F1824=G1824,TRUE,FALSE))</f>
        <v>1</v>
      </c>
      <c r="E1824" s="5">
        <f>ABS(F1824-G1824)/ABS(F1824)</f>
        <v>0</v>
      </c>
      <c r="F1824">
        <v>29</v>
      </c>
      <c r="G1824">
        <v>29</v>
      </c>
      <c r="H1824">
        <v>29</v>
      </c>
      <c r="J1824" s="5">
        <f>ABS(F1824-G1824)/ABS(F1824)</f>
        <v>0</v>
      </c>
      <c r="K1824" s="5">
        <f>ABS(G1824-H1824)/ABS(G1824)</f>
        <v>0</v>
      </c>
    </row>
    <row r="1825" spans="3:11" x14ac:dyDescent="0.2">
      <c r="C1825" t="s">
        <v>2344</v>
      </c>
      <c r="D1825" t="b">
        <f ca="1">IF(CELL("format",F1825)="G",IF(ABS(F1825-G1825) &lt;= ABS(F1825*B$3),TRUE,FALSE),IF(F1825=G1825,TRUE,FALSE))</f>
        <v>1</v>
      </c>
      <c r="E1825" s="5">
        <f>ABS(F1825-G1825)/ABS(F1825)</f>
        <v>0</v>
      </c>
      <c r="F1825">
        <v>27.6</v>
      </c>
      <c r="G1825">
        <v>27.6</v>
      </c>
      <c r="H1825">
        <v>27.6</v>
      </c>
      <c r="J1825" s="5">
        <f>ABS(F1825-G1825)/ABS(F1825)</f>
        <v>0</v>
      </c>
      <c r="K1825" s="5">
        <f>ABS(G1825-H1825)/ABS(G1825)</f>
        <v>0</v>
      </c>
    </row>
    <row r="1826" spans="3:11" x14ac:dyDescent="0.2">
      <c r="C1826" t="s">
        <v>2345</v>
      </c>
      <c r="D1826" t="b">
        <f ca="1">IF(CELL("format",F1826)="G",IF(ABS(F1826-G1826) &lt;= ABS(F1826*B$3),TRUE,FALSE),IF(F1826=G1826,TRUE,FALSE))</f>
        <v>1</v>
      </c>
      <c r="E1826" s="5">
        <f>ABS(F1826-G1826)/ABS(F1826)</f>
        <v>0</v>
      </c>
      <c r="F1826">
        <v>26.3</v>
      </c>
      <c r="G1826">
        <v>26.3</v>
      </c>
      <c r="H1826">
        <v>26.3</v>
      </c>
      <c r="J1826" s="5">
        <f>ABS(F1826-G1826)/ABS(F1826)</f>
        <v>0</v>
      </c>
      <c r="K1826" s="5">
        <f>ABS(G1826-H1826)/ABS(G1826)</f>
        <v>0</v>
      </c>
    </row>
    <row r="1827" spans="3:11" x14ac:dyDescent="0.2">
      <c r="C1827" t="s">
        <v>2346</v>
      </c>
      <c r="D1827" t="b">
        <f ca="1">IF(CELL("format",F1827)="G",IF(ABS(F1827-G1827) &lt;= ABS(F1827*B$3),TRUE,FALSE),IF(F1827=G1827,TRUE,FALSE))</f>
        <v>1</v>
      </c>
      <c r="E1827" s="5">
        <f>ABS(F1827-G1827)/ABS(F1827)</f>
        <v>0</v>
      </c>
      <c r="F1827">
        <v>25.5</v>
      </c>
      <c r="G1827">
        <v>25.5</v>
      </c>
      <c r="H1827">
        <v>25.5</v>
      </c>
      <c r="J1827" s="5">
        <f>ABS(F1827-G1827)/ABS(F1827)</f>
        <v>0</v>
      </c>
      <c r="K1827" s="5">
        <f>ABS(G1827-H1827)/ABS(G1827)</f>
        <v>0</v>
      </c>
    </row>
    <row r="1828" spans="3:11" x14ac:dyDescent="0.2">
      <c r="C1828" t="s">
        <v>2347</v>
      </c>
      <c r="D1828" t="b">
        <f ca="1">IF(CELL("format",F1828)="G",IF(ABS(F1828-G1828) &lt;= ABS(F1828*B$3),TRUE,FALSE),IF(F1828=G1828,TRUE,FALSE))</f>
        <v>1</v>
      </c>
      <c r="E1828" s="5">
        <f>ABS(F1828-G1828)/ABS(F1828)</f>
        <v>0</v>
      </c>
      <c r="F1828">
        <v>24.9</v>
      </c>
      <c r="G1828">
        <v>24.9</v>
      </c>
      <c r="H1828">
        <v>24.9</v>
      </c>
      <c r="J1828" s="5">
        <f>ABS(F1828-G1828)/ABS(F1828)</f>
        <v>0</v>
      </c>
      <c r="K1828" s="5">
        <f>ABS(G1828-H1828)/ABS(G1828)</f>
        <v>0</v>
      </c>
    </row>
    <row r="1829" spans="3:11" x14ac:dyDescent="0.2">
      <c r="C1829" t="s">
        <v>2348</v>
      </c>
      <c r="D1829" t="b">
        <f ca="1">IF(CELL("format",F1829)="G",IF(ABS(F1829-G1829) &lt;= ABS(F1829*B$3),TRUE,FALSE),IF(F1829=G1829,TRUE,FALSE))</f>
        <v>1</v>
      </c>
      <c r="E1829" s="5">
        <f>ABS(F1829-G1829)/ABS(F1829)</f>
        <v>0</v>
      </c>
      <c r="F1829">
        <v>23.9</v>
      </c>
      <c r="G1829">
        <v>23.9</v>
      </c>
      <c r="H1829">
        <v>23.9</v>
      </c>
      <c r="J1829" s="5">
        <f>ABS(F1829-G1829)/ABS(F1829)</f>
        <v>0</v>
      </c>
      <c r="K1829" s="5">
        <f>ABS(G1829-H1829)/ABS(G1829)</f>
        <v>0</v>
      </c>
    </row>
    <row r="1830" spans="3:11" x14ac:dyDescent="0.2">
      <c r="C1830" t="s">
        <v>2325</v>
      </c>
      <c r="D1830" t="b">
        <f ca="1">IF(CELL("format",F1830)="G",IF(ABS(F1830-G1830) &lt;= ABS(F1830*B$3),TRUE,FALSE),IF(F1830=G1830,TRUE,FALSE))</f>
        <v>1</v>
      </c>
      <c r="E1830" s="5">
        <f>ABS(F1830-G1830)/ABS(F1830)</f>
        <v>0</v>
      </c>
      <c r="F1830">
        <v>15.4</v>
      </c>
      <c r="G1830">
        <v>15.4</v>
      </c>
      <c r="H1830">
        <v>15.4</v>
      </c>
      <c r="J1830" s="5">
        <f>ABS(F1830-G1830)/ABS(F1830)</f>
        <v>0</v>
      </c>
      <c r="K1830" s="5">
        <f>ABS(G1830-H1830)/ABS(G1830)</f>
        <v>0</v>
      </c>
    </row>
    <row r="1831" spans="3:11" x14ac:dyDescent="0.2">
      <c r="C1831" t="s">
        <v>2326</v>
      </c>
      <c r="D1831" t="b">
        <f ca="1">IF(CELL("format",F1831)="G",IF(ABS(F1831-G1831) &lt;= ABS(F1831*B$3),TRUE,FALSE),IF(F1831=G1831,TRUE,FALSE))</f>
        <v>1</v>
      </c>
      <c r="E1831" s="5">
        <f>ABS(F1831-G1831)/ABS(F1831)</f>
        <v>0</v>
      </c>
      <c r="F1831">
        <v>13.5</v>
      </c>
      <c r="G1831">
        <v>13.5</v>
      </c>
      <c r="H1831">
        <v>13.5</v>
      </c>
      <c r="J1831" s="5">
        <f>ABS(F1831-G1831)/ABS(F1831)</f>
        <v>0</v>
      </c>
      <c r="K1831" s="5">
        <f>ABS(G1831-H1831)/ABS(G1831)</f>
        <v>0</v>
      </c>
    </row>
    <row r="1832" spans="3:11" x14ac:dyDescent="0.2">
      <c r="C1832" t="s">
        <v>2327</v>
      </c>
      <c r="D1832" t="b">
        <f ca="1">IF(CELL("format",F1832)="G",IF(ABS(F1832-G1832) &lt;= ABS(F1832*B$3),TRUE,FALSE),IF(F1832=G1832,TRUE,FALSE))</f>
        <v>1</v>
      </c>
      <c r="E1832" s="5">
        <f>ABS(F1832-G1832)/ABS(F1832)</f>
        <v>0</v>
      </c>
      <c r="F1832">
        <v>11.8</v>
      </c>
      <c r="G1832">
        <v>11.8</v>
      </c>
      <c r="H1832">
        <v>11.8</v>
      </c>
      <c r="J1832" s="5">
        <f>ABS(F1832-G1832)/ABS(F1832)</f>
        <v>0</v>
      </c>
      <c r="K1832" s="5">
        <f>ABS(G1832-H1832)/ABS(G1832)</f>
        <v>0</v>
      </c>
    </row>
    <row r="1833" spans="3:11" x14ac:dyDescent="0.2">
      <c r="C1833" t="s">
        <v>2328</v>
      </c>
      <c r="D1833" t="b">
        <f ca="1">IF(CELL("format",F1833)="G",IF(ABS(F1833-G1833) &lt;= ABS(F1833*B$3),TRUE,FALSE),IF(F1833=G1833,TRUE,FALSE))</f>
        <v>1</v>
      </c>
      <c r="E1833" s="5">
        <f>ABS(F1833-G1833)/ABS(F1833)</f>
        <v>0</v>
      </c>
      <c r="F1833">
        <v>10.199999999999999</v>
      </c>
      <c r="G1833">
        <v>10.199999999999999</v>
      </c>
      <c r="H1833">
        <v>10.199999999999999</v>
      </c>
      <c r="J1833" s="5">
        <f>ABS(F1833-G1833)/ABS(F1833)</f>
        <v>0</v>
      </c>
      <c r="K1833" s="5">
        <f>ABS(G1833-H1833)/ABS(G1833)</f>
        <v>0</v>
      </c>
    </row>
    <row r="1834" spans="3:11" x14ac:dyDescent="0.2">
      <c r="C1834" t="s">
        <v>2329</v>
      </c>
      <c r="D1834" t="b">
        <f ca="1">IF(CELL("format",F1834)="G",IF(ABS(F1834-G1834) &lt;= ABS(F1834*B$3),TRUE,FALSE),IF(F1834=G1834,TRUE,FALSE))</f>
        <v>1</v>
      </c>
      <c r="E1834" s="5">
        <f>ABS(F1834-G1834)/ABS(F1834)</f>
        <v>0</v>
      </c>
      <c r="F1834">
        <v>8.8000000000000007</v>
      </c>
      <c r="G1834">
        <v>8.8000000000000007</v>
      </c>
      <c r="H1834">
        <v>8.8000000000000007</v>
      </c>
      <c r="J1834" s="5">
        <f>ABS(F1834-G1834)/ABS(F1834)</f>
        <v>0</v>
      </c>
      <c r="K1834" s="5">
        <f>ABS(G1834-H1834)/ABS(G1834)</f>
        <v>0</v>
      </c>
    </row>
    <row r="1835" spans="3:11" x14ac:dyDescent="0.2">
      <c r="C1835" t="s">
        <v>2330</v>
      </c>
      <c r="D1835" t="b">
        <f ca="1">IF(CELL("format",F1835)="G",IF(ABS(F1835-G1835) &lt;= ABS(F1835*B$3),TRUE,FALSE),IF(F1835=G1835,TRUE,FALSE))</f>
        <v>1</v>
      </c>
      <c r="E1835" s="5">
        <f>ABS(F1835-G1835)/ABS(F1835)</f>
        <v>0</v>
      </c>
      <c r="F1835">
        <v>7.5</v>
      </c>
      <c r="G1835">
        <v>7.5</v>
      </c>
      <c r="H1835">
        <v>7.5</v>
      </c>
      <c r="J1835" s="5">
        <f>ABS(F1835-G1835)/ABS(F1835)</f>
        <v>0</v>
      </c>
      <c r="K1835" s="5">
        <f>ABS(G1835-H1835)/ABS(G1835)</f>
        <v>0</v>
      </c>
    </row>
    <row r="1836" spans="3:11" x14ac:dyDescent="0.2">
      <c r="C1836" t="s">
        <v>2331</v>
      </c>
      <c r="D1836" t="b">
        <f ca="1">IF(CELL("format",F1836)="G",IF(ABS(F1836-G1836) &lt;= ABS(F1836*B$3),TRUE,FALSE),IF(F1836=G1836,TRUE,FALSE))</f>
        <v>1</v>
      </c>
      <c r="E1836" s="5">
        <f>ABS(F1836-G1836)/ABS(F1836)</f>
        <v>0</v>
      </c>
      <c r="F1836">
        <v>6.4</v>
      </c>
      <c r="G1836">
        <v>6.4</v>
      </c>
      <c r="H1836">
        <v>6.4</v>
      </c>
      <c r="J1836" s="5">
        <f>ABS(F1836-G1836)/ABS(F1836)</f>
        <v>0</v>
      </c>
      <c r="K1836" s="5">
        <f>ABS(G1836-H1836)/ABS(G1836)</f>
        <v>0</v>
      </c>
    </row>
    <row r="1837" spans="3:11" x14ac:dyDescent="0.2">
      <c r="C1837" t="s">
        <v>2332</v>
      </c>
      <c r="D1837" t="b">
        <f ca="1">IF(CELL("format",F1837)="G",IF(ABS(F1837-G1837) &lt;= ABS(F1837*B$3),TRUE,FALSE),IF(F1837=G1837,TRUE,FALSE))</f>
        <v>1</v>
      </c>
      <c r="E1837" s="5">
        <f>ABS(F1837-G1837)/ABS(F1837)</f>
        <v>0</v>
      </c>
      <c r="F1837">
        <v>6.3</v>
      </c>
      <c r="G1837">
        <v>6.3</v>
      </c>
      <c r="H1837">
        <v>6.3</v>
      </c>
      <c r="J1837" s="5">
        <f>ABS(F1837-G1837)/ABS(F1837)</f>
        <v>0</v>
      </c>
      <c r="K1837" s="5">
        <f>ABS(G1837-H1837)/ABS(G1837)</f>
        <v>0</v>
      </c>
    </row>
    <row r="1838" spans="3:11" x14ac:dyDescent="0.2">
      <c r="C1838" t="s">
        <v>2333</v>
      </c>
      <c r="D1838" t="b">
        <f ca="1">IF(CELL("format",F1838)="G",IF(ABS(F1838-G1838) &lt;= ABS(F1838*B$3),TRUE,FALSE),IF(F1838=G1838,TRUE,FALSE))</f>
        <v>1</v>
      </c>
      <c r="E1838" s="5">
        <f>ABS(F1838-G1838)/ABS(F1838)</f>
        <v>0</v>
      </c>
      <c r="F1838">
        <v>10.1</v>
      </c>
      <c r="G1838">
        <v>10.1</v>
      </c>
      <c r="H1838">
        <v>10.1</v>
      </c>
      <c r="J1838" s="5">
        <f>ABS(F1838-G1838)/ABS(F1838)</f>
        <v>0</v>
      </c>
      <c r="K1838" s="5">
        <f>ABS(G1838-H1838)/ABS(G1838)</f>
        <v>0</v>
      </c>
    </row>
    <row r="1839" spans="3:11" x14ac:dyDescent="0.2">
      <c r="C1839" t="s">
        <v>2334</v>
      </c>
      <c r="D1839" t="b">
        <f ca="1">IF(CELL("format",F1839)="G",IF(ABS(F1839-G1839) &lt;= ABS(F1839*B$3),TRUE,FALSE),IF(F1839=G1839,TRUE,FALSE))</f>
        <v>1</v>
      </c>
      <c r="E1839" s="5">
        <f>ABS(F1839-G1839)/ABS(F1839)</f>
        <v>0</v>
      </c>
      <c r="F1839">
        <v>16.600000000000001</v>
      </c>
      <c r="G1839">
        <v>16.600000000000001</v>
      </c>
      <c r="H1839">
        <v>16.600000000000001</v>
      </c>
      <c r="J1839" s="5">
        <f>ABS(F1839-G1839)/ABS(F1839)</f>
        <v>0</v>
      </c>
      <c r="K1839" s="5">
        <f>ABS(G1839-H1839)/ABS(G1839)</f>
        <v>0</v>
      </c>
    </row>
    <row r="1840" spans="3:11" x14ac:dyDescent="0.2">
      <c r="C1840" t="s">
        <v>2335</v>
      </c>
      <c r="D1840" t="b">
        <f ca="1">IF(CELL("format",F1840)="G",IF(ABS(F1840-G1840) &lt;= ABS(F1840*B$3),TRUE,FALSE),IF(F1840=G1840,TRUE,FALSE))</f>
        <v>1</v>
      </c>
      <c r="E1840" s="5">
        <f>ABS(F1840-G1840)/ABS(F1840)</f>
        <v>0</v>
      </c>
      <c r="F1840">
        <v>24.8</v>
      </c>
      <c r="G1840">
        <v>24.8</v>
      </c>
      <c r="H1840">
        <v>24.8</v>
      </c>
      <c r="J1840" s="5">
        <f>ABS(F1840-G1840)/ABS(F1840)</f>
        <v>0</v>
      </c>
      <c r="K1840" s="5">
        <f>ABS(G1840-H1840)/ABS(G1840)</f>
        <v>0</v>
      </c>
    </row>
    <row r="1841" spans="3:11" x14ac:dyDescent="0.2">
      <c r="C1841" t="s">
        <v>2336</v>
      </c>
      <c r="D1841" t="b">
        <f ca="1">IF(CELL("format",F1841)="G",IF(ABS(F1841-G1841) &lt;= ABS(F1841*B$3),TRUE,FALSE),IF(F1841=G1841,TRUE,FALSE))</f>
        <v>1</v>
      </c>
      <c r="E1841" s="5">
        <f>ABS(F1841-G1841)/ABS(F1841)</f>
        <v>0</v>
      </c>
      <c r="F1841">
        <v>34.1</v>
      </c>
      <c r="G1841">
        <v>34.1</v>
      </c>
      <c r="H1841">
        <v>34.1</v>
      </c>
      <c r="J1841" s="5">
        <f>ABS(F1841-G1841)/ABS(F1841)</f>
        <v>0</v>
      </c>
      <c r="K1841" s="5">
        <f>ABS(G1841-H1841)/ABS(G1841)</f>
        <v>0</v>
      </c>
    </row>
    <row r="1842" spans="3:11" x14ac:dyDescent="0.2">
      <c r="C1842" t="s">
        <v>2337</v>
      </c>
      <c r="D1842" t="b">
        <f ca="1">IF(CELL("format",F1842)="G",IF(ABS(F1842-G1842) &lt;= ABS(F1842*B$3),TRUE,FALSE),IF(F1842=G1842,TRUE,FALSE))</f>
        <v>1</v>
      </c>
      <c r="E1842" s="5">
        <f>ABS(F1842-G1842)/ABS(F1842)</f>
        <v>0</v>
      </c>
      <c r="F1842">
        <v>42.7</v>
      </c>
      <c r="G1842">
        <v>42.7</v>
      </c>
      <c r="H1842">
        <v>42.7</v>
      </c>
      <c r="J1842" s="5">
        <f>ABS(F1842-G1842)/ABS(F1842)</f>
        <v>0</v>
      </c>
      <c r="K1842" s="5">
        <f>ABS(G1842-H1842)/ABS(G1842)</f>
        <v>0</v>
      </c>
    </row>
    <row r="1843" spans="3:11" x14ac:dyDescent="0.2">
      <c r="C1843" t="s">
        <v>2338</v>
      </c>
      <c r="D1843" t="b">
        <f ca="1">IF(CELL("format",F1843)="G",IF(ABS(F1843-G1843) &lt;= ABS(F1843*B$3),TRUE,FALSE),IF(F1843=G1843,TRUE,FALSE))</f>
        <v>1</v>
      </c>
      <c r="E1843" s="5">
        <f>ABS(F1843-G1843)/ABS(F1843)</f>
        <v>0</v>
      </c>
      <c r="F1843">
        <v>50</v>
      </c>
      <c r="G1843">
        <v>50</v>
      </c>
      <c r="H1843">
        <v>50</v>
      </c>
      <c r="J1843" s="5">
        <f>ABS(F1843-G1843)/ABS(F1843)</f>
        <v>0</v>
      </c>
      <c r="K1843" s="5">
        <f>ABS(G1843-H1843)/ABS(G1843)</f>
        <v>0</v>
      </c>
    </row>
    <row r="1844" spans="3:11" x14ac:dyDescent="0.2">
      <c r="C1844" t="s">
        <v>2339</v>
      </c>
      <c r="D1844" t="b">
        <f ca="1">IF(CELL("format",F1844)="G",IF(ABS(F1844-G1844) &lt;= ABS(F1844*B$3),TRUE,FALSE),IF(F1844=G1844,TRUE,FALSE))</f>
        <v>1</v>
      </c>
      <c r="E1844" s="5">
        <f>ABS(F1844-G1844)/ABS(F1844)</f>
        <v>0</v>
      </c>
      <c r="F1844">
        <v>54.6</v>
      </c>
      <c r="G1844">
        <v>54.6</v>
      </c>
      <c r="H1844">
        <v>54.6</v>
      </c>
      <c r="J1844" s="5">
        <f>ABS(F1844-G1844)/ABS(F1844)</f>
        <v>0</v>
      </c>
      <c r="K1844" s="5">
        <f>ABS(G1844-H1844)/ABS(G1844)</f>
        <v>0</v>
      </c>
    </row>
    <row r="1845" spans="3:11" x14ac:dyDescent="0.2">
      <c r="C1845" t="s">
        <v>2340</v>
      </c>
      <c r="D1845" t="b">
        <f ca="1">IF(CELL("format",F1845)="G",IF(ABS(F1845-G1845) &lt;= ABS(F1845*B$3),TRUE,FALSE),IF(F1845=G1845,TRUE,FALSE))</f>
        <v>1</v>
      </c>
      <c r="E1845" s="5">
        <f>ABS(F1845-G1845)/ABS(F1845)</f>
        <v>0</v>
      </c>
      <c r="F1845">
        <v>56.5</v>
      </c>
      <c r="G1845">
        <v>56.5</v>
      </c>
      <c r="H1845">
        <v>56.5</v>
      </c>
      <c r="J1845" s="5">
        <f>ABS(F1845-G1845)/ABS(F1845)</f>
        <v>0</v>
      </c>
      <c r="K1845" s="5">
        <f>ABS(G1845-H1845)/ABS(G1845)</f>
        <v>0</v>
      </c>
    </row>
    <row r="1846" spans="3:11" x14ac:dyDescent="0.2">
      <c r="C1846" t="s">
        <v>2341</v>
      </c>
      <c r="D1846" t="b">
        <f ca="1">IF(CELL("format",F1846)="G",IF(ABS(F1846-G1846) &lt;= ABS(F1846*B$3),TRUE,FALSE),IF(F1846=G1846,TRUE,FALSE))</f>
        <v>1</v>
      </c>
      <c r="E1846" s="5">
        <f>ABS(F1846-G1846)/ABS(F1846)</f>
        <v>0</v>
      </c>
      <c r="F1846">
        <v>55.1</v>
      </c>
      <c r="G1846">
        <v>55.1</v>
      </c>
      <c r="H1846">
        <v>55.1</v>
      </c>
      <c r="J1846" s="5">
        <f>ABS(F1846-G1846)/ABS(F1846)</f>
        <v>0</v>
      </c>
      <c r="K1846" s="5">
        <f>ABS(G1846-H1846)/ABS(G1846)</f>
        <v>0</v>
      </c>
    </row>
    <row r="1847" spans="3:11" x14ac:dyDescent="0.2">
      <c r="C1847" t="s">
        <v>2342</v>
      </c>
      <c r="D1847" t="b">
        <f ca="1">IF(CELL("format",F1847)="G",IF(ABS(F1847-G1847) &lt;= ABS(F1847*B$3),TRUE,FALSE),IF(F1847=G1847,TRUE,FALSE))</f>
        <v>1</v>
      </c>
      <c r="E1847" s="5">
        <f>ABS(F1847-G1847)/ABS(F1847)</f>
        <v>0</v>
      </c>
      <c r="F1847">
        <v>50.3</v>
      </c>
      <c r="G1847">
        <v>50.3</v>
      </c>
      <c r="H1847">
        <v>50.3</v>
      </c>
      <c r="J1847" s="5">
        <f>ABS(F1847-G1847)/ABS(F1847)</f>
        <v>0</v>
      </c>
      <c r="K1847" s="5">
        <f>ABS(G1847-H1847)/ABS(G1847)</f>
        <v>0</v>
      </c>
    </row>
    <row r="1848" spans="3:11" x14ac:dyDescent="0.2">
      <c r="C1848" t="s">
        <v>2343</v>
      </c>
      <c r="D1848" t="b">
        <f ca="1">IF(CELL("format",F1848)="G",IF(ABS(F1848-G1848) &lt;= ABS(F1848*B$3),TRUE,FALSE),IF(F1848=G1848,TRUE,FALSE))</f>
        <v>1</v>
      </c>
      <c r="E1848" s="5">
        <f>ABS(F1848-G1848)/ABS(F1848)</f>
        <v>0</v>
      </c>
      <c r="F1848">
        <v>45</v>
      </c>
      <c r="G1848">
        <v>45</v>
      </c>
      <c r="H1848">
        <v>45</v>
      </c>
      <c r="J1848" s="5">
        <f>ABS(F1848-G1848)/ABS(F1848)</f>
        <v>0</v>
      </c>
      <c r="K1848" s="5">
        <f>ABS(G1848-H1848)/ABS(G1848)</f>
        <v>0</v>
      </c>
    </row>
    <row r="1849" spans="3:11" x14ac:dyDescent="0.2">
      <c r="C1849" t="s">
        <v>2344</v>
      </c>
      <c r="D1849" t="b">
        <f ca="1">IF(CELL("format",F1849)="G",IF(ABS(F1849-G1849) &lt;= ABS(F1849*B$3),TRUE,FALSE),IF(F1849=G1849,TRUE,FALSE))</f>
        <v>1</v>
      </c>
      <c r="E1849" s="5">
        <f>ABS(F1849-G1849)/ABS(F1849)</f>
        <v>0</v>
      </c>
      <c r="F1849">
        <v>40.1</v>
      </c>
      <c r="G1849">
        <v>40.1</v>
      </c>
      <c r="H1849">
        <v>40.1</v>
      </c>
      <c r="J1849" s="5">
        <f>ABS(F1849-G1849)/ABS(F1849)</f>
        <v>0</v>
      </c>
      <c r="K1849" s="5">
        <f>ABS(G1849-H1849)/ABS(G1849)</f>
        <v>0</v>
      </c>
    </row>
    <row r="1850" spans="3:11" x14ac:dyDescent="0.2">
      <c r="C1850" t="s">
        <v>2345</v>
      </c>
      <c r="D1850" t="b">
        <f ca="1">IF(CELL("format",F1850)="G",IF(ABS(F1850-G1850) &lt;= ABS(F1850*B$3),TRUE,FALSE),IF(F1850=G1850,TRUE,FALSE))</f>
        <v>1</v>
      </c>
      <c r="E1850" s="5">
        <f>ABS(F1850-G1850)/ABS(F1850)</f>
        <v>0</v>
      </c>
      <c r="F1850">
        <v>35.700000000000003</v>
      </c>
      <c r="G1850">
        <v>35.700000000000003</v>
      </c>
      <c r="H1850">
        <v>35.700000000000003</v>
      </c>
      <c r="J1850" s="5">
        <f>ABS(F1850-G1850)/ABS(F1850)</f>
        <v>0</v>
      </c>
      <c r="K1850" s="5">
        <f>ABS(G1850-H1850)/ABS(G1850)</f>
        <v>0</v>
      </c>
    </row>
    <row r="1851" spans="3:11" x14ac:dyDescent="0.2">
      <c r="C1851" t="s">
        <v>2346</v>
      </c>
      <c r="D1851" t="b">
        <f ca="1">IF(CELL("format",F1851)="G",IF(ABS(F1851-G1851) &lt;= ABS(F1851*B$3),TRUE,FALSE),IF(F1851=G1851,TRUE,FALSE))</f>
        <v>1</v>
      </c>
      <c r="E1851" s="5">
        <f>ABS(F1851-G1851)/ABS(F1851)</f>
        <v>0</v>
      </c>
      <c r="F1851">
        <v>31.7</v>
      </c>
      <c r="G1851">
        <v>31.7</v>
      </c>
      <c r="H1851">
        <v>31.7</v>
      </c>
      <c r="J1851" s="5">
        <f>ABS(F1851-G1851)/ABS(F1851)</f>
        <v>0</v>
      </c>
      <c r="K1851" s="5">
        <f>ABS(G1851-H1851)/ABS(G1851)</f>
        <v>0</v>
      </c>
    </row>
    <row r="1852" spans="3:11" x14ac:dyDescent="0.2">
      <c r="C1852" t="s">
        <v>2347</v>
      </c>
      <c r="D1852" t="b">
        <f ca="1">IF(CELL("format",F1852)="G",IF(ABS(F1852-G1852) &lt;= ABS(F1852*B$3),TRUE,FALSE),IF(F1852=G1852,TRUE,FALSE))</f>
        <v>1</v>
      </c>
      <c r="E1852" s="5">
        <f>ABS(F1852-G1852)/ABS(F1852)</f>
        <v>0</v>
      </c>
      <c r="F1852">
        <v>28.1</v>
      </c>
      <c r="G1852">
        <v>28.1</v>
      </c>
      <c r="H1852">
        <v>28.1</v>
      </c>
      <c r="J1852" s="5">
        <f>ABS(F1852-G1852)/ABS(F1852)</f>
        <v>0</v>
      </c>
      <c r="K1852" s="5">
        <f>ABS(G1852-H1852)/ABS(G1852)</f>
        <v>0</v>
      </c>
    </row>
    <row r="1853" spans="3:11" x14ac:dyDescent="0.2">
      <c r="C1853" t="s">
        <v>2348</v>
      </c>
      <c r="D1853" t="b">
        <f ca="1">IF(CELL("format",F1853)="G",IF(ABS(F1853-G1853) &lt;= ABS(F1853*B$3),TRUE,FALSE),IF(F1853=G1853,TRUE,FALSE))</f>
        <v>1</v>
      </c>
      <c r="E1853" s="5">
        <f>ABS(F1853-G1853)/ABS(F1853)</f>
        <v>0</v>
      </c>
      <c r="F1853">
        <v>24.9</v>
      </c>
      <c r="G1853">
        <v>24.9</v>
      </c>
      <c r="H1853">
        <v>24.9</v>
      </c>
      <c r="J1853" s="5">
        <f>ABS(F1853-G1853)/ABS(F1853)</f>
        <v>0</v>
      </c>
      <c r="K1853" s="5">
        <f>ABS(G1853-H1853)/ABS(G1853)</f>
        <v>0</v>
      </c>
    </row>
    <row r="1854" spans="3:11" x14ac:dyDescent="0.2">
      <c r="C1854" t="s">
        <v>2325</v>
      </c>
      <c r="D1854" t="b">
        <f ca="1">IF(CELL("format",F1854)="G",IF(ABS(F1854-G1854) &lt;= ABS(F1854*B$3),TRUE,FALSE),IF(F1854=G1854,TRUE,FALSE))</f>
        <v>1</v>
      </c>
      <c r="E1854" s="5">
        <f>ABS(F1854-G1854)/ABS(F1854)</f>
        <v>0</v>
      </c>
      <c r="F1854">
        <v>22.8</v>
      </c>
      <c r="G1854">
        <v>22.8</v>
      </c>
      <c r="H1854">
        <v>22.8</v>
      </c>
      <c r="J1854" s="5">
        <f>ABS(F1854-G1854)/ABS(F1854)</f>
        <v>0</v>
      </c>
      <c r="K1854" s="5">
        <f>ABS(G1854-H1854)/ABS(G1854)</f>
        <v>0</v>
      </c>
    </row>
    <row r="1855" spans="3:11" x14ac:dyDescent="0.2">
      <c r="C1855" t="s">
        <v>2326</v>
      </c>
      <c r="D1855" t="b">
        <f ca="1">IF(CELL("format",F1855)="G",IF(ABS(F1855-G1855) &lt;= ABS(F1855*B$3),TRUE,FALSE),IF(F1855=G1855,TRUE,FALSE))</f>
        <v>1</v>
      </c>
      <c r="E1855" s="5">
        <f>ABS(F1855-G1855)/ABS(F1855)</f>
        <v>0</v>
      </c>
      <c r="F1855">
        <v>22.3</v>
      </c>
      <c r="G1855">
        <v>22.3</v>
      </c>
      <c r="H1855">
        <v>22.3</v>
      </c>
      <c r="J1855" s="5">
        <f>ABS(F1855-G1855)/ABS(F1855)</f>
        <v>0</v>
      </c>
      <c r="K1855" s="5">
        <f>ABS(G1855-H1855)/ABS(G1855)</f>
        <v>0</v>
      </c>
    </row>
    <row r="1856" spans="3:11" x14ac:dyDescent="0.2">
      <c r="C1856" t="s">
        <v>2327</v>
      </c>
      <c r="D1856" t="b">
        <f ca="1">IF(CELL("format",F1856)="G",IF(ABS(F1856-G1856) &lt;= ABS(F1856*B$3),TRUE,FALSE),IF(F1856=G1856,TRUE,FALSE))</f>
        <v>1</v>
      </c>
      <c r="E1856" s="5">
        <f>ABS(F1856-G1856)/ABS(F1856)</f>
        <v>0</v>
      </c>
      <c r="F1856">
        <v>21.9</v>
      </c>
      <c r="G1856">
        <v>21.9</v>
      </c>
      <c r="H1856">
        <v>21.9</v>
      </c>
      <c r="J1856" s="5">
        <f>ABS(F1856-G1856)/ABS(F1856)</f>
        <v>0</v>
      </c>
      <c r="K1856" s="5">
        <f>ABS(G1856-H1856)/ABS(G1856)</f>
        <v>0</v>
      </c>
    </row>
    <row r="1857" spans="3:11" x14ac:dyDescent="0.2">
      <c r="C1857" t="s">
        <v>2328</v>
      </c>
      <c r="D1857" t="b">
        <f ca="1">IF(CELL("format",F1857)="G",IF(ABS(F1857-G1857) &lt;= ABS(F1857*B$3),TRUE,FALSE),IF(F1857=G1857,TRUE,FALSE))</f>
        <v>1</v>
      </c>
      <c r="E1857" s="5">
        <f>ABS(F1857-G1857)/ABS(F1857)</f>
        <v>0</v>
      </c>
      <c r="F1857">
        <v>21.4</v>
      </c>
      <c r="G1857">
        <v>21.4</v>
      </c>
      <c r="H1857">
        <v>21.4</v>
      </c>
      <c r="J1857" s="5">
        <f>ABS(F1857-G1857)/ABS(F1857)</f>
        <v>0</v>
      </c>
      <c r="K1857" s="5">
        <f>ABS(G1857-H1857)/ABS(G1857)</f>
        <v>0</v>
      </c>
    </row>
    <row r="1858" spans="3:11" x14ac:dyDescent="0.2">
      <c r="C1858" t="s">
        <v>2329</v>
      </c>
      <c r="D1858" t="b">
        <f ca="1">IF(CELL("format",F1858)="G",IF(ABS(F1858-G1858) &lt;= ABS(F1858*B$3),TRUE,FALSE),IF(F1858=G1858,TRUE,FALSE))</f>
        <v>1</v>
      </c>
      <c r="E1858" s="5">
        <f>ABS(F1858-G1858)/ABS(F1858)</f>
        <v>0</v>
      </c>
      <c r="F1858">
        <v>20.9</v>
      </c>
      <c r="G1858">
        <v>20.9</v>
      </c>
      <c r="H1858">
        <v>20.9</v>
      </c>
      <c r="J1858" s="5">
        <f>ABS(F1858-G1858)/ABS(F1858)</f>
        <v>0</v>
      </c>
      <c r="K1858" s="5">
        <f>ABS(G1858-H1858)/ABS(G1858)</f>
        <v>0</v>
      </c>
    </row>
    <row r="1859" spans="3:11" x14ac:dyDescent="0.2">
      <c r="C1859" t="s">
        <v>2330</v>
      </c>
      <c r="D1859" t="b">
        <f ca="1">IF(CELL("format",F1859)="G",IF(ABS(F1859-G1859) &lt;= ABS(F1859*B$3),TRUE,FALSE),IF(F1859=G1859,TRUE,FALSE))</f>
        <v>1</v>
      </c>
      <c r="E1859" s="5">
        <f>ABS(F1859-G1859)/ABS(F1859)</f>
        <v>0</v>
      </c>
      <c r="F1859">
        <v>20.5</v>
      </c>
      <c r="G1859">
        <v>20.5</v>
      </c>
      <c r="H1859">
        <v>20.5</v>
      </c>
      <c r="J1859" s="5">
        <f>ABS(F1859-G1859)/ABS(F1859)</f>
        <v>0</v>
      </c>
      <c r="K1859" s="5">
        <f>ABS(G1859-H1859)/ABS(G1859)</f>
        <v>0</v>
      </c>
    </row>
    <row r="1860" spans="3:11" x14ac:dyDescent="0.2">
      <c r="C1860" t="s">
        <v>2331</v>
      </c>
      <c r="D1860" t="b">
        <f ca="1">IF(CELL("format",F1860)="G",IF(ABS(F1860-G1860) &lt;= ABS(F1860*B$3),TRUE,FALSE),IF(F1860=G1860,TRUE,FALSE))</f>
        <v>1</v>
      </c>
      <c r="E1860" s="5">
        <f>ABS(F1860-G1860)/ABS(F1860)</f>
        <v>0</v>
      </c>
      <c r="F1860">
        <v>20.2</v>
      </c>
      <c r="G1860">
        <v>20.2</v>
      </c>
      <c r="H1860">
        <v>20.2</v>
      </c>
      <c r="J1860" s="5">
        <f>ABS(F1860-G1860)/ABS(F1860)</f>
        <v>0</v>
      </c>
      <c r="K1860" s="5">
        <f>ABS(G1860-H1860)/ABS(G1860)</f>
        <v>0</v>
      </c>
    </row>
    <row r="1861" spans="3:11" x14ac:dyDescent="0.2">
      <c r="C1861" t="s">
        <v>2332</v>
      </c>
      <c r="D1861" t="b">
        <f ca="1">IF(CELL("format",F1861)="G",IF(ABS(F1861-G1861) &lt;= ABS(F1861*B$3),TRUE,FALSE),IF(F1861=G1861,TRUE,FALSE))</f>
        <v>1</v>
      </c>
      <c r="E1861" s="5">
        <f>ABS(F1861-G1861)/ABS(F1861)</f>
        <v>0</v>
      </c>
      <c r="F1861">
        <v>20.3</v>
      </c>
      <c r="G1861">
        <v>20.3</v>
      </c>
      <c r="H1861">
        <v>20.3</v>
      </c>
      <c r="J1861" s="5">
        <f>ABS(F1861-G1861)/ABS(F1861)</f>
        <v>0</v>
      </c>
      <c r="K1861" s="5">
        <f>ABS(G1861-H1861)/ABS(G1861)</f>
        <v>0</v>
      </c>
    </row>
    <row r="1862" spans="3:11" x14ac:dyDescent="0.2">
      <c r="C1862" t="s">
        <v>2333</v>
      </c>
      <c r="D1862" t="b">
        <f ca="1">IF(CELL("format",F1862)="G",IF(ABS(F1862-G1862) &lt;= ABS(F1862*B$3),TRUE,FALSE),IF(F1862=G1862,TRUE,FALSE))</f>
        <v>1</v>
      </c>
      <c r="E1862" s="5">
        <f>ABS(F1862-G1862)/ABS(F1862)</f>
        <v>0</v>
      </c>
      <c r="F1862">
        <v>21.8</v>
      </c>
      <c r="G1862">
        <v>21.8</v>
      </c>
      <c r="H1862">
        <v>21.8</v>
      </c>
      <c r="J1862" s="5">
        <f>ABS(F1862-G1862)/ABS(F1862)</f>
        <v>0</v>
      </c>
      <c r="K1862" s="5">
        <f>ABS(G1862-H1862)/ABS(G1862)</f>
        <v>0</v>
      </c>
    </row>
    <row r="1863" spans="3:11" x14ac:dyDescent="0.2">
      <c r="C1863" t="s">
        <v>2334</v>
      </c>
      <c r="D1863" t="b">
        <f ca="1">IF(CELL("format",F1863)="G",IF(ABS(F1863-G1863) &lt;= ABS(F1863*B$3),TRUE,FALSE),IF(F1863=G1863,TRUE,FALSE))</f>
        <v>1</v>
      </c>
      <c r="E1863" s="5">
        <f>ABS(F1863-G1863)/ABS(F1863)</f>
        <v>0</v>
      </c>
      <c r="F1863">
        <v>23.7</v>
      </c>
      <c r="G1863">
        <v>23.7</v>
      </c>
      <c r="H1863">
        <v>23.7</v>
      </c>
      <c r="J1863" s="5">
        <f>ABS(F1863-G1863)/ABS(F1863)</f>
        <v>0</v>
      </c>
      <c r="K1863" s="5">
        <f>ABS(G1863-H1863)/ABS(G1863)</f>
        <v>0</v>
      </c>
    </row>
    <row r="1864" spans="3:11" x14ac:dyDescent="0.2">
      <c r="C1864" t="s">
        <v>2335</v>
      </c>
      <c r="D1864" t="b">
        <f ca="1">IF(CELL("format",F1864)="G",IF(ABS(F1864-G1864) &lt;= ABS(F1864*B$3),TRUE,FALSE),IF(F1864=G1864,TRUE,FALSE))</f>
        <v>1</v>
      </c>
      <c r="E1864" s="5">
        <f>ABS(F1864-G1864)/ABS(F1864)</f>
        <v>0</v>
      </c>
      <c r="F1864">
        <v>25.7</v>
      </c>
      <c r="G1864">
        <v>25.7</v>
      </c>
      <c r="H1864">
        <v>25.7</v>
      </c>
      <c r="J1864" s="5">
        <f>ABS(F1864-G1864)/ABS(F1864)</f>
        <v>0</v>
      </c>
      <c r="K1864" s="5">
        <f>ABS(G1864-H1864)/ABS(G1864)</f>
        <v>0</v>
      </c>
    </row>
    <row r="1865" spans="3:11" x14ac:dyDescent="0.2">
      <c r="C1865" t="s">
        <v>2336</v>
      </c>
      <c r="D1865" t="b">
        <f ca="1">IF(CELL("format",F1865)="G",IF(ABS(F1865-G1865) &lt;= ABS(F1865*B$3),TRUE,FALSE),IF(F1865=G1865,TRUE,FALSE))</f>
        <v>1</v>
      </c>
      <c r="E1865" s="5">
        <f>ABS(F1865-G1865)/ABS(F1865)</f>
        <v>0</v>
      </c>
      <c r="F1865">
        <v>27.9</v>
      </c>
      <c r="G1865">
        <v>27.9</v>
      </c>
      <c r="H1865">
        <v>27.9</v>
      </c>
      <c r="J1865" s="5">
        <f>ABS(F1865-G1865)/ABS(F1865)</f>
        <v>0</v>
      </c>
      <c r="K1865" s="5">
        <f>ABS(G1865-H1865)/ABS(G1865)</f>
        <v>0</v>
      </c>
    </row>
    <row r="1866" spans="3:11" x14ac:dyDescent="0.2">
      <c r="C1866" t="s">
        <v>2337</v>
      </c>
      <c r="D1866" t="b">
        <f ca="1">IF(CELL("format",F1866)="G",IF(ABS(F1866-G1866) &lt;= ABS(F1866*B$3),TRUE,FALSE),IF(F1866=G1866,TRUE,FALSE))</f>
        <v>1</v>
      </c>
      <c r="E1866" s="5">
        <f>ABS(F1866-G1866)/ABS(F1866)</f>
        <v>0</v>
      </c>
      <c r="F1866">
        <v>30.1</v>
      </c>
      <c r="G1866">
        <v>30.1</v>
      </c>
      <c r="H1866">
        <v>30.1</v>
      </c>
      <c r="J1866" s="5">
        <f>ABS(F1866-G1866)/ABS(F1866)</f>
        <v>0</v>
      </c>
      <c r="K1866" s="5">
        <f>ABS(G1866-H1866)/ABS(G1866)</f>
        <v>0</v>
      </c>
    </row>
    <row r="1867" spans="3:11" x14ac:dyDescent="0.2">
      <c r="C1867" t="s">
        <v>2338</v>
      </c>
      <c r="D1867" t="b">
        <f ca="1">IF(CELL("format",F1867)="G",IF(ABS(F1867-G1867) &lt;= ABS(F1867*B$3),TRUE,FALSE),IF(F1867=G1867,TRUE,FALSE))</f>
        <v>1</v>
      </c>
      <c r="E1867" s="5">
        <f>ABS(F1867-G1867)/ABS(F1867)</f>
        <v>0</v>
      </c>
      <c r="F1867">
        <v>31.6</v>
      </c>
      <c r="G1867">
        <v>31.6</v>
      </c>
      <c r="H1867">
        <v>31.6</v>
      </c>
      <c r="J1867" s="5">
        <f>ABS(F1867-G1867)/ABS(F1867)</f>
        <v>0</v>
      </c>
      <c r="K1867" s="5">
        <f>ABS(G1867-H1867)/ABS(G1867)</f>
        <v>0</v>
      </c>
    </row>
    <row r="1868" spans="3:11" x14ac:dyDescent="0.2">
      <c r="C1868" t="s">
        <v>2339</v>
      </c>
      <c r="D1868" t="b">
        <f ca="1">IF(CELL("format",F1868)="G",IF(ABS(F1868-G1868) &lt;= ABS(F1868*B$3),TRUE,FALSE),IF(F1868=G1868,TRUE,FALSE))</f>
        <v>1</v>
      </c>
      <c r="E1868" s="5">
        <f>ABS(F1868-G1868)/ABS(F1868)</f>
        <v>0</v>
      </c>
      <c r="F1868">
        <v>32.200000000000003</v>
      </c>
      <c r="G1868">
        <v>32.200000000000003</v>
      </c>
      <c r="H1868">
        <v>32.200000000000003</v>
      </c>
      <c r="J1868" s="5">
        <f>ABS(F1868-G1868)/ABS(F1868)</f>
        <v>0</v>
      </c>
      <c r="K1868" s="5">
        <f>ABS(G1868-H1868)/ABS(G1868)</f>
        <v>0</v>
      </c>
    </row>
    <row r="1869" spans="3:11" x14ac:dyDescent="0.2">
      <c r="C1869" t="s">
        <v>2340</v>
      </c>
      <c r="D1869" t="b">
        <f ca="1">IF(CELL("format",F1869)="G",IF(ABS(F1869-G1869) &lt;= ABS(F1869*B$3),TRUE,FALSE),IF(F1869=G1869,TRUE,FALSE))</f>
        <v>1</v>
      </c>
      <c r="E1869" s="5">
        <f>ABS(F1869-G1869)/ABS(F1869)</f>
        <v>0</v>
      </c>
      <c r="F1869">
        <v>32.299999999999997</v>
      </c>
      <c r="G1869">
        <v>32.299999999999997</v>
      </c>
      <c r="H1869">
        <v>32.299999999999997</v>
      </c>
      <c r="J1869" s="5">
        <f>ABS(F1869-G1869)/ABS(F1869)</f>
        <v>0</v>
      </c>
      <c r="K1869" s="5">
        <f>ABS(G1869-H1869)/ABS(G1869)</f>
        <v>0</v>
      </c>
    </row>
    <row r="1870" spans="3:11" x14ac:dyDescent="0.2">
      <c r="C1870" t="s">
        <v>2341</v>
      </c>
      <c r="D1870" t="b">
        <f ca="1">IF(CELL("format",F1870)="G",IF(ABS(F1870-G1870) &lt;= ABS(F1870*B$3),TRUE,FALSE),IF(F1870=G1870,TRUE,FALSE))</f>
        <v>1</v>
      </c>
      <c r="E1870" s="5">
        <f>ABS(F1870-G1870)/ABS(F1870)</f>
        <v>0</v>
      </c>
      <c r="F1870">
        <v>31.6</v>
      </c>
      <c r="G1870">
        <v>31.6</v>
      </c>
      <c r="H1870">
        <v>31.6</v>
      </c>
      <c r="J1870" s="5">
        <f>ABS(F1870-G1870)/ABS(F1870)</f>
        <v>0</v>
      </c>
      <c r="K1870" s="5">
        <f>ABS(G1870-H1870)/ABS(G1870)</f>
        <v>0</v>
      </c>
    </row>
    <row r="1871" spans="3:11" x14ac:dyDescent="0.2">
      <c r="C1871" t="s">
        <v>2342</v>
      </c>
      <c r="D1871" t="b">
        <f ca="1">IF(CELL("format",F1871)="G",IF(ABS(F1871-G1871) &lt;= ABS(F1871*B$3),TRUE,FALSE),IF(F1871=G1871,TRUE,FALSE))</f>
        <v>1</v>
      </c>
      <c r="E1871" s="5">
        <f>ABS(F1871-G1871)/ABS(F1871)</f>
        <v>0</v>
      </c>
      <c r="F1871">
        <v>29.9</v>
      </c>
      <c r="G1871">
        <v>29.9</v>
      </c>
      <c r="H1871">
        <v>29.9</v>
      </c>
      <c r="J1871" s="5">
        <f>ABS(F1871-G1871)/ABS(F1871)</f>
        <v>0</v>
      </c>
      <c r="K1871" s="5">
        <f>ABS(G1871-H1871)/ABS(G1871)</f>
        <v>0</v>
      </c>
    </row>
    <row r="1872" spans="3:11" x14ac:dyDescent="0.2">
      <c r="C1872" t="s">
        <v>2343</v>
      </c>
      <c r="D1872" t="b">
        <f ca="1">IF(CELL("format",F1872)="G",IF(ABS(F1872-G1872) &lt;= ABS(F1872*B$3),TRUE,FALSE),IF(F1872=G1872,TRUE,FALSE))</f>
        <v>1</v>
      </c>
      <c r="E1872" s="5">
        <f>ABS(F1872-G1872)/ABS(F1872)</f>
        <v>0</v>
      </c>
      <c r="F1872">
        <v>28.8</v>
      </c>
      <c r="G1872">
        <v>28.8</v>
      </c>
      <c r="H1872">
        <v>28.8</v>
      </c>
      <c r="J1872" s="5">
        <f>ABS(F1872-G1872)/ABS(F1872)</f>
        <v>0</v>
      </c>
      <c r="K1872" s="5">
        <f>ABS(G1872-H1872)/ABS(G1872)</f>
        <v>0</v>
      </c>
    </row>
    <row r="1873" spans="3:11" x14ac:dyDescent="0.2">
      <c r="C1873" t="s">
        <v>2344</v>
      </c>
      <c r="D1873" t="b">
        <f ca="1">IF(CELL("format",F1873)="G",IF(ABS(F1873-G1873) &lt;= ABS(F1873*B$3),TRUE,FALSE),IF(F1873=G1873,TRUE,FALSE))</f>
        <v>1</v>
      </c>
      <c r="E1873" s="5">
        <f>ABS(F1873-G1873)/ABS(F1873)</f>
        <v>0</v>
      </c>
      <c r="F1873">
        <v>28</v>
      </c>
      <c r="G1873">
        <v>28</v>
      </c>
      <c r="H1873">
        <v>28</v>
      </c>
      <c r="J1873" s="5">
        <f>ABS(F1873-G1873)/ABS(F1873)</f>
        <v>0</v>
      </c>
      <c r="K1873" s="5">
        <f>ABS(G1873-H1873)/ABS(G1873)</f>
        <v>0</v>
      </c>
    </row>
    <row r="1874" spans="3:11" x14ac:dyDescent="0.2">
      <c r="C1874" t="s">
        <v>2345</v>
      </c>
      <c r="D1874" t="b">
        <f ca="1">IF(CELL("format",F1874)="G",IF(ABS(F1874-G1874) &lt;= ABS(F1874*B$3),TRUE,FALSE),IF(F1874=G1874,TRUE,FALSE))</f>
        <v>1</v>
      </c>
      <c r="E1874" s="5">
        <f>ABS(F1874-G1874)/ABS(F1874)</f>
        <v>0</v>
      </c>
      <c r="F1874">
        <v>27.3</v>
      </c>
      <c r="G1874">
        <v>27.3</v>
      </c>
      <c r="H1874">
        <v>27.3</v>
      </c>
      <c r="J1874" s="5">
        <f>ABS(F1874-G1874)/ABS(F1874)</f>
        <v>0</v>
      </c>
      <c r="K1874" s="5">
        <f>ABS(G1874-H1874)/ABS(G1874)</f>
        <v>0</v>
      </c>
    </row>
    <row r="1875" spans="3:11" x14ac:dyDescent="0.2">
      <c r="C1875" t="s">
        <v>2346</v>
      </c>
      <c r="D1875" t="b">
        <f ca="1">IF(CELL("format",F1875)="G",IF(ABS(F1875-G1875) &lt;= ABS(F1875*B$3),TRUE,FALSE),IF(F1875=G1875,TRUE,FALSE))</f>
        <v>1</v>
      </c>
      <c r="E1875" s="5">
        <f>ABS(F1875-G1875)/ABS(F1875)</f>
        <v>0</v>
      </c>
      <c r="F1875">
        <v>26.6</v>
      </c>
      <c r="G1875">
        <v>26.6</v>
      </c>
      <c r="H1875">
        <v>26.6</v>
      </c>
      <c r="J1875" s="5">
        <f>ABS(F1875-G1875)/ABS(F1875)</f>
        <v>0</v>
      </c>
      <c r="K1875" s="5">
        <f>ABS(G1875-H1875)/ABS(G1875)</f>
        <v>0</v>
      </c>
    </row>
    <row r="1876" spans="3:11" x14ac:dyDescent="0.2">
      <c r="C1876" t="s">
        <v>2347</v>
      </c>
      <c r="D1876" t="b">
        <f ca="1">IF(CELL("format",F1876)="G",IF(ABS(F1876-G1876) &lt;= ABS(F1876*B$3),TRUE,FALSE),IF(F1876=G1876,TRUE,FALSE))</f>
        <v>1</v>
      </c>
      <c r="E1876" s="5">
        <f>ABS(F1876-G1876)/ABS(F1876)</f>
        <v>0</v>
      </c>
      <c r="F1876">
        <v>25.9</v>
      </c>
      <c r="G1876">
        <v>25.9</v>
      </c>
      <c r="H1876">
        <v>25.9</v>
      </c>
      <c r="J1876" s="5">
        <f>ABS(F1876-G1876)/ABS(F1876)</f>
        <v>0</v>
      </c>
      <c r="K1876" s="5">
        <f>ABS(G1876-H1876)/ABS(G1876)</f>
        <v>0</v>
      </c>
    </row>
    <row r="1877" spans="3:11" x14ac:dyDescent="0.2">
      <c r="C1877" t="s">
        <v>2348</v>
      </c>
      <c r="D1877" t="b">
        <f ca="1">IF(CELL("format",F1877)="G",IF(ABS(F1877-G1877) &lt;= ABS(F1877*B$3),TRUE,FALSE),IF(F1877=G1877,TRUE,FALSE))</f>
        <v>1</v>
      </c>
      <c r="E1877" s="5">
        <f>ABS(F1877-G1877)/ABS(F1877)</f>
        <v>0</v>
      </c>
      <c r="F1877">
        <v>25.4</v>
      </c>
      <c r="G1877">
        <v>25.4</v>
      </c>
      <c r="H1877">
        <v>25.4</v>
      </c>
      <c r="J1877" s="5">
        <f>ABS(F1877-G1877)/ABS(F1877)</f>
        <v>0</v>
      </c>
      <c r="K1877" s="5">
        <f>ABS(G1877-H1877)/ABS(G1877)</f>
        <v>0</v>
      </c>
    </row>
    <row r="1878" spans="3:11" x14ac:dyDescent="0.2">
      <c r="C1878" t="s">
        <v>147</v>
      </c>
      <c r="D1878" t="b">
        <f ca="1">IF(CELL("format",F1878)="G",IF(ABS(F1878-G1878) &lt;= ABS(F1878*B$3),TRUE,FALSE),IF(F1878=G1878,TRUE,FALSE))</f>
        <v>1</v>
      </c>
      <c r="E1878" s="5" t="e">
        <f>ABS(F1878-G1878)/ABS(F1878)</f>
        <v>#DIV/0!</v>
      </c>
      <c r="F1878">
        <v>0</v>
      </c>
      <c r="G1878">
        <v>0</v>
      </c>
      <c r="H1878">
        <v>0</v>
      </c>
      <c r="J1878" s="5" t="e">
        <f>ABS(F1878-G1878)/ABS(F1878)</f>
        <v>#DIV/0!</v>
      </c>
      <c r="K1878" s="5" t="e">
        <f>ABS(G1878-H1878)/ABS(G1878)</f>
        <v>#DIV/0!</v>
      </c>
    </row>
    <row r="1879" spans="3:11" x14ac:dyDescent="0.2">
      <c r="C1879" t="s">
        <v>146</v>
      </c>
      <c r="D1879" t="b">
        <f ca="1">IF(CELL("format",F1879)="G",IF(ABS(F1879-G1879) &lt;= ABS(F1879*B$3),TRUE,FALSE),IF(F1879=G1879,TRUE,FALSE))</f>
        <v>1</v>
      </c>
      <c r="E1879" s="5" t="e">
        <f>ABS(F1879-G1879)/ABS(F1879)</f>
        <v>#DIV/0!</v>
      </c>
      <c r="F1879">
        <v>0</v>
      </c>
      <c r="G1879">
        <v>0</v>
      </c>
      <c r="H1879">
        <v>0</v>
      </c>
      <c r="J1879" s="5" t="e">
        <f>ABS(F1879-G1879)/ABS(F1879)</f>
        <v>#DIV/0!</v>
      </c>
      <c r="K1879" s="5" t="e">
        <f>ABS(G1879-H1879)/ABS(G1879)</f>
        <v>#DIV/0!</v>
      </c>
    </row>
    <row r="1880" spans="3:11" x14ac:dyDescent="0.2">
      <c r="C1880" t="s">
        <v>145</v>
      </c>
      <c r="D1880" t="b">
        <f ca="1">IF(CELL("format",F1880)="G",IF(ABS(F1880-G1880) &lt;= ABS(F1880*B$3),TRUE,FALSE),IF(F1880=G1880,TRUE,FALSE))</f>
        <v>1</v>
      </c>
      <c r="E1880" s="5" t="e">
        <f>ABS(F1880-G1880)/ABS(F1880)</f>
        <v>#DIV/0!</v>
      </c>
      <c r="F1880">
        <v>0</v>
      </c>
      <c r="G1880">
        <v>0</v>
      </c>
      <c r="H1880">
        <v>0</v>
      </c>
      <c r="J1880" s="5" t="e">
        <f>ABS(F1880-G1880)/ABS(F1880)</f>
        <v>#DIV/0!</v>
      </c>
      <c r="K1880" s="5" t="e">
        <f>ABS(G1880-H1880)/ABS(G1880)</f>
        <v>#DIV/0!</v>
      </c>
    </row>
    <row r="1881" spans="3:11" x14ac:dyDescent="0.2">
      <c r="C1881" t="s">
        <v>144</v>
      </c>
      <c r="D1881" t="b">
        <f ca="1">IF(CELL("format",F1881)="G",IF(ABS(F1881-G1881) &lt;= ABS(F1881*B$3),TRUE,FALSE),IF(F1881=G1881,TRUE,FALSE))</f>
        <v>1</v>
      </c>
      <c r="E1881" s="5" t="e">
        <f>ABS(F1881-G1881)/ABS(F1881)</f>
        <v>#DIV/0!</v>
      </c>
      <c r="F1881">
        <v>0</v>
      </c>
      <c r="G1881">
        <v>0</v>
      </c>
      <c r="H1881">
        <v>0</v>
      </c>
      <c r="J1881" s="5" t="e">
        <f>ABS(F1881-G1881)/ABS(F1881)</f>
        <v>#DIV/0!</v>
      </c>
      <c r="K1881" s="5" t="e">
        <f>ABS(G1881-H1881)/ABS(G1881)</f>
        <v>#DIV/0!</v>
      </c>
    </row>
    <row r="1882" spans="3:11" x14ac:dyDescent="0.2">
      <c r="C1882" t="s">
        <v>143</v>
      </c>
      <c r="D1882" t="b">
        <f ca="1">IF(CELL("format",F1882)="G",IF(ABS(F1882-G1882) &lt;= ABS(F1882*B$3),TRUE,FALSE),IF(F1882=G1882,TRUE,FALSE))</f>
        <v>1</v>
      </c>
      <c r="E1882" s="5" t="e">
        <f>ABS(F1882-G1882)/ABS(F1882)</f>
        <v>#DIV/0!</v>
      </c>
      <c r="F1882">
        <v>0</v>
      </c>
      <c r="G1882">
        <v>0</v>
      </c>
      <c r="H1882">
        <v>0</v>
      </c>
      <c r="J1882" s="5" t="e">
        <f>ABS(F1882-G1882)/ABS(F1882)</f>
        <v>#DIV/0!</v>
      </c>
      <c r="K1882" s="5" t="e">
        <f>ABS(G1882-H1882)/ABS(G1882)</f>
        <v>#DIV/0!</v>
      </c>
    </row>
    <row r="1883" spans="3:11" x14ac:dyDescent="0.2">
      <c r="C1883" t="s">
        <v>142</v>
      </c>
      <c r="D1883" t="b">
        <f ca="1">IF(CELL("format",F1883)="G",IF(ABS(F1883-G1883) &lt;= ABS(F1883*B$3),TRUE,FALSE),IF(F1883=G1883,TRUE,FALSE))</f>
        <v>1</v>
      </c>
      <c r="E1883" s="5" t="e">
        <f>ABS(F1883-G1883)/ABS(F1883)</f>
        <v>#DIV/0!</v>
      </c>
      <c r="F1883">
        <v>0</v>
      </c>
      <c r="G1883">
        <v>0</v>
      </c>
      <c r="H1883">
        <v>0</v>
      </c>
      <c r="J1883" s="5" t="e">
        <f>ABS(F1883-G1883)/ABS(F1883)</f>
        <v>#DIV/0!</v>
      </c>
      <c r="K1883" s="5" t="e">
        <f>ABS(G1883-H1883)/ABS(G1883)</f>
        <v>#DIV/0!</v>
      </c>
    </row>
    <row r="1884" spans="3:11" x14ac:dyDescent="0.2">
      <c r="C1884" t="s">
        <v>141</v>
      </c>
      <c r="D1884" t="b">
        <f ca="1">IF(CELL("format",F1884)="G",IF(ABS(F1884-G1884) &lt;= ABS(F1884*B$3),TRUE,FALSE),IF(F1884=G1884,TRUE,FALSE))</f>
        <v>1</v>
      </c>
      <c r="E1884" s="5" t="e">
        <f>ABS(F1884-G1884)/ABS(F1884)</f>
        <v>#DIV/0!</v>
      </c>
      <c r="F1884">
        <v>0</v>
      </c>
      <c r="G1884">
        <v>0</v>
      </c>
      <c r="H1884">
        <v>0</v>
      </c>
      <c r="J1884" s="5" t="e">
        <f>ABS(F1884-G1884)/ABS(F1884)</f>
        <v>#DIV/0!</v>
      </c>
      <c r="K1884" s="5" t="e">
        <f>ABS(G1884-H1884)/ABS(G1884)</f>
        <v>#DIV/0!</v>
      </c>
    </row>
    <row r="1885" spans="3:11" x14ac:dyDescent="0.2">
      <c r="C1885" t="s">
        <v>140</v>
      </c>
      <c r="D1885" t="b">
        <f ca="1">IF(CELL("format",F1885)="G",IF(ABS(F1885-G1885) &lt;= ABS(F1885*B$3),TRUE,FALSE),IF(F1885=G1885,TRUE,FALSE))</f>
        <v>1</v>
      </c>
      <c r="E1885" s="5" t="e">
        <f>ABS(F1885-G1885)/ABS(F1885)</f>
        <v>#DIV/0!</v>
      </c>
      <c r="F1885">
        <v>0</v>
      </c>
      <c r="G1885">
        <v>0</v>
      </c>
      <c r="H1885">
        <v>0</v>
      </c>
      <c r="J1885" s="5" t="e">
        <f>ABS(F1885-G1885)/ABS(F1885)</f>
        <v>#DIV/0!</v>
      </c>
      <c r="K1885" s="5" t="e">
        <f>ABS(G1885-H1885)/ABS(G1885)</f>
        <v>#DIV/0!</v>
      </c>
    </row>
    <row r="1886" spans="3:11" x14ac:dyDescent="0.2">
      <c r="C1886" t="s">
        <v>139</v>
      </c>
      <c r="D1886" t="b">
        <f ca="1">IF(CELL("format",F1886)="G",IF(ABS(F1886-G1886) &lt;= ABS(F1886*B$3),TRUE,FALSE),IF(F1886=G1886,TRUE,FALSE))</f>
        <v>1</v>
      </c>
      <c r="E1886" s="5" t="e">
        <f>ABS(F1886-G1886)/ABS(F1886)</f>
        <v>#DIV/0!</v>
      </c>
      <c r="F1886">
        <v>0</v>
      </c>
      <c r="G1886">
        <v>0</v>
      </c>
      <c r="H1886">
        <v>0</v>
      </c>
      <c r="J1886" s="5" t="e">
        <f>ABS(F1886-G1886)/ABS(F1886)</f>
        <v>#DIV/0!</v>
      </c>
      <c r="K1886" s="5" t="e">
        <f>ABS(G1886-H1886)/ABS(G1886)</f>
        <v>#DIV/0!</v>
      </c>
    </row>
    <row r="1887" spans="3:11" x14ac:dyDescent="0.2">
      <c r="C1887" t="s">
        <v>138</v>
      </c>
      <c r="D1887" t="b">
        <f ca="1">IF(CELL("format",F1887)="G",IF(ABS(F1887-G1887) &lt;= ABS(F1887*B$3),TRUE,FALSE),IF(F1887=G1887,TRUE,FALSE))</f>
        <v>1</v>
      </c>
      <c r="E1887" s="5" t="e">
        <f>ABS(F1887-G1887)/ABS(F1887)</f>
        <v>#DIV/0!</v>
      </c>
      <c r="F1887">
        <v>0</v>
      </c>
      <c r="G1887">
        <v>0</v>
      </c>
      <c r="H1887">
        <v>0</v>
      </c>
      <c r="J1887" s="5" t="e">
        <f>ABS(F1887-G1887)/ABS(F1887)</f>
        <v>#DIV/0!</v>
      </c>
      <c r="K1887" s="5" t="e">
        <f>ABS(G1887-H1887)/ABS(G1887)</f>
        <v>#DIV/0!</v>
      </c>
    </row>
    <row r="1888" spans="3:11" x14ac:dyDescent="0.2">
      <c r="C1888" t="s">
        <v>137</v>
      </c>
      <c r="D1888" t="b">
        <f ca="1">IF(CELL("format",F1888)="G",IF(ABS(F1888-G1888) &lt;= ABS(F1888*B$3),TRUE,FALSE),IF(F1888=G1888,TRUE,FALSE))</f>
        <v>1</v>
      </c>
      <c r="E1888" s="5" t="e">
        <f>ABS(F1888-G1888)/ABS(F1888)</f>
        <v>#DIV/0!</v>
      </c>
      <c r="F1888">
        <v>0</v>
      </c>
      <c r="G1888">
        <v>0</v>
      </c>
      <c r="H1888">
        <v>0</v>
      </c>
      <c r="J1888" s="5" t="e">
        <f>ABS(F1888-G1888)/ABS(F1888)</f>
        <v>#DIV/0!</v>
      </c>
      <c r="K1888" s="5" t="e">
        <f>ABS(G1888-H1888)/ABS(G1888)</f>
        <v>#DIV/0!</v>
      </c>
    </row>
    <row r="1889" spans="3:11" x14ac:dyDescent="0.2">
      <c r="C1889" t="s">
        <v>136</v>
      </c>
      <c r="D1889" t="b">
        <f ca="1">IF(CELL("format",F1889)="G",IF(ABS(F1889-G1889) &lt;= ABS(F1889*B$3),TRUE,FALSE),IF(F1889=G1889,TRUE,FALSE))</f>
        <v>1</v>
      </c>
      <c r="E1889" s="5" t="e">
        <f>ABS(F1889-G1889)/ABS(F1889)</f>
        <v>#DIV/0!</v>
      </c>
      <c r="F1889">
        <v>0</v>
      </c>
      <c r="G1889">
        <v>0</v>
      </c>
      <c r="H1889">
        <v>0</v>
      </c>
      <c r="J1889" s="5" t="e">
        <f>ABS(F1889-G1889)/ABS(F1889)</f>
        <v>#DIV/0!</v>
      </c>
      <c r="K1889" s="5" t="e">
        <f>ABS(G1889-H1889)/ABS(G1889)</f>
        <v>#DIV/0!</v>
      </c>
    </row>
    <row r="1890" spans="3:11" x14ac:dyDescent="0.2">
      <c r="C1890" t="s">
        <v>135</v>
      </c>
      <c r="D1890" t="b">
        <f ca="1">IF(CELL("format",F1890)="G",IF(ABS(F1890-G1890) &lt;= ABS(F1890*B$3),TRUE,FALSE),IF(F1890=G1890,TRUE,FALSE))</f>
        <v>1</v>
      </c>
      <c r="E1890" s="5" t="e">
        <f>ABS(F1890-G1890)/ABS(F1890)</f>
        <v>#DIV/0!</v>
      </c>
      <c r="F1890">
        <v>0</v>
      </c>
      <c r="G1890">
        <v>0</v>
      </c>
      <c r="H1890">
        <v>0</v>
      </c>
      <c r="J1890" s="5" t="e">
        <f>ABS(F1890-G1890)/ABS(F1890)</f>
        <v>#DIV/0!</v>
      </c>
      <c r="K1890" s="5" t="e">
        <f>ABS(G1890-H1890)/ABS(G1890)</f>
        <v>#DIV/0!</v>
      </c>
    </row>
    <row r="1891" spans="3:11" x14ac:dyDescent="0.2">
      <c r="C1891" t="s">
        <v>134</v>
      </c>
      <c r="D1891" t="b">
        <f ca="1">IF(CELL("format",F1891)="G",IF(ABS(F1891-G1891) &lt;= ABS(F1891*B$3),TRUE,FALSE),IF(F1891=G1891,TRUE,FALSE))</f>
        <v>1</v>
      </c>
      <c r="E1891" s="5" t="e">
        <f>ABS(F1891-G1891)/ABS(F1891)</f>
        <v>#DIV/0!</v>
      </c>
      <c r="F1891">
        <v>0</v>
      </c>
      <c r="G1891">
        <v>0</v>
      </c>
      <c r="H1891">
        <v>0</v>
      </c>
      <c r="J1891" s="5" t="e">
        <f>ABS(F1891-G1891)/ABS(F1891)</f>
        <v>#DIV/0!</v>
      </c>
      <c r="K1891" s="5" t="e">
        <f>ABS(G1891-H1891)/ABS(G1891)</f>
        <v>#DIV/0!</v>
      </c>
    </row>
    <row r="1892" spans="3:11" x14ac:dyDescent="0.2">
      <c r="C1892" t="s">
        <v>133</v>
      </c>
      <c r="D1892" t="b">
        <f ca="1">IF(CELL("format",F1892)="G",IF(ABS(F1892-G1892) &lt;= ABS(F1892*B$3),TRUE,FALSE),IF(F1892=G1892,TRUE,FALSE))</f>
        <v>1</v>
      </c>
      <c r="E1892" s="5" t="e">
        <f>ABS(F1892-G1892)/ABS(F1892)</f>
        <v>#DIV/0!</v>
      </c>
      <c r="F1892">
        <v>0</v>
      </c>
      <c r="G1892">
        <v>0</v>
      </c>
      <c r="H1892">
        <v>0</v>
      </c>
      <c r="J1892" s="5" t="e">
        <f>ABS(F1892-G1892)/ABS(F1892)</f>
        <v>#DIV/0!</v>
      </c>
      <c r="K1892" s="5" t="e">
        <f>ABS(G1892-H1892)/ABS(G1892)</f>
        <v>#DIV/0!</v>
      </c>
    </row>
    <row r="1893" spans="3:11" x14ac:dyDescent="0.2">
      <c r="C1893" t="s">
        <v>132</v>
      </c>
      <c r="D1893" t="b">
        <f ca="1">IF(CELL("format",F1893)="G",IF(ABS(F1893-G1893) &lt;= ABS(F1893*B$3),TRUE,FALSE),IF(F1893=G1893,TRUE,FALSE))</f>
        <v>1</v>
      </c>
      <c r="E1893" s="5" t="e">
        <f>ABS(F1893-G1893)/ABS(F1893)</f>
        <v>#DIV/0!</v>
      </c>
      <c r="F1893">
        <v>0</v>
      </c>
      <c r="G1893">
        <v>0</v>
      </c>
      <c r="H1893">
        <v>0</v>
      </c>
      <c r="J1893" s="5" t="e">
        <f>ABS(F1893-G1893)/ABS(F1893)</f>
        <v>#DIV/0!</v>
      </c>
      <c r="K1893" s="5" t="e">
        <f>ABS(G1893-H1893)/ABS(G1893)</f>
        <v>#DIV/0!</v>
      </c>
    </row>
    <row r="1894" spans="3:11" x14ac:dyDescent="0.2">
      <c r="C1894" t="s">
        <v>131</v>
      </c>
      <c r="D1894" t="b">
        <f ca="1">IF(CELL("format",F1894)="G",IF(ABS(F1894-G1894) &lt;= ABS(F1894*B$3),TRUE,FALSE),IF(F1894=G1894,TRUE,FALSE))</f>
        <v>1</v>
      </c>
      <c r="E1894" s="5" t="e">
        <f>ABS(F1894-G1894)/ABS(F1894)</f>
        <v>#DIV/0!</v>
      </c>
      <c r="F1894">
        <v>0</v>
      </c>
      <c r="G1894">
        <v>0</v>
      </c>
      <c r="H1894">
        <v>0</v>
      </c>
      <c r="J1894" s="5" t="e">
        <f>ABS(F1894-G1894)/ABS(F1894)</f>
        <v>#DIV/0!</v>
      </c>
      <c r="K1894" s="5" t="e">
        <f>ABS(G1894-H1894)/ABS(G1894)</f>
        <v>#DIV/0!</v>
      </c>
    </row>
    <row r="1895" spans="3:11" x14ac:dyDescent="0.2">
      <c r="C1895" t="s">
        <v>130</v>
      </c>
      <c r="D1895" t="b">
        <f ca="1">IF(CELL("format",F1895)="G",IF(ABS(F1895-G1895) &lt;= ABS(F1895*B$3),TRUE,FALSE),IF(F1895=G1895,TRUE,FALSE))</f>
        <v>1</v>
      </c>
      <c r="E1895" s="5" t="e">
        <f>ABS(F1895-G1895)/ABS(F1895)</f>
        <v>#DIV/0!</v>
      </c>
      <c r="F1895">
        <v>0</v>
      </c>
      <c r="G1895">
        <v>0</v>
      </c>
      <c r="H1895">
        <v>0</v>
      </c>
      <c r="J1895" s="5" t="e">
        <f>ABS(F1895-G1895)/ABS(F1895)</f>
        <v>#DIV/0!</v>
      </c>
      <c r="K1895" s="5" t="e">
        <f>ABS(G1895-H1895)/ABS(G1895)</f>
        <v>#DIV/0!</v>
      </c>
    </row>
    <row r="1896" spans="3:11" x14ac:dyDescent="0.2">
      <c r="C1896" t="s">
        <v>129</v>
      </c>
      <c r="D1896" t="b">
        <f ca="1">IF(CELL("format",F1896)="G",IF(ABS(F1896-G1896) &lt;= ABS(F1896*B$3),TRUE,FALSE),IF(F1896=G1896,TRUE,FALSE))</f>
        <v>1</v>
      </c>
      <c r="E1896" s="5" t="e">
        <f>ABS(F1896-G1896)/ABS(F1896)</f>
        <v>#DIV/0!</v>
      </c>
      <c r="F1896">
        <v>0</v>
      </c>
      <c r="G1896">
        <v>0</v>
      </c>
      <c r="H1896">
        <v>0</v>
      </c>
      <c r="J1896" s="5" t="e">
        <f>ABS(F1896-G1896)/ABS(F1896)</f>
        <v>#DIV/0!</v>
      </c>
      <c r="K1896" s="5" t="e">
        <f>ABS(G1896-H1896)/ABS(G1896)</f>
        <v>#DIV/0!</v>
      </c>
    </row>
    <row r="1897" spans="3:11" x14ac:dyDescent="0.2">
      <c r="C1897" t="s">
        <v>128</v>
      </c>
      <c r="D1897" t="b">
        <f ca="1">IF(CELL("format",F1897)="G",IF(ABS(F1897-G1897) &lt;= ABS(F1897*B$3),TRUE,FALSE),IF(F1897=G1897,TRUE,FALSE))</f>
        <v>1</v>
      </c>
      <c r="E1897" s="5">
        <f>ABS(F1897-G1897)/ABS(F1897)</f>
        <v>0</v>
      </c>
      <c r="F1897">
        <v>4</v>
      </c>
      <c r="G1897">
        <v>4</v>
      </c>
      <c r="H1897">
        <v>4</v>
      </c>
      <c r="J1897" s="5">
        <f>ABS(F1897-G1897)/ABS(F1897)</f>
        <v>0</v>
      </c>
      <c r="K1897" s="5">
        <f>ABS(G1897-H1897)/ABS(G1897)</f>
        <v>0</v>
      </c>
    </row>
    <row r="1898" spans="3:11" x14ac:dyDescent="0.2">
      <c r="C1898" t="s">
        <v>127</v>
      </c>
      <c r="D1898" t="b">
        <f ca="1">IF(CELL("format",F1898)="G",IF(ABS(F1898-G1898) &lt;= ABS(F1898*B$3),TRUE,FALSE),IF(F1898=G1898,TRUE,FALSE))</f>
        <v>1</v>
      </c>
      <c r="E1898" s="5">
        <f>ABS(F1898-G1898)/ABS(F1898)</f>
        <v>0</v>
      </c>
      <c r="F1898">
        <v>4</v>
      </c>
      <c r="G1898">
        <v>4</v>
      </c>
      <c r="H1898">
        <v>4</v>
      </c>
      <c r="J1898" s="5">
        <f>ABS(F1898-G1898)/ABS(F1898)</f>
        <v>0</v>
      </c>
      <c r="K1898" s="5">
        <f>ABS(G1898-H1898)/ABS(G1898)</f>
        <v>0</v>
      </c>
    </row>
    <row r="1899" spans="3:11" x14ac:dyDescent="0.2">
      <c r="C1899" t="s">
        <v>126</v>
      </c>
      <c r="D1899" t="b">
        <f ca="1">IF(CELL("format",F1899)="G",IF(ABS(F1899-G1899) &lt;= ABS(F1899*B$3),TRUE,FALSE),IF(F1899=G1899,TRUE,FALSE))</f>
        <v>1</v>
      </c>
      <c r="E1899" s="5">
        <f>ABS(F1899-G1899)/ABS(F1899)</f>
        <v>0</v>
      </c>
      <c r="F1899">
        <v>20</v>
      </c>
      <c r="G1899">
        <v>20</v>
      </c>
      <c r="H1899">
        <v>20</v>
      </c>
      <c r="J1899" s="5">
        <f>ABS(F1899-G1899)/ABS(F1899)</f>
        <v>0</v>
      </c>
      <c r="K1899" s="5">
        <f>ABS(G1899-H1899)/ABS(G1899)</f>
        <v>0</v>
      </c>
    </row>
    <row r="1900" spans="3:11" x14ac:dyDescent="0.2">
      <c r="C1900" t="s">
        <v>125</v>
      </c>
      <c r="D1900" t="b">
        <f ca="1">IF(CELL("format",F1900)="G",IF(ABS(F1900-G1900) &lt;= ABS(F1900*B$3),TRUE,FALSE),IF(F1900=G1900,TRUE,FALSE))</f>
        <v>1</v>
      </c>
      <c r="E1900" s="5">
        <f>ABS(F1900-G1900)/ABS(F1900)</f>
        <v>0</v>
      </c>
      <c r="F1900">
        <v>21</v>
      </c>
      <c r="G1900">
        <v>21</v>
      </c>
      <c r="H1900">
        <v>21</v>
      </c>
      <c r="J1900" s="5">
        <f>ABS(F1900-G1900)/ABS(F1900)</f>
        <v>0</v>
      </c>
      <c r="K1900" s="5">
        <f>ABS(G1900-H1900)/ABS(G1900)</f>
        <v>0</v>
      </c>
    </row>
    <row r="1901" spans="3:11" x14ac:dyDescent="0.2">
      <c r="C1901" t="s">
        <v>124</v>
      </c>
      <c r="D1901" t="b">
        <f ca="1">IF(CELL("format",F1901)="G",IF(ABS(F1901-G1901) &lt;= ABS(F1901*B$3),TRUE,FALSE),IF(F1901=G1901,TRUE,FALSE))</f>
        <v>1</v>
      </c>
      <c r="E1901" s="5">
        <f>ABS(F1901-G1901)/ABS(F1901)</f>
        <v>0</v>
      </c>
      <c r="F1901">
        <v>39</v>
      </c>
      <c r="G1901">
        <v>39</v>
      </c>
      <c r="H1901">
        <v>39</v>
      </c>
      <c r="J1901" s="5">
        <f>ABS(F1901-G1901)/ABS(F1901)</f>
        <v>0</v>
      </c>
      <c r="K1901" s="5">
        <f>ABS(G1901-H1901)/ABS(G1901)</f>
        <v>0</v>
      </c>
    </row>
    <row r="1902" spans="3:11" x14ac:dyDescent="0.2">
      <c r="C1902" t="s">
        <v>123</v>
      </c>
      <c r="D1902" t="b">
        <f ca="1">IF(CELL("format",F1902)="G",IF(ABS(F1902-G1902) &lt;= ABS(F1902*B$3),TRUE,FALSE),IF(F1902=G1902,TRUE,FALSE))</f>
        <v>1</v>
      </c>
      <c r="E1902" s="5">
        <f>ABS(F1902-G1902)/ABS(F1902)</f>
        <v>0</v>
      </c>
      <c r="F1902">
        <v>51</v>
      </c>
      <c r="G1902">
        <v>51</v>
      </c>
      <c r="H1902">
        <v>51</v>
      </c>
      <c r="J1902" s="5">
        <f>ABS(F1902-G1902)/ABS(F1902)</f>
        <v>0</v>
      </c>
      <c r="K1902" s="5">
        <f>ABS(G1902-H1902)/ABS(G1902)</f>
        <v>0</v>
      </c>
    </row>
    <row r="1903" spans="3:11" x14ac:dyDescent="0.2">
      <c r="C1903" t="s">
        <v>122</v>
      </c>
      <c r="D1903" t="b">
        <f ca="1">IF(CELL("format",F1903)="G",IF(ABS(F1903-G1903) &lt;= ABS(F1903*B$3),TRUE,FALSE),IF(F1903=G1903,TRUE,FALSE))</f>
        <v>1</v>
      </c>
      <c r="E1903" s="5">
        <f>ABS(F1903-G1903)/ABS(F1903)</f>
        <v>0</v>
      </c>
      <c r="F1903">
        <v>63</v>
      </c>
      <c r="G1903">
        <v>63</v>
      </c>
      <c r="H1903">
        <v>63</v>
      </c>
      <c r="J1903" s="5">
        <f>ABS(F1903-G1903)/ABS(F1903)</f>
        <v>0</v>
      </c>
      <c r="K1903" s="5">
        <f>ABS(G1903-H1903)/ABS(G1903)</f>
        <v>0</v>
      </c>
    </row>
    <row r="1904" spans="3:11" x14ac:dyDescent="0.2">
      <c r="C1904" t="s">
        <v>121</v>
      </c>
      <c r="D1904" t="b">
        <f ca="1">IF(CELL("format",F1904)="G",IF(ABS(F1904-G1904) &lt;= ABS(F1904*B$3),TRUE,FALSE),IF(F1904=G1904,TRUE,FALSE))</f>
        <v>1</v>
      </c>
      <c r="E1904" s="5">
        <f>ABS(F1904-G1904)/ABS(F1904)</f>
        <v>0</v>
      </c>
      <c r="F1904">
        <v>70</v>
      </c>
      <c r="G1904">
        <v>70</v>
      </c>
      <c r="H1904">
        <v>70</v>
      </c>
      <c r="J1904" s="5">
        <f>ABS(F1904-G1904)/ABS(F1904)</f>
        <v>0</v>
      </c>
      <c r="K1904" s="5">
        <f>ABS(G1904-H1904)/ABS(G1904)</f>
        <v>0</v>
      </c>
    </row>
    <row r="1905" spans="3:11" x14ac:dyDescent="0.2">
      <c r="C1905" t="s">
        <v>120</v>
      </c>
      <c r="D1905" t="b">
        <f ca="1">IF(CELL("format",F1905)="G",IF(ABS(F1905-G1905) &lt;= ABS(F1905*B$3),TRUE,FALSE),IF(F1905=G1905,TRUE,FALSE))</f>
        <v>1</v>
      </c>
      <c r="E1905" s="5">
        <f>ABS(F1905-G1905)/ABS(F1905)</f>
        <v>0</v>
      </c>
      <c r="F1905">
        <v>83</v>
      </c>
      <c r="G1905">
        <v>83</v>
      </c>
      <c r="H1905">
        <v>83</v>
      </c>
      <c r="J1905" s="5">
        <f>ABS(F1905-G1905)/ABS(F1905)</f>
        <v>0</v>
      </c>
      <c r="K1905" s="5">
        <f>ABS(G1905-H1905)/ABS(G1905)</f>
        <v>0</v>
      </c>
    </row>
    <row r="1906" spans="3:11" x14ac:dyDescent="0.2">
      <c r="C1906" t="s">
        <v>119</v>
      </c>
      <c r="D1906" t="b">
        <f ca="1">IF(CELL("format",F1906)="G",IF(ABS(F1906-G1906) &lt;= ABS(F1906*B$3),TRUE,FALSE),IF(F1906=G1906,TRUE,FALSE))</f>
        <v>1</v>
      </c>
      <c r="E1906" s="5">
        <f>ABS(F1906-G1906)/ABS(F1906)</f>
        <v>0</v>
      </c>
      <c r="F1906">
        <v>126</v>
      </c>
      <c r="G1906">
        <v>126</v>
      </c>
      <c r="H1906">
        <v>126</v>
      </c>
      <c r="J1906" s="5">
        <f>ABS(F1906-G1906)/ABS(F1906)</f>
        <v>0</v>
      </c>
      <c r="K1906" s="5">
        <f>ABS(G1906-H1906)/ABS(G1906)</f>
        <v>0</v>
      </c>
    </row>
    <row r="1907" spans="3:11" x14ac:dyDescent="0.2">
      <c r="C1907" t="s">
        <v>118</v>
      </c>
      <c r="D1907" t="b">
        <f ca="1">IF(CELL("format",F1907)="G",IF(ABS(F1907-G1907) &lt;= ABS(F1907*B$3),TRUE,FALSE),IF(F1907=G1907,TRUE,FALSE))</f>
        <v>1</v>
      </c>
      <c r="E1907" s="5">
        <f>ABS(F1907-G1907)/ABS(F1907)</f>
        <v>0</v>
      </c>
      <c r="F1907">
        <v>166</v>
      </c>
      <c r="G1907">
        <v>166</v>
      </c>
      <c r="H1907">
        <v>166</v>
      </c>
      <c r="J1907" s="5">
        <f>ABS(F1907-G1907)/ABS(F1907)</f>
        <v>0</v>
      </c>
      <c r="K1907" s="5">
        <f>ABS(G1907-H1907)/ABS(G1907)</f>
        <v>0</v>
      </c>
    </row>
    <row r="1908" spans="3:11" x14ac:dyDescent="0.2">
      <c r="C1908" t="s">
        <v>117</v>
      </c>
      <c r="D1908" t="b">
        <f ca="1">IF(CELL("format",F1908)="G",IF(ABS(F1908-G1908) &lt;= ABS(F1908*B$3),TRUE,FALSE),IF(F1908=G1908,TRUE,FALSE))</f>
        <v>1</v>
      </c>
      <c r="E1908" s="5">
        <f>ABS(F1908-G1908)/ABS(F1908)</f>
        <v>0</v>
      </c>
      <c r="F1908">
        <v>216</v>
      </c>
      <c r="G1908">
        <v>216</v>
      </c>
      <c r="H1908">
        <v>216</v>
      </c>
      <c r="J1908" s="5">
        <f>ABS(F1908-G1908)/ABS(F1908)</f>
        <v>0</v>
      </c>
      <c r="K1908" s="5">
        <f>ABS(G1908-H1908)/ABS(G1908)</f>
        <v>0</v>
      </c>
    </row>
    <row r="1909" spans="3:11" x14ac:dyDescent="0.2">
      <c r="C1909" t="s">
        <v>116</v>
      </c>
      <c r="D1909" t="b">
        <f ca="1">IF(CELL("format",F1909)="G",IF(ABS(F1909-G1909) &lt;= ABS(F1909*B$3),TRUE,FALSE),IF(F1909=G1909,TRUE,FALSE))</f>
        <v>1</v>
      </c>
      <c r="E1909" s="5">
        <f>ABS(F1909-G1909)/ABS(F1909)</f>
        <v>0</v>
      </c>
      <c r="F1909">
        <v>187</v>
      </c>
      <c r="G1909">
        <v>187</v>
      </c>
      <c r="H1909">
        <v>187</v>
      </c>
      <c r="J1909" s="5">
        <f>ABS(F1909-G1909)/ABS(F1909)</f>
        <v>0</v>
      </c>
      <c r="K1909" s="5">
        <f>ABS(G1909-H1909)/ABS(G1909)</f>
        <v>0</v>
      </c>
    </row>
    <row r="1910" spans="3:11" x14ac:dyDescent="0.2">
      <c r="C1910" t="s">
        <v>115</v>
      </c>
      <c r="D1910" t="b">
        <f ca="1">IF(CELL("format",F1910)="G",IF(ABS(F1910-G1910) &lt;= ABS(F1910*B$3),TRUE,FALSE),IF(F1910=G1910,TRUE,FALSE))</f>
        <v>1</v>
      </c>
      <c r="E1910" s="5">
        <f>ABS(F1910-G1910)/ABS(F1910)</f>
        <v>0</v>
      </c>
      <c r="F1910">
        <v>196</v>
      </c>
      <c r="G1910">
        <v>196</v>
      </c>
      <c r="H1910">
        <v>196</v>
      </c>
      <c r="J1910" s="5">
        <f>ABS(F1910-G1910)/ABS(F1910)</f>
        <v>0</v>
      </c>
      <c r="K1910" s="5">
        <f>ABS(G1910-H1910)/ABS(G1910)</f>
        <v>0</v>
      </c>
    </row>
    <row r="1911" spans="3:11" x14ac:dyDescent="0.2">
      <c r="C1911" t="s">
        <v>114</v>
      </c>
      <c r="D1911" t="b">
        <f ca="1">IF(CELL("format",F1911)="G",IF(ABS(F1911-G1911) &lt;= ABS(F1911*B$3),TRUE,FALSE),IF(F1911=G1911,TRUE,FALSE))</f>
        <v>1</v>
      </c>
      <c r="E1911" s="5">
        <f>ABS(F1911-G1911)/ABS(F1911)</f>
        <v>0</v>
      </c>
      <c r="F1911">
        <v>251</v>
      </c>
      <c r="G1911">
        <v>251</v>
      </c>
      <c r="H1911">
        <v>251</v>
      </c>
      <c r="J1911" s="5">
        <f>ABS(F1911-G1911)/ABS(F1911)</f>
        <v>0</v>
      </c>
      <c r="K1911" s="5">
        <f>ABS(G1911-H1911)/ABS(G1911)</f>
        <v>0</v>
      </c>
    </row>
    <row r="1912" spans="3:11" x14ac:dyDescent="0.2">
      <c r="C1912" t="s">
        <v>113</v>
      </c>
      <c r="D1912" t="b">
        <f ca="1">IF(CELL("format",F1912)="G",IF(ABS(F1912-G1912) &lt;= ABS(F1912*B$3),TRUE,FALSE),IF(F1912=G1912,TRUE,FALSE))</f>
        <v>1</v>
      </c>
      <c r="E1912" s="5">
        <f>ABS(F1912-G1912)/ABS(F1912)</f>
        <v>0</v>
      </c>
      <c r="F1912">
        <v>271</v>
      </c>
      <c r="G1912">
        <v>271</v>
      </c>
      <c r="H1912">
        <v>271</v>
      </c>
      <c r="J1912" s="5">
        <f>ABS(F1912-G1912)/ABS(F1912)</f>
        <v>0</v>
      </c>
      <c r="K1912" s="5">
        <f>ABS(G1912-H1912)/ABS(G1912)</f>
        <v>0</v>
      </c>
    </row>
    <row r="1913" spans="3:11" x14ac:dyDescent="0.2">
      <c r="C1913" t="s">
        <v>112</v>
      </c>
      <c r="D1913" t="b">
        <f ca="1">IF(CELL("format",F1913)="G",IF(ABS(F1913-G1913) &lt;= ABS(F1913*B$3),TRUE,FALSE),IF(F1913=G1913,TRUE,FALSE))</f>
        <v>1</v>
      </c>
      <c r="E1913" s="5">
        <f>ABS(F1913-G1913)/ABS(F1913)</f>
        <v>0</v>
      </c>
      <c r="F1913">
        <v>236</v>
      </c>
      <c r="G1913">
        <v>236</v>
      </c>
      <c r="H1913">
        <v>236</v>
      </c>
      <c r="J1913" s="5">
        <f>ABS(F1913-G1913)/ABS(F1913)</f>
        <v>0</v>
      </c>
      <c r="K1913" s="5">
        <f>ABS(G1913-H1913)/ABS(G1913)</f>
        <v>0</v>
      </c>
    </row>
    <row r="1914" spans="3:11" x14ac:dyDescent="0.2">
      <c r="C1914" t="s">
        <v>111</v>
      </c>
      <c r="D1914" t="b">
        <f ca="1">IF(CELL("format",F1914)="G",IF(ABS(F1914-G1914) &lt;= ABS(F1914*B$3),TRUE,FALSE),IF(F1914=G1914,TRUE,FALSE))</f>
        <v>1</v>
      </c>
      <c r="E1914" s="5">
        <f>ABS(F1914-G1914)/ABS(F1914)</f>
        <v>0</v>
      </c>
      <c r="F1914">
        <v>317</v>
      </c>
      <c r="G1914">
        <v>317</v>
      </c>
      <c r="H1914">
        <v>317</v>
      </c>
      <c r="J1914" s="5">
        <f>ABS(F1914-G1914)/ABS(F1914)</f>
        <v>0</v>
      </c>
      <c r="K1914" s="5">
        <f>ABS(G1914-H1914)/ABS(G1914)</f>
        <v>0</v>
      </c>
    </row>
    <row r="1915" spans="3:11" x14ac:dyDescent="0.2">
      <c r="C1915" t="s">
        <v>110</v>
      </c>
      <c r="D1915" t="b">
        <f ca="1">IF(CELL("format",F1915)="G",IF(ABS(F1915-G1915) &lt;= ABS(F1915*B$3),TRUE,FALSE),IF(F1915=G1915,TRUE,FALSE))</f>
        <v>1</v>
      </c>
      <c r="E1915" s="5">
        <f>ABS(F1915-G1915)/ABS(F1915)</f>
        <v>0</v>
      </c>
      <c r="F1915">
        <v>318</v>
      </c>
      <c r="G1915">
        <v>318</v>
      </c>
      <c r="H1915">
        <v>318</v>
      </c>
      <c r="J1915" s="5">
        <f>ABS(F1915-G1915)/ABS(F1915)</f>
        <v>0</v>
      </c>
      <c r="K1915" s="5">
        <f>ABS(G1915-H1915)/ABS(G1915)</f>
        <v>0</v>
      </c>
    </row>
    <row r="1916" spans="3:11" x14ac:dyDescent="0.2">
      <c r="C1916" t="s">
        <v>109</v>
      </c>
      <c r="D1916" t="b">
        <f ca="1">IF(CELL("format",F1916)="G",IF(ABS(F1916-G1916) &lt;= ABS(F1916*B$3),TRUE,FALSE),IF(F1916=G1916,TRUE,FALSE))</f>
        <v>1</v>
      </c>
      <c r="E1916" s="5">
        <f>ABS(F1916-G1916)/ABS(F1916)</f>
        <v>0</v>
      </c>
      <c r="F1916">
        <v>332</v>
      </c>
      <c r="G1916">
        <v>332</v>
      </c>
      <c r="H1916">
        <v>332</v>
      </c>
      <c r="J1916" s="5">
        <f>ABS(F1916-G1916)/ABS(F1916)</f>
        <v>0</v>
      </c>
      <c r="K1916" s="5">
        <f>ABS(G1916-H1916)/ABS(G1916)</f>
        <v>0</v>
      </c>
    </row>
    <row r="1917" spans="3:11" x14ac:dyDescent="0.2">
      <c r="C1917" t="s">
        <v>108</v>
      </c>
      <c r="D1917" t="b">
        <f ca="1">IF(CELL("format",F1917)="G",IF(ABS(F1917-G1917) &lt;= ABS(F1917*B$3),TRUE,FALSE),IF(F1917=G1917,TRUE,FALSE))</f>
        <v>1</v>
      </c>
      <c r="E1917" s="5">
        <f>ABS(F1917-G1917)/ABS(F1917)</f>
        <v>0</v>
      </c>
      <c r="F1917">
        <v>309</v>
      </c>
      <c r="G1917">
        <v>309</v>
      </c>
      <c r="H1917">
        <v>309</v>
      </c>
      <c r="J1917" s="5">
        <f>ABS(F1917-G1917)/ABS(F1917)</f>
        <v>0</v>
      </c>
      <c r="K1917" s="5">
        <f>ABS(G1917-H1917)/ABS(G1917)</f>
        <v>0</v>
      </c>
    </row>
    <row r="1918" spans="3:11" x14ac:dyDescent="0.2">
      <c r="C1918" t="s">
        <v>107</v>
      </c>
      <c r="D1918" t="b">
        <f ca="1">IF(CELL("format",F1918)="G",IF(ABS(F1918-G1918) &lt;= ABS(F1918*B$3),TRUE,FALSE),IF(F1918=G1918,TRUE,FALSE))</f>
        <v>1</v>
      </c>
      <c r="E1918" s="5">
        <f>ABS(F1918-G1918)/ABS(F1918)</f>
        <v>0</v>
      </c>
      <c r="F1918">
        <v>325</v>
      </c>
      <c r="G1918">
        <v>325</v>
      </c>
      <c r="H1918">
        <v>325</v>
      </c>
      <c r="J1918" s="5">
        <f>ABS(F1918-G1918)/ABS(F1918)</f>
        <v>0</v>
      </c>
      <c r="K1918" s="5">
        <f>ABS(G1918-H1918)/ABS(G1918)</f>
        <v>0</v>
      </c>
    </row>
    <row r="1919" spans="3:11" x14ac:dyDescent="0.2">
      <c r="C1919" t="s">
        <v>106</v>
      </c>
      <c r="D1919" t="b">
        <f ca="1">IF(CELL("format",F1919)="G",IF(ABS(F1919-G1919) &lt;= ABS(F1919*B$3),TRUE,FALSE),IF(F1919=G1919,TRUE,FALSE))</f>
        <v>1</v>
      </c>
      <c r="E1919" s="5">
        <f>ABS(F1919-G1919)/ABS(F1919)</f>
        <v>0</v>
      </c>
      <c r="F1919">
        <v>302</v>
      </c>
      <c r="G1919">
        <v>302</v>
      </c>
      <c r="H1919">
        <v>302</v>
      </c>
      <c r="J1919" s="5">
        <f>ABS(F1919-G1919)/ABS(F1919)</f>
        <v>0</v>
      </c>
      <c r="K1919" s="5">
        <f>ABS(G1919-H1919)/ABS(G1919)</f>
        <v>0</v>
      </c>
    </row>
    <row r="1920" spans="3:11" x14ac:dyDescent="0.2">
      <c r="C1920" t="s">
        <v>105</v>
      </c>
      <c r="D1920" t="b">
        <f ca="1">IF(CELL("format",F1920)="G",IF(ABS(F1920-G1920) &lt;= ABS(F1920*B$3),TRUE,FALSE),IF(F1920=G1920,TRUE,FALSE))</f>
        <v>1</v>
      </c>
      <c r="E1920" s="5">
        <f>ABS(F1920-G1920)/ABS(F1920)</f>
        <v>0</v>
      </c>
      <c r="F1920">
        <v>278</v>
      </c>
      <c r="G1920">
        <v>278</v>
      </c>
      <c r="H1920">
        <v>278</v>
      </c>
      <c r="J1920" s="5">
        <f>ABS(F1920-G1920)/ABS(F1920)</f>
        <v>0</v>
      </c>
      <c r="K1920" s="5">
        <f>ABS(G1920-H1920)/ABS(G1920)</f>
        <v>0</v>
      </c>
    </row>
    <row r="1921" spans="3:11" x14ac:dyDescent="0.2">
      <c r="C1921" t="s">
        <v>104</v>
      </c>
      <c r="D1921" t="b">
        <f ca="1">IF(CELL("format",F1921)="G",IF(ABS(F1921-G1921) &lt;= ABS(F1921*B$3),TRUE,FALSE),IF(F1921=G1921,TRUE,FALSE))</f>
        <v>1</v>
      </c>
      <c r="E1921" s="5">
        <f>ABS(F1921-G1921)/ABS(F1921)</f>
        <v>0</v>
      </c>
      <c r="F1921">
        <v>298</v>
      </c>
      <c r="G1921">
        <v>298</v>
      </c>
      <c r="H1921">
        <v>298</v>
      </c>
      <c r="J1921" s="5">
        <f>ABS(F1921-G1921)/ABS(F1921)</f>
        <v>0</v>
      </c>
      <c r="K1921" s="5">
        <f>ABS(G1921-H1921)/ABS(G1921)</f>
        <v>0</v>
      </c>
    </row>
    <row r="1922" spans="3:11" x14ac:dyDescent="0.2">
      <c r="C1922" t="s">
        <v>103</v>
      </c>
      <c r="D1922" t="b">
        <f ca="1">IF(CELL("format",F1922)="G",IF(ABS(F1922-G1922) &lt;= ABS(F1922*B$3),TRUE,FALSE),IF(F1922=G1922,TRUE,FALSE))</f>
        <v>1</v>
      </c>
      <c r="E1922" s="5">
        <f>ABS(F1922-G1922)/ABS(F1922)</f>
        <v>0</v>
      </c>
      <c r="F1922">
        <v>283</v>
      </c>
      <c r="G1922">
        <v>283</v>
      </c>
      <c r="H1922">
        <v>283</v>
      </c>
      <c r="J1922" s="5">
        <f>ABS(F1922-G1922)/ABS(F1922)</f>
        <v>0</v>
      </c>
      <c r="K1922" s="5">
        <f>ABS(G1922-H1922)/ABS(G1922)</f>
        <v>0</v>
      </c>
    </row>
    <row r="1923" spans="3:11" x14ac:dyDescent="0.2">
      <c r="C1923" t="s">
        <v>102</v>
      </c>
      <c r="D1923" t="b">
        <f ca="1">IF(CELL("format",F1923)="G",IF(ABS(F1923-G1923) &lt;= ABS(F1923*B$3),TRUE,FALSE),IF(F1923=G1923,TRUE,FALSE))</f>
        <v>1</v>
      </c>
      <c r="E1923" s="5">
        <f>ABS(F1923-G1923)/ABS(F1923)</f>
        <v>0</v>
      </c>
      <c r="F1923">
        <v>309</v>
      </c>
      <c r="G1923">
        <v>309</v>
      </c>
      <c r="H1923">
        <v>309</v>
      </c>
      <c r="J1923" s="5">
        <f>ABS(F1923-G1923)/ABS(F1923)</f>
        <v>0</v>
      </c>
      <c r="K1923" s="5">
        <f>ABS(G1923-H1923)/ABS(G1923)</f>
        <v>0</v>
      </c>
    </row>
    <row r="1924" spans="3:11" x14ac:dyDescent="0.2">
      <c r="C1924" t="s">
        <v>101</v>
      </c>
      <c r="D1924" t="b">
        <f ca="1">IF(CELL("format",F1924)="G",IF(ABS(F1924-G1924) &lt;= ABS(F1924*B$3),TRUE,FALSE),IF(F1924=G1924,TRUE,FALSE))</f>
        <v>1</v>
      </c>
      <c r="E1924" s="5">
        <f>ABS(F1924-G1924)/ABS(F1924)</f>
        <v>0</v>
      </c>
      <c r="F1924">
        <v>304</v>
      </c>
      <c r="G1924">
        <v>304</v>
      </c>
      <c r="H1924">
        <v>304</v>
      </c>
      <c r="J1924" s="5">
        <f>ABS(F1924-G1924)/ABS(F1924)</f>
        <v>0</v>
      </c>
      <c r="K1924" s="5">
        <f>ABS(G1924-H1924)/ABS(G1924)</f>
        <v>0</v>
      </c>
    </row>
    <row r="1925" spans="3:11" x14ac:dyDescent="0.2">
      <c r="C1925" t="s">
        <v>100</v>
      </c>
      <c r="D1925" t="b">
        <f ca="1">IF(CELL("format",F1925)="G",IF(ABS(F1925-G1925) &lt;= ABS(F1925*B$3),TRUE,FALSE),IF(F1925=G1925,TRUE,FALSE))</f>
        <v>1</v>
      </c>
      <c r="E1925" s="5">
        <f>ABS(F1925-G1925)/ABS(F1925)</f>
        <v>0</v>
      </c>
      <c r="F1925">
        <v>326</v>
      </c>
      <c r="G1925">
        <v>326</v>
      </c>
      <c r="H1925">
        <v>326</v>
      </c>
      <c r="J1925" s="5">
        <f>ABS(F1925-G1925)/ABS(F1925)</f>
        <v>0</v>
      </c>
      <c r="K1925" s="5">
        <f>ABS(G1925-H1925)/ABS(G1925)</f>
        <v>0</v>
      </c>
    </row>
    <row r="1926" spans="3:11" x14ac:dyDescent="0.2">
      <c r="C1926" t="s">
        <v>99</v>
      </c>
      <c r="D1926" t="b">
        <f ca="1">IF(CELL("format",F1926)="G",IF(ABS(F1926-G1926) &lt;= ABS(F1926*B$3),TRUE,FALSE),IF(F1926=G1926,TRUE,FALSE))</f>
        <v>1</v>
      </c>
      <c r="E1926" s="5">
        <f>ABS(F1926-G1926)/ABS(F1926)</f>
        <v>0</v>
      </c>
      <c r="F1926">
        <v>358</v>
      </c>
      <c r="G1926">
        <v>358</v>
      </c>
      <c r="H1926">
        <v>358</v>
      </c>
      <c r="J1926" s="5">
        <f>ABS(F1926-G1926)/ABS(F1926)</f>
        <v>0</v>
      </c>
      <c r="K1926" s="5">
        <f>ABS(G1926-H1926)/ABS(G1926)</f>
        <v>0</v>
      </c>
    </row>
    <row r="1927" spans="3:11" x14ac:dyDescent="0.2">
      <c r="C1927" t="s">
        <v>98</v>
      </c>
      <c r="D1927" t="b">
        <f ca="1">IF(CELL("format",F1927)="G",IF(ABS(F1927-G1927) &lt;= ABS(F1927*B$3),TRUE,FALSE),IF(F1927=G1927,TRUE,FALSE))</f>
        <v>1</v>
      </c>
      <c r="E1927" s="5">
        <f>ABS(F1927-G1927)/ABS(F1927)</f>
        <v>0</v>
      </c>
      <c r="F1927">
        <v>384</v>
      </c>
      <c r="G1927">
        <v>384</v>
      </c>
      <c r="H1927">
        <v>384</v>
      </c>
      <c r="J1927" s="5">
        <f>ABS(F1927-G1927)/ABS(F1927)</f>
        <v>0</v>
      </c>
      <c r="K1927" s="5">
        <f>ABS(G1927-H1927)/ABS(G1927)</f>
        <v>0</v>
      </c>
    </row>
    <row r="1928" spans="3:11" x14ac:dyDescent="0.2">
      <c r="C1928" t="s">
        <v>97</v>
      </c>
      <c r="D1928" t="b">
        <f ca="1">IF(CELL("format",F1928)="G",IF(ABS(F1928-G1928) &lt;= ABS(F1928*B$3),TRUE,FALSE),IF(F1928=G1928,TRUE,FALSE))</f>
        <v>1</v>
      </c>
      <c r="E1928" s="5">
        <f>ABS(F1928-G1928)/ABS(F1928)</f>
        <v>0</v>
      </c>
      <c r="F1928">
        <v>366</v>
      </c>
      <c r="G1928">
        <v>366</v>
      </c>
      <c r="H1928">
        <v>366</v>
      </c>
      <c r="J1928" s="5">
        <f>ABS(F1928-G1928)/ABS(F1928)</f>
        <v>0</v>
      </c>
      <c r="K1928" s="5">
        <f>ABS(G1928-H1928)/ABS(G1928)</f>
        <v>0</v>
      </c>
    </row>
    <row r="1929" spans="3:11" x14ac:dyDescent="0.2">
      <c r="C1929" t="s">
        <v>96</v>
      </c>
      <c r="D1929" t="b">
        <f ca="1">IF(CELL("format",F1929)="G",IF(ABS(F1929-G1929) &lt;= ABS(F1929*B$3),TRUE,FALSE),IF(F1929=G1929,TRUE,FALSE))</f>
        <v>1</v>
      </c>
      <c r="E1929" s="5">
        <f>ABS(F1929-G1929)/ABS(F1929)</f>
        <v>0</v>
      </c>
      <c r="F1929">
        <v>400</v>
      </c>
      <c r="G1929">
        <v>400</v>
      </c>
      <c r="H1929">
        <v>400</v>
      </c>
      <c r="J1929" s="5">
        <f>ABS(F1929-G1929)/ABS(F1929)</f>
        <v>0</v>
      </c>
      <c r="K1929" s="5">
        <f>ABS(G1929-H1929)/ABS(G1929)</f>
        <v>0</v>
      </c>
    </row>
    <row r="1930" spans="3:11" x14ac:dyDescent="0.2">
      <c r="C1930" t="s">
        <v>95</v>
      </c>
      <c r="D1930" t="b">
        <f ca="1">IF(CELL("format",F1930)="G",IF(ABS(F1930-G1930) &lt;= ABS(F1930*B$3),TRUE,FALSE),IF(F1930=G1930,TRUE,FALSE))</f>
        <v>1</v>
      </c>
      <c r="E1930" s="5">
        <f>ABS(F1930-G1930)/ABS(F1930)</f>
        <v>0</v>
      </c>
      <c r="F1930">
        <v>374</v>
      </c>
      <c r="G1930">
        <v>374</v>
      </c>
      <c r="H1930">
        <v>374</v>
      </c>
      <c r="J1930" s="5">
        <f>ABS(F1930-G1930)/ABS(F1930)</f>
        <v>0</v>
      </c>
      <c r="K1930" s="5">
        <f>ABS(G1930-H1930)/ABS(G1930)</f>
        <v>0</v>
      </c>
    </row>
    <row r="1931" spans="3:11" x14ac:dyDescent="0.2">
      <c r="C1931" t="s">
        <v>94</v>
      </c>
      <c r="D1931" t="b">
        <f ca="1">IF(CELL("format",F1931)="G",IF(ABS(F1931-G1931) &lt;= ABS(F1931*B$3),TRUE,FALSE),IF(F1931=G1931,TRUE,FALSE))</f>
        <v>1</v>
      </c>
      <c r="E1931" s="5">
        <f>ABS(F1931-G1931)/ABS(F1931)</f>
        <v>0</v>
      </c>
      <c r="F1931">
        <v>313</v>
      </c>
      <c r="G1931">
        <v>313</v>
      </c>
      <c r="H1931">
        <v>313</v>
      </c>
      <c r="J1931" s="5">
        <f>ABS(F1931-G1931)/ABS(F1931)</f>
        <v>0</v>
      </c>
      <c r="K1931" s="5">
        <f>ABS(G1931-H1931)/ABS(G1931)</f>
        <v>0</v>
      </c>
    </row>
    <row r="1932" spans="3:11" x14ac:dyDescent="0.2">
      <c r="C1932" t="s">
        <v>93</v>
      </c>
      <c r="D1932" t="b">
        <f ca="1">IF(CELL("format",F1932)="G",IF(ABS(F1932-G1932) &lt;= ABS(F1932*B$3),TRUE,FALSE),IF(F1932=G1932,TRUE,FALSE))</f>
        <v>1</v>
      </c>
      <c r="E1932" s="5">
        <f>ABS(F1932-G1932)/ABS(F1932)</f>
        <v>0</v>
      </c>
      <c r="F1932">
        <v>253</v>
      </c>
      <c r="G1932">
        <v>253</v>
      </c>
      <c r="H1932">
        <v>253</v>
      </c>
      <c r="J1932" s="5">
        <f>ABS(F1932-G1932)/ABS(F1932)</f>
        <v>0</v>
      </c>
      <c r="K1932" s="5">
        <f>ABS(G1932-H1932)/ABS(G1932)</f>
        <v>0</v>
      </c>
    </row>
    <row r="1933" spans="3:11" x14ac:dyDescent="0.2">
      <c r="C1933" t="s">
        <v>92</v>
      </c>
      <c r="D1933" t="b">
        <f ca="1">IF(CELL("format",F1933)="G",IF(ABS(F1933-G1933) &lt;= ABS(F1933*B$3),TRUE,FALSE),IF(F1933=G1933,TRUE,FALSE))</f>
        <v>1</v>
      </c>
      <c r="E1933" s="5">
        <f>ABS(F1933-G1933)/ABS(F1933)</f>
        <v>0</v>
      </c>
      <c r="F1933">
        <v>212</v>
      </c>
      <c r="G1933">
        <v>212</v>
      </c>
      <c r="H1933">
        <v>212</v>
      </c>
      <c r="J1933" s="5">
        <f>ABS(F1933-G1933)/ABS(F1933)</f>
        <v>0</v>
      </c>
      <c r="K1933" s="5">
        <f>ABS(G1933-H1933)/ABS(G1933)</f>
        <v>0</v>
      </c>
    </row>
    <row r="1934" spans="3:11" x14ac:dyDescent="0.2">
      <c r="C1934" t="s">
        <v>91</v>
      </c>
      <c r="D1934" t="b">
        <f ca="1">IF(CELL("format",F1934)="G",IF(ABS(F1934-G1934) &lt;= ABS(F1934*B$3),TRUE,FALSE),IF(F1934=G1934,TRUE,FALSE))</f>
        <v>1</v>
      </c>
      <c r="E1934" s="5">
        <f>ABS(F1934-G1934)/ABS(F1934)</f>
        <v>0</v>
      </c>
      <c r="F1934">
        <v>153</v>
      </c>
      <c r="G1934">
        <v>153</v>
      </c>
      <c r="H1934">
        <v>153</v>
      </c>
      <c r="J1934" s="5">
        <f>ABS(F1934-G1934)/ABS(F1934)</f>
        <v>0</v>
      </c>
      <c r="K1934" s="5">
        <f>ABS(G1934-H1934)/ABS(G1934)</f>
        <v>0</v>
      </c>
    </row>
    <row r="1935" spans="3:11" x14ac:dyDescent="0.2">
      <c r="C1935" t="s">
        <v>90</v>
      </c>
      <c r="D1935" t="b">
        <f ca="1">IF(CELL("format",F1935)="G",IF(ABS(F1935-G1935) &lt;= ABS(F1935*B$3),TRUE,FALSE),IF(F1935=G1935,TRUE,FALSE))</f>
        <v>1</v>
      </c>
      <c r="E1935" s="5">
        <f>ABS(F1935-G1935)/ABS(F1935)</f>
        <v>0</v>
      </c>
      <c r="F1935">
        <v>116</v>
      </c>
      <c r="G1935">
        <v>116</v>
      </c>
      <c r="H1935">
        <v>116</v>
      </c>
      <c r="J1935" s="5">
        <f>ABS(F1935-G1935)/ABS(F1935)</f>
        <v>0</v>
      </c>
      <c r="K1935" s="5">
        <f>ABS(G1935-H1935)/ABS(G1935)</f>
        <v>0</v>
      </c>
    </row>
    <row r="1936" spans="3:11" x14ac:dyDescent="0.2">
      <c r="C1936" t="s">
        <v>89</v>
      </c>
      <c r="D1936" t="b">
        <f ca="1">IF(CELL("format",F1936)="G",IF(ABS(F1936-G1936) &lt;= ABS(F1936*B$3),TRUE,FALSE),IF(F1936=G1936,TRUE,FALSE))</f>
        <v>1</v>
      </c>
      <c r="E1936" s="5">
        <f>ABS(F1936-G1936)/ABS(F1936)</f>
        <v>0</v>
      </c>
      <c r="F1936">
        <v>65</v>
      </c>
      <c r="G1936">
        <v>65</v>
      </c>
      <c r="H1936">
        <v>65</v>
      </c>
      <c r="J1936" s="5">
        <f>ABS(F1936-G1936)/ABS(F1936)</f>
        <v>0</v>
      </c>
      <c r="K1936" s="5">
        <f>ABS(G1936-H1936)/ABS(G1936)</f>
        <v>0</v>
      </c>
    </row>
    <row r="1937" spans="3:11" x14ac:dyDescent="0.2">
      <c r="C1937" t="s">
        <v>88</v>
      </c>
      <c r="D1937" t="b">
        <f ca="1">IF(CELL("format",F1937)="G",IF(ABS(F1937-G1937) &lt;= ABS(F1937*B$3),TRUE,FALSE),IF(F1937=G1937,TRUE,FALSE))</f>
        <v>1</v>
      </c>
      <c r="E1937" s="5">
        <f>ABS(F1937-G1937)/ABS(F1937)</f>
        <v>0</v>
      </c>
      <c r="F1937">
        <v>35</v>
      </c>
      <c r="G1937">
        <v>35</v>
      </c>
      <c r="H1937">
        <v>35</v>
      </c>
      <c r="J1937" s="5">
        <f>ABS(F1937-G1937)/ABS(F1937)</f>
        <v>0</v>
      </c>
      <c r="K1937" s="5">
        <f>ABS(G1937-H1937)/ABS(G1937)</f>
        <v>0</v>
      </c>
    </row>
    <row r="1938" spans="3:11" x14ac:dyDescent="0.2">
      <c r="C1938" t="s">
        <v>87</v>
      </c>
      <c r="D1938" t="b">
        <f ca="1">IF(CELL("format",F1938)="G",IF(ABS(F1938-G1938) &lt;= ABS(F1938*B$3),TRUE,FALSE),IF(F1938=G1938,TRUE,FALSE))</f>
        <v>1</v>
      </c>
      <c r="E1938" s="5">
        <f>ABS(F1938-G1938)/ABS(F1938)</f>
        <v>0</v>
      </c>
      <c r="F1938">
        <v>17</v>
      </c>
      <c r="G1938">
        <v>17</v>
      </c>
      <c r="H1938">
        <v>17</v>
      </c>
      <c r="J1938" s="5">
        <f>ABS(F1938-G1938)/ABS(F1938)</f>
        <v>0</v>
      </c>
      <c r="K1938" s="5">
        <f>ABS(G1938-H1938)/ABS(G1938)</f>
        <v>0</v>
      </c>
    </row>
    <row r="1939" spans="3:11" x14ac:dyDescent="0.2">
      <c r="C1939" t="s">
        <v>86</v>
      </c>
      <c r="D1939" t="b">
        <f ca="1">IF(CELL("format",F1939)="G",IF(ABS(F1939-G1939) &lt;= ABS(F1939*B$3),TRUE,FALSE),IF(F1939=G1939,TRUE,FALSE))</f>
        <v>1</v>
      </c>
      <c r="E1939" s="5">
        <f>ABS(F1939-G1939)/ABS(F1939)</f>
        <v>0</v>
      </c>
      <c r="F1939">
        <v>7</v>
      </c>
      <c r="G1939">
        <v>7</v>
      </c>
      <c r="H1939">
        <v>7</v>
      </c>
      <c r="J1939" s="5">
        <f>ABS(F1939-G1939)/ABS(F1939)</f>
        <v>0</v>
      </c>
      <c r="K1939" s="5">
        <f>ABS(G1939-H1939)/ABS(G1939)</f>
        <v>0</v>
      </c>
    </row>
    <row r="1940" spans="3:11" x14ac:dyDescent="0.2">
      <c r="C1940" t="s">
        <v>85</v>
      </c>
      <c r="D1940" t="b">
        <f ca="1">IF(CELL("format",F1940)="G",IF(ABS(F1940-G1940) &lt;= ABS(F1940*B$3),TRUE,FALSE),IF(F1940=G1940,TRUE,FALSE))</f>
        <v>1</v>
      </c>
      <c r="E1940" s="5">
        <f>ABS(F1940-G1940)/ABS(F1940)</f>
        <v>0</v>
      </c>
      <c r="F1940">
        <v>2</v>
      </c>
      <c r="G1940">
        <v>2</v>
      </c>
      <c r="H1940">
        <v>2</v>
      </c>
      <c r="J1940" s="5">
        <f>ABS(F1940-G1940)/ABS(F1940)</f>
        <v>0</v>
      </c>
      <c r="K1940" s="5">
        <f>ABS(G1940-H1940)/ABS(G1940)</f>
        <v>0</v>
      </c>
    </row>
    <row r="1941" spans="3:11" x14ac:dyDescent="0.2">
      <c r="C1941" t="s">
        <v>84</v>
      </c>
      <c r="D1941" t="b">
        <f ca="1">IF(CELL("format",F1941)="G",IF(ABS(F1941-G1941) &lt;= ABS(F1941*B$3),TRUE,FALSE),IF(F1941=G1941,TRUE,FALSE))</f>
        <v>1</v>
      </c>
      <c r="E1941" s="5" t="e">
        <f>ABS(F1941-G1941)/ABS(F1941)</f>
        <v>#DIV/0!</v>
      </c>
      <c r="F1941">
        <v>0</v>
      </c>
      <c r="G1941">
        <v>0</v>
      </c>
      <c r="H1941">
        <v>0</v>
      </c>
      <c r="J1941" s="5" t="e">
        <f>ABS(F1941-G1941)/ABS(F1941)</f>
        <v>#DIV/0!</v>
      </c>
      <c r="K1941" s="5" t="e">
        <f>ABS(G1941-H1941)/ABS(G1941)</f>
        <v>#DIV/0!</v>
      </c>
    </row>
    <row r="1942" spans="3:11" x14ac:dyDescent="0.2">
      <c r="C1942" t="s">
        <v>83</v>
      </c>
      <c r="D1942" t="b">
        <f ca="1">IF(CELL("format",F1942)="G",IF(ABS(F1942-G1942) &lt;= ABS(F1942*B$3),TRUE,FALSE),IF(F1942=G1942,TRUE,FALSE))</f>
        <v>1</v>
      </c>
      <c r="E1942" s="5" t="e">
        <f>ABS(F1942-G1942)/ABS(F1942)</f>
        <v>#DIV/0!</v>
      </c>
      <c r="F1942">
        <v>0</v>
      </c>
      <c r="G1942">
        <v>0</v>
      </c>
      <c r="H1942">
        <v>0</v>
      </c>
      <c r="J1942" s="5" t="e">
        <f>ABS(F1942-G1942)/ABS(F1942)</f>
        <v>#DIV/0!</v>
      </c>
      <c r="K1942" s="5" t="e">
        <f>ABS(G1942-H1942)/ABS(G1942)</f>
        <v>#DIV/0!</v>
      </c>
    </row>
    <row r="1943" spans="3:11" x14ac:dyDescent="0.2">
      <c r="C1943" t="s">
        <v>82</v>
      </c>
      <c r="D1943" t="b">
        <f ca="1">IF(CELL("format",F1943)="G",IF(ABS(F1943-G1943) &lt;= ABS(F1943*B$3),TRUE,FALSE),IF(F1943=G1943,TRUE,FALSE))</f>
        <v>1</v>
      </c>
      <c r="E1943" s="5" t="e">
        <f>ABS(F1943-G1943)/ABS(F1943)</f>
        <v>#DIV/0!</v>
      </c>
      <c r="F1943">
        <v>0</v>
      </c>
      <c r="G1943">
        <v>0</v>
      </c>
      <c r="H1943">
        <v>0</v>
      </c>
      <c r="J1943" s="5" t="e">
        <f>ABS(F1943-G1943)/ABS(F1943)</f>
        <v>#DIV/0!</v>
      </c>
      <c r="K1943" s="5" t="e">
        <f>ABS(G1943-H1943)/ABS(G1943)</f>
        <v>#DIV/0!</v>
      </c>
    </row>
    <row r="1944" spans="3:11" x14ac:dyDescent="0.2">
      <c r="C1944" t="s">
        <v>81</v>
      </c>
      <c r="D1944" t="b">
        <f ca="1">IF(CELL("format",F1944)="G",IF(ABS(F1944-G1944) &lt;= ABS(F1944*B$3),TRUE,FALSE),IF(F1944=G1944,TRUE,FALSE))</f>
        <v>1</v>
      </c>
      <c r="E1944" s="5" t="e">
        <f>ABS(F1944-G1944)/ABS(F1944)</f>
        <v>#DIV/0!</v>
      </c>
      <c r="F1944">
        <v>0</v>
      </c>
      <c r="G1944">
        <v>0</v>
      </c>
      <c r="H1944">
        <v>0</v>
      </c>
      <c r="J1944" s="5" t="e">
        <f>ABS(F1944-G1944)/ABS(F1944)</f>
        <v>#DIV/0!</v>
      </c>
      <c r="K1944" s="5" t="e">
        <f>ABS(G1944-H1944)/ABS(G1944)</f>
        <v>#DIV/0!</v>
      </c>
    </row>
    <row r="1945" spans="3:11" x14ac:dyDescent="0.2">
      <c r="C1945" t="s">
        <v>80</v>
      </c>
      <c r="D1945" t="b">
        <f ca="1">IF(CELL("format",F1945)="G",IF(ABS(F1945-G1945) &lt;= ABS(F1945*B$3),TRUE,FALSE),IF(F1945=G1945,TRUE,FALSE))</f>
        <v>1</v>
      </c>
      <c r="E1945" s="5" t="e">
        <f>ABS(F1945-G1945)/ABS(F1945)</f>
        <v>#DIV/0!</v>
      </c>
      <c r="F1945">
        <v>0</v>
      </c>
      <c r="G1945">
        <v>0</v>
      </c>
      <c r="H1945">
        <v>0</v>
      </c>
      <c r="J1945" s="5" t="e">
        <f>ABS(F1945-G1945)/ABS(F1945)</f>
        <v>#DIV/0!</v>
      </c>
      <c r="K1945" s="5" t="e">
        <f>ABS(G1945-H1945)/ABS(G1945)</f>
        <v>#DIV/0!</v>
      </c>
    </row>
    <row r="1946" spans="3:11" x14ac:dyDescent="0.2">
      <c r="C1946" t="s">
        <v>79</v>
      </c>
      <c r="D1946" t="b">
        <f ca="1">IF(CELL("format",F1946)="G",IF(ABS(F1946-G1946) &lt;= ABS(F1946*B$3),TRUE,FALSE),IF(F1946=G1946,TRUE,FALSE))</f>
        <v>1</v>
      </c>
      <c r="E1946" s="5" t="e">
        <f>ABS(F1946-G1946)/ABS(F1946)</f>
        <v>#DIV/0!</v>
      </c>
      <c r="F1946">
        <v>0</v>
      </c>
      <c r="G1946">
        <v>0</v>
      </c>
      <c r="H1946">
        <v>0</v>
      </c>
      <c r="J1946" s="5" t="e">
        <f>ABS(F1946-G1946)/ABS(F1946)</f>
        <v>#DIV/0!</v>
      </c>
      <c r="K1946" s="5" t="e">
        <f>ABS(G1946-H1946)/ABS(G1946)</f>
        <v>#DIV/0!</v>
      </c>
    </row>
    <row r="1947" spans="3:11" x14ac:dyDescent="0.2">
      <c r="C1947" t="s">
        <v>78</v>
      </c>
      <c r="D1947" t="b">
        <f ca="1">IF(CELL("format",F1947)="G",IF(ABS(F1947-G1947) &lt;= ABS(F1947*B$3),TRUE,FALSE),IF(F1947=G1947,TRUE,FALSE))</f>
        <v>1</v>
      </c>
      <c r="E1947" s="5" t="e">
        <f>ABS(F1947-G1947)/ABS(F1947)</f>
        <v>#DIV/0!</v>
      </c>
      <c r="F1947">
        <v>0</v>
      </c>
      <c r="G1947">
        <v>0</v>
      </c>
      <c r="H1947">
        <v>0</v>
      </c>
      <c r="J1947" s="5" t="e">
        <f>ABS(F1947-G1947)/ABS(F1947)</f>
        <v>#DIV/0!</v>
      </c>
      <c r="K1947" s="5" t="e">
        <f>ABS(G1947-H1947)/ABS(G1947)</f>
        <v>#DIV/0!</v>
      </c>
    </row>
    <row r="1948" spans="3:11" x14ac:dyDescent="0.2">
      <c r="C1948" t="s">
        <v>77</v>
      </c>
      <c r="D1948" t="b">
        <f ca="1">IF(CELL("format",F1948)="G",IF(ABS(F1948-G1948) &lt;= ABS(F1948*B$3),TRUE,FALSE),IF(F1948=G1948,TRUE,FALSE))</f>
        <v>1</v>
      </c>
      <c r="E1948" s="5" t="e">
        <f>ABS(F1948-G1948)/ABS(F1948)</f>
        <v>#DIV/0!</v>
      </c>
      <c r="F1948">
        <v>0</v>
      </c>
      <c r="G1948">
        <v>0</v>
      </c>
      <c r="H1948">
        <v>0</v>
      </c>
      <c r="J1948" s="5" t="e">
        <f>ABS(F1948-G1948)/ABS(F1948)</f>
        <v>#DIV/0!</v>
      </c>
      <c r="K1948" s="5" t="e">
        <f>ABS(G1948-H1948)/ABS(G1948)</f>
        <v>#DIV/0!</v>
      </c>
    </row>
    <row r="1949" spans="3:11" x14ac:dyDescent="0.2">
      <c r="C1949" t="s">
        <v>76</v>
      </c>
      <c r="D1949" t="b">
        <f ca="1">IF(CELL("format",F1949)="G",IF(ABS(F1949-G1949) &lt;= ABS(F1949*B$3),TRUE,FALSE),IF(F1949=G1949,TRUE,FALSE))</f>
        <v>1</v>
      </c>
      <c r="E1949" s="5" t="e">
        <f>ABS(F1949-G1949)/ABS(F1949)</f>
        <v>#DIV/0!</v>
      </c>
      <c r="F1949">
        <v>0</v>
      </c>
      <c r="G1949">
        <v>0</v>
      </c>
      <c r="H1949">
        <v>0</v>
      </c>
      <c r="J1949" s="5" t="e">
        <f>ABS(F1949-G1949)/ABS(F1949)</f>
        <v>#DIV/0!</v>
      </c>
      <c r="K1949" s="5" t="e">
        <f>ABS(G1949-H1949)/ABS(G1949)</f>
        <v>#DIV/0!</v>
      </c>
    </row>
    <row r="1950" spans="3:11" x14ac:dyDescent="0.2">
      <c r="C1950" t="s">
        <v>75</v>
      </c>
      <c r="D1950" t="b">
        <f ca="1">IF(CELL("format",F1950)="G",IF(ABS(F1950-G1950) &lt;= ABS(F1950*B$3),TRUE,FALSE),IF(F1950=G1950,TRUE,FALSE))</f>
        <v>1</v>
      </c>
      <c r="E1950" s="5" t="e">
        <f>ABS(F1950-G1950)/ABS(F1950)</f>
        <v>#DIV/0!</v>
      </c>
      <c r="F1950">
        <v>0</v>
      </c>
      <c r="G1950">
        <v>0</v>
      </c>
      <c r="H1950">
        <v>0</v>
      </c>
      <c r="J1950" s="5" t="e">
        <f>ABS(F1950-G1950)/ABS(F1950)</f>
        <v>#DIV/0!</v>
      </c>
      <c r="K1950" s="5" t="e">
        <f>ABS(G1950-H1950)/ABS(G1950)</f>
        <v>#DIV/0!</v>
      </c>
    </row>
    <row r="1951" spans="3:11" x14ac:dyDescent="0.2">
      <c r="C1951" t="s">
        <v>74</v>
      </c>
      <c r="D1951" t="b">
        <f ca="1">IF(CELL("format",F1951)="G",IF(ABS(F1951-G1951) &lt;= ABS(F1951*B$3),TRUE,FALSE),IF(F1951=G1951,TRUE,FALSE))</f>
        <v>1</v>
      </c>
      <c r="E1951" s="5" t="e">
        <f>ABS(F1951-G1951)/ABS(F1951)</f>
        <v>#DIV/0!</v>
      </c>
      <c r="F1951">
        <v>0</v>
      </c>
      <c r="G1951">
        <v>0</v>
      </c>
      <c r="H1951">
        <v>0</v>
      </c>
      <c r="J1951" s="5" t="e">
        <f>ABS(F1951-G1951)/ABS(F1951)</f>
        <v>#DIV/0!</v>
      </c>
      <c r="K1951" s="5" t="e">
        <f>ABS(G1951-H1951)/ABS(G1951)</f>
        <v>#DIV/0!</v>
      </c>
    </row>
    <row r="1952" spans="3:11" x14ac:dyDescent="0.2">
      <c r="C1952" t="s">
        <v>73</v>
      </c>
      <c r="D1952" t="b">
        <f ca="1">IF(CELL("format",F1952)="G",IF(ABS(F1952-G1952) &lt;= ABS(F1952*B$3),TRUE,FALSE),IF(F1952=G1952,TRUE,FALSE))</f>
        <v>1</v>
      </c>
      <c r="E1952" s="5" t="e">
        <f>ABS(F1952-G1952)/ABS(F1952)</f>
        <v>#DIV/0!</v>
      </c>
      <c r="F1952">
        <v>0</v>
      </c>
      <c r="G1952">
        <v>0</v>
      </c>
      <c r="H1952">
        <v>0</v>
      </c>
      <c r="J1952" s="5" t="e">
        <f>ABS(F1952-G1952)/ABS(F1952)</f>
        <v>#DIV/0!</v>
      </c>
      <c r="K1952" s="5" t="e">
        <f>ABS(G1952-H1952)/ABS(G1952)</f>
        <v>#DIV/0!</v>
      </c>
    </row>
    <row r="1953" spans="3:11" x14ac:dyDescent="0.2">
      <c r="C1953" t="s">
        <v>72</v>
      </c>
      <c r="D1953" t="b">
        <f ca="1">IF(CELL("format",F1953)="G",IF(ABS(F1953-G1953) &lt;= ABS(F1953*B$3),TRUE,FALSE),IF(F1953=G1953,TRUE,FALSE))</f>
        <v>1</v>
      </c>
      <c r="E1953" s="5" t="e">
        <f>ABS(F1953-G1953)/ABS(F1953)</f>
        <v>#DIV/0!</v>
      </c>
      <c r="F1953">
        <v>0</v>
      </c>
      <c r="G1953">
        <v>0</v>
      </c>
      <c r="H1953">
        <v>0</v>
      </c>
      <c r="J1953" s="5" t="e">
        <f>ABS(F1953-G1953)/ABS(F1953)</f>
        <v>#DIV/0!</v>
      </c>
      <c r="K1953" s="5" t="e">
        <f>ABS(G1953-H1953)/ABS(G1953)</f>
        <v>#DIV/0!</v>
      </c>
    </row>
    <row r="1954" spans="3:11" x14ac:dyDescent="0.2">
      <c r="C1954" t="s">
        <v>71</v>
      </c>
      <c r="D1954" t="b">
        <f ca="1">IF(CELL("format",F1954)="G",IF(ABS(F1954-G1954) &lt;= ABS(F1954*B$3),TRUE,FALSE),IF(F1954=G1954,TRUE,FALSE))</f>
        <v>1</v>
      </c>
      <c r="E1954" s="5" t="e">
        <f>ABS(F1954-G1954)/ABS(F1954)</f>
        <v>#DIV/0!</v>
      </c>
      <c r="F1954">
        <v>0</v>
      </c>
      <c r="G1954">
        <v>0</v>
      </c>
      <c r="H1954">
        <v>0</v>
      </c>
      <c r="J1954" s="5" t="e">
        <f>ABS(F1954-G1954)/ABS(F1954)</f>
        <v>#DIV/0!</v>
      </c>
      <c r="K1954" s="5" t="e">
        <f>ABS(G1954-H1954)/ABS(G1954)</f>
        <v>#DIV/0!</v>
      </c>
    </row>
    <row r="1955" spans="3:11" x14ac:dyDescent="0.2">
      <c r="C1955" t="s">
        <v>70</v>
      </c>
      <c r="D1955" t="b">
        <f ca="1">IF(CELL("format",F1955)="G",IF(ABS(F1955-G1955) &lt;= ABS(F1955*B$3),TRUE,FALSE),IF(F1955=G1955,TRUE,FALSE))</f>
        <v>1</v>
      </c>
      <c r="E1955" s="5" t="e">
        <f>ABS(F1955-G1955)/ABS(F1955)</f>
        <v>#DIV/0!</v>
      </c>
      <c r="F1955">
        <v>0</v>
      </c>
      <c r="G1955">
        <v>0</v>
      </c>
      <c r="H1955">
        <v>0</v>
      </c>
      <c r="J1955" s="5" t="e">
        <f>ABS(F1955-G1955)/ABS(F1955)</f>
        <v>#DIV/0!</v>
      </c>
      <c r="K1955" s="5" t="e">
        <f>ABS(G1955-H1955)/ABS(G1955)</f>
        <v>#DIV/0!</v>
      </c>
    </row>
    <row r="1956" spans="3:11" x14ac:dyDescent="0.2">
      <c r="C1956" t="s">
        <v>69</v>
      </c>
      <c r="D1956" t="b">
        <f ca="1">IF(CELL("format",F1956)="G",IF(ABS(F1956-G1956) &lt;= ABS(F1956*B$3),TRUE,FALSE),IF(F1956=G1956,TRUE,FALSE))</f>
        <v>1</v>
      </c>
      <c r="E1956" s="5" t="e">
        <f>ABS(F1956-G1956)/ABS(F1956)</f>
        <v>#DIV/0!</v>
      </c>
      <c r="F1956">
        <v>0</v>
      </c>
      <c r="G1956">
        <v>0</v>
      </c>
      <c r="H1956">
        <v>0</v>
      </c>
      <c r="J1956" s="5" t="e">
        <f>ABS(F1956-G1956)/ABS(F1956)</f>
        <v>#DIV/0!</v>
      </c>
      <c r="K1956" s="5" t="e">
        <f>ABS(G1956-H1956)/ABS(G1956)</f>
        <v>#DIV/0!</v>
      </c>
    </row>
    <row r="1957" spans="3:11" x14ac:dyDescent="0.2">
      <c r="C1957" t="s">
        <v>68</v>
      </c>
      <c r="D1957" t="b">
        <f ca="1">IF(CELL("format",F1957)="G",IF(ABS(F1957-G1957) &lt;= ABS(F1957*B$3),TRUE,FALSE),IF(F1957=G1957,TRUE,FALSE))</f>
        <v>1</v>
      </c>
      <c r="E1957" s="5" t="e">
        <f>ABS(F1957-G1957)/ABS(F1957)</f>
        <v>#DIV/0!</v>
      </c>
      <c r="F1957">
        <v>0</v>
      </c>
      <c r="G1957">
        <v>0</v>
      </c>
      <c r="H1957">
        <v>0</v>
      </c>
      <c r="J1957" s="5" t="e">
        <f>ABS(F1957-G1957)/ABS(F1957)</f>
        <v>#DIV/0!</v>
      </c>
      <c r="K1957" s="5" t="e">
        <f>ABS(G1957-H1957)/ABS(G1957)</f>
        <v>#DIV/0!</v>
      </c>
    </row>
    <row r="1958" spans="3:11" x14ac:dyDescent="0.2">
      <c r="C1958" t="s">
        <v>67</v>
      </c>
      <c r="D1958" t="b">
        <f ca="1">IF(CELL("format",F1958)="G",IF(ABS(F1958-G1958) &lt;= ABS(F1958*B$3),TRUE,FALSE),IF(F1958=G1958,TRUE,FALSE))</f>
        <v>1</v>
      </c>
      <c r="E1958" s="5" t="e">
        <f>ABS(F1958-G1958)/ABS(F1958)</f>
        <v>#DIV/0!</v>
      </c>
      <c r="F1958">
        <v>0</v>
      </c>
      <c r="G1958">
        <v>0</v>
      </c>
      <c r="H1958">
        <v>0</v>
      </c>
      <c r="J1958" s="5" t="e">
        <f>ABS(F1958-G1958)/ABS(F1958)</f>
        <v>#DIV/0!</v>
      </c>
      <c r="K1958" s="5" t="e">
        <f>ABS(G1958-H1958)/ABS(G1958)</f>
        <v>#DIV/0!</v>
      </c>
    </row>
    <row r="1959" spans="3:11" x14ac:dyDescent="0.2">
      <c r="C1959" t="s">
        <v>66</v>
      </c>
      <c r="D1959" t="b">
        <f ca="1">IF(CELL("format",F1959)="G",IF(ABS(F1959-G1959) &lt;= ABS(F1959*B$3),TRUE,FALSE),IF(F1959=G1959,TRUE,FALSE))</f>
        <v>1</v>
      </c>
      <c r="E1959" s="5" t="e">
        <f>ABS(F1959-G1959)/ABS(F1959)</f>
        <v>#DIV/0!</v>
      </c>
      <c r="F1959">
        <v>0</v>
      </c>
      <c r="G1959">
        <v>0</v>
      </c>
      <c r="H1959">
        <v>0</v>
      </c>
      <c r="J1959" s="5" t="e">
        <f>ABS(F1959-G1959)/ABS(F1959)</f>
        <v>#DIV/0!</v>
      </c>
      <c r="K1959" s="5" t="e">
        <f>ABS(G1959-H1959)/ABS(G1959)</f>
        <v>#DIV/0!</v>
      </c>
    </row>
    <row r="1960" spans="3:11" x14ac:dyDescent="0.2">
      <c r="C1960" t="s">
        <v>65</v>
      </c>
      <c r="D1960" t="b">
        <f ca="1">IF(CELL("format",F1960)="G",IF(ABS(F1960-G1960) &lt;= ABS(F1960*B$3),TRUE,FALSE),IF(F1960=G1960,TRUE,FALSE))</f>
        <v>1</v>
      </c>
      <c r="E1960" s="5" t="e">
        <f>ABS(F1960-G1960)/ABS(F1960)</f>
        <v>#DIV/0!</v>
      </c>
      <c r="F1960">
        <v>0</v>
      </c>
      <c r="G1960">
        <v>0</v>
      </c>
      <c r="H1960">
        <v>0</v>
      </c>
      <c r="J1960" s="5" t="e">
        <f>ABS(F1960-G1960)/ABS(F1960)</f>
        <v>#DIV/0!</v>
      </c>
      <c r="K1960" s="5" t="e">
        <f>ABS(G1960-H1960)/ABS(G1960)</f>
        <v>#DIV/0!</v>
      </c>
    </row>
    <row r="1961" spans="3:11" x14ac:dyDescent="0.2">
      <c r="C1961" t="s">
        <v>64</v>
      </c>
      <c r="D1961" t="b">
        <f ca="1">IF(CELL("format",F1961)="G",IF(ABS(F1961-G1961) &lt;= ABS(F1961*B$3),TRUE,FALSE),IF(F1961=G1961,TRUE,FALSE))</f>
        <v>1</v>
      </c>
      <c r="E1961" s="5" t="e">
        <f>ABS(F1961-G1961)/ABS(F1961)</f>
        <v>#DIV/0!</v>
      </c>
      <c r="F1961">
        <v>0</v>
      </c>
      <c r="G1961">
        <v>0</v>
      </c>
      <c r="H1961">
        <v>0</v>
      </c>
      <c r="J1961" s="5" t="e">
        <f>ABS(F1961-G1961)/ABS(F1961)</f>
        <v>#DIV/0!</v>
      </c>
      <c r="K1961" s="5" t="e">
        <f>ABS(G1961-H1961)/ABS(G1961)</f>
        <v>#DIV/0!</v>
      </c>
    </row>
    <row r="1962" spans="3:11" x14ac:dyDescent="0.2">
      <c r="C1962" t="s">
        <v>63</v>
      </c>
      <c r="D1962" t="b">
        <f ca="1">IF(CELL("format",F1962)="G",IF(ABS(F1962-G1962) &lt;= ABS(F1962*B$3),TRUE,FALSE),IF(F1962=G1962,TRUE,FALSE))</f>
        <v>1</v>
      </c>
      <c r="E1962" s="5" t="e">
        <f>ABS(F1962-G1962)/ABS(F1962)</f>
        <v>#DIV/0!</v>
      </c>
      <c r="F1962">
        <v>0</v>
      </c>
      <c r="G1962">
        <v>0</v>
      </c>
      <c r="H1962">
        <v>0</v>
      </c>
      <c r="J1962" s="5" t="e">
        <f>ABS(F1962-G1962)/ABS(F1962)</f>
        <v>#DIV/0!</v>
      </c>
      <c r="K1962" s="5" t="e">
        <f>ABS(G1962-H1962)/ABS(G1962)</f>
        <v>#DIV/0!</v>
      </c>
    </row>
    <row r="1963" spans="3:11" x14ac:dyDescent="0.2">
      <c r="C1963" t="s">
        <v>62</v>
      </c>
      <c r="D1963" t="b">
        <f ca="1">IF(CELL("format",F1963)="G",IF(ABS(F1963-G1963) &lt;= ABS(F1963*B$3),TRUE,FALSE),IF(F1963=G1963,TRUE,FALSE))</f>
        <v>1</v>
      </c>
      <c r="E1963" s="5" t="e">
        <f>ABS(F1963-G1963)/ABS(F1963)</f>
        <v>#DIV/0!</v>
      </c>
      <c r="F1963">
        <v>0</v>
      </c>
      <c r="G1963">
        <v>0</v>
      </c>
      <c r="H1963">
        <v>0</v>
      </c>
      <c r="J1963" s="5" t="e">
        <f>ABS(F1963-G1963)/ABS(F1963)</f>
        <v>#DIV/0!</v>
      </c>
      <c r="K1963" s="5" t="e">
        <f>ABS(G1963-H1963)/ABS(G1963)</f>
        <v>#DIV/0!</v>
      </c>
    </row>
    <row r="1964" spans="3:11" x14ac:dyDescent="0.2">
      <c r="C1964" t="s">
        <v>61</v>
      </c>
      <c r="D1964" t="b">
        <f ca="1">IF(CELL("format",F1964)="G",IF(ABS(F1964-G1964) &lt;= ABS(F1964*B$3),TRUE,FALSE),IF(F1964=G1964,TRUE,FALSE))</f>
        <v>1</v>
      </c>
      <c r="E1964" s="5" t="e">
        <f>ABS(F1964-G1964)/ABS(F1964)</f>
        <v>#DIV/0!</v>
      </c>
      <c r="F1964">
        <v>0</v>
      </c>
      <c r="G1964">
        <v>0</v>
      </c>
      <c r="H1964">
        <v>0</v>
      </c>
      <c r="J1964" s="5" t="e">
        <f>ABS(F1964-G1964)/ABS(F1964)</f>
        <v>#DIV/0!</v>
      </c>
      <c r="K1964" s="5" t="e">
        <f>ABS(G1964-H1964)/ABS(G1964)</f>
        <v>#DIV/0!</v>
      </c>
    </row>
    <row r="1965" spans="3:11" x14ac:dyDescent="0.2">
      <c r="C1965" t="s">
        <v>60</v>
      </c>
      <c r="D1965" t="b">
        <f ca="1">IF(CELL("format",F1965)="G",IF(ABS(F1965-G1965) &lt;= ABS(F1965*B$3),TRUE,FALSE),IF(F1965=G1965,TRUE,FALSE))</f>
        <v>1</v>
      </c>
      <c r="E1965" s="5" t="e">
        <f>ABS(F1965-G1965)/ABS(F1965)</f>
        <v>#DIV/0!</v>
      </c>
      <c r="F1965">
        <v>0</v>
      </c>
      <c r="G1965">
        <v>0</v>
      </c>
      <c r="H1965">
        <v>0</v>
      </c>
      <c r="J1965" s="5" t="e">
        <f>ABS(F1965-G1965)/ABS(F1965)</f>
        <v>#DIV/0!</v>
      </c>
      <c r="K1965" s="5" t="e">
        <f>ABS(G1965-H1965)/ABS(G1965)</f>
        <v>#DIV/0!</v>
      </c>
    </row>
    <row r="1966" spans="3:11" x14ac:dyDescent="0.2">
      <c r="C1966" t="s">
        <v>59</v>
      </c>
      <c r="D1966" t="b">
        <f ca="1">IF(CELL("format",F1966)="G",IF(ABS(F1966-G1966) &lt;= ABS(F1966*B$3),TRUE,FALSE),IF(F1966=G1966,TRUE,FALSE))</f>
        <v>1</v>
      </c>
      <c r="E1966" s="5" t="e">
        <f>ABS(F1966-G1966)/ABS(F1966)</f>
        <v>#DIV/0!</v>
      </c>
      <c r="F1966">
        <v>0</v>
      </c>
      <c r="G1966">
        <v>0</v>
      </c>
      <c r="H1966">
        <v>0</v>
      </c>
      <c r="J1966" s="5" t="e">
        <f>ABS(F1966-G1966)/ABS(F1966)</f>
        <v>#DIV/0!</v>
      </c>
      <c r="K1966" s="5" t="e">
        <f>ABS(G1966-H1966)/ABS(G1966)</f>
        <v>#DIV/0!</v>
      </c>
    </row>
    <row r="1967" spans="3:11" x14ac:dyDescent="0.2">
      <c r="C1967" t="s">
        <v>58</v>
      </c>
      <c r="D1967" t="b">
        <f ca="1">IF(CELL("format",F1967)="G",IF(ABS(F1967-G1967) &lt;= ABS(F1967*B$3),TRUE,FALSE),IF(F1967=G1967,TRUE,FALSE))</f>
        <v>1</v>
      </c>
      <c r="E1967" s="5" t="e">
        <f>ABS(F1967-G1967)/ABS(F1967)</f>
        <v>#DIV/0!</v>
      </c>
      <c r="F1967">
        <v>0</v>
      </c>
      <c r="G1967">
        <v>0</v>
      </c>
      <c r="H1967">
        <v>0</v>
      </c>
      <c r="J1967" s="5" t="e">
        <f>ABS(F1967-G1967)/ABS(F1967)</f>
        <v>#DIV/0!</v>
      </c>
      <c r="K1967" s="5" t="e">
        <f>ABS(G1967-H1967)/ABS(G1967)</f>
        <v>#DIV/0!</v>
      </c>
    </row>
  </sheetData>
  <autoFilter ref="C6:G1967" xr:uid="{BF2B4B09-2E93-3C47-9B04-3A9DC04CF29A}"/>
  <conditionalFormatting sqref="D7 D8:E1967">
    <cfRule type="containsText" dxfId="11" priority="3" operator="containsText" text="false">
      <formula>NOT(ISERROR(SEARCH("false",D7)))</formula>
    </cfRule>
  </conditionalFormatting>
  <conditionalFormatting sqref="D8:E1967">
    <cfRule type="containsText" dxfId="10" priority="4" operator="containsText" text="false">
      <formula>NOT(ISERROR(SEARCH("false",D8)))</formula>
    </cfRule>
  </conditionalFormatting>
  <conditionalFormatting sqref="E8:E1967">
    <cfRule type="containsText" dxfId="9" priority="2" operator="containsText" text="false">
      <formula>NOT(ISERROR(SEARCH("false",E8)))</formula>
    </cfRule>
  </conditionalFormatting>
  <conditionalFormatting sqref="E7:E1967">
    <cfRule type="containsText" dxfId="8" priority="1" operator="containsText" text="false">
      <formula>NOT(ISERROR(SEARCH("false",E7)))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B343-21F1-284B-82C9-6B5613646830}">
  <dimension ref="A1:K1437"/>
  <sheetViews>
    <sheetView workbookViewId="0">
      <pane xSplit="3" ySplit="6" topLeftCell="D7" activePane="bottomRight" state="frozen"/>
      <selection pane="topRight" activeCell="B1" sqref="B1"/>
      <selection pane="bottomLeft" activeCell="A7" sqref="A7"/>
      <selection pane="bottomRight" activeCell="C1101" sqref="C1101"/>
    </sheetView>
  </sheetViews>
  <sheetFormatPr baseColWidth="10" defaultRowHeight="16" x14ac:dyDescent="0.2"/>
  <cols>
    <col min="1" max="2" width="20.1640625" customWidth="1"/>
    <col min="3" max="3" width="85.83203125" bestFit="1" customWidth="1"/>
    <col min="4" max="5" width="14.1640625" customWidth="1"/>
    <col min="6" max="6" width="17.1640625" customWidth="1"/>
    <col min="7" max="9" width="18.1640625" customWidth="1"/>
    <col min="10" max="11" width="10.83203125" style="5"/>
  </cols>
  <sheetData>
    <row r="1" spans="1:11" s="3" customFormat="1" x14ac:dyDescent="0.2">
      <c r="A1" s="6" t="s">
        <v>1627</v>
      </c>
      <c r="B1" s="7">
        <f ca="1">COUNTIF(D7:D1437,TRUE)</f>
        <v>1255</v>
      </c>
      <c r="C1" t="s">
        <v>0</v>
      </c>
      <c r="D1" s="3" t="s">
        <v>57</v>
      </c>
      <c r="E1" s="3" t="s">
        <v>1653</v>
      </c>
      <c r="F1" t="s">
        <v>2358</v>
      </c>
      <c r="G1" t="s">
        <v>1658</v>
      </c>
      <c r="H1" t="s">
        <v>1656</v>
      </c>
      <c r="I1"/>
      <c r="J1" s="13"/>
      <c r="K1" s="13"/>
    </row>
    <row r="2" spans="1:11" x14ac:dyDescent="0.2">
      <c r="A2" s="8" t="s">
        <v>1628</v>
      </c>
      <c r="B2" s="9">
        <f ca="1">COUNTIF(D7:D1437,FALSE)</f>
        <v>176</v>
      </c>
      <c r="C2" t="s">
        <v>1</v>
      </c>
      <c r="F2" s="1">
        <v>44648</v>
      </c>
      <c r="G2" s="1">
        <v>44831</v>
      </c>
      <c r="H2" s="1">
        <v>44649</v>
      </c>
      <c r="I2" s="1"/>
    </row>
    <row r="3" spans="1:11" x14ac:dyDescent="0.2">
      <c r="A3" s="10" t="s">
        <v>1654</v>
      </c>
      <c r="B3" s="11">
        <v>1E-4</v>
      </c>
      <c r="C3" t="s">
        <v>2</v>
      </c>
      <c r="F3" t="s">
        <v>3</v>
      </c>
      <c r="G3" t="s">
        <v>3</v>
      </c>
      <c r="H3" t="s">
        <v>3</v>
      </c>
      <c r="J3" t="s">
        <v>2359</v>
      </c>
      <c r="K3" t="s">
        <v>1657</v>
      </c>
    </row>
    <row r="4" spans="1:11" x14ac:dyDescent="0.2">
      <c r="A4" s="12" t="s">
        <v>1655</v>
      </c>
      <c r="C4" t="s">
        <v>4</v>
      </c>
      <c r="F4" s="1">
        <v>44690</v>
      </c>
      <c r="G4" s="1">
        <v>44868</v>
      </c>
      <c r="H4" s="1">
        <v>44708</v>
      </c>
      <c r="I4" s="1"/>
      <c r="J4">
        <f>COUNTIF(J7:J1437,"&gt;" &amp;$B3)</f>
        <v>174</v>
      </c>
      <c r="K4">
        <f>COUNTIF(K7:K1437,"&gt;" &amp;$B3)</f>
        <v>15</v>
      </c>
    </row>
    <row r="5" spans="1:11" x14ac:dyDescent="0.2">
      <c r="C5" t="s">
        <v>5</v>
      </c>
      <c r="F5" t="s">
        <v>6</v>
      </c>
      <c r="G5" t="s">
        <v>6</v>
      </c>
      <c r="H5" t="s">
        <v>6</v>
      </c>
    </row>
    <row r="6" spans="1:11" x14ac:dyDescent="0.2">
      <c r="C6" t="s">
        <v>7</v>
      </c>
      <c r="F6" t="s">
        <v>8</v>
      </c>
      <c r="G6" t="s">
        <v>8</v>
      </c>
      <c r="H6" t="s">
        <v>8</v>
      </c>
    </row>
    <row r="7" spans="1:11" x14ac:dyDescent="0.2">
      <c r="C7" t="s">
        <v>1626</v>
      </c>
      <c r="D7" t="b">
        <f ca="1">IF(CELL("format",F7)="G",IF(ABS(F7-G7) &lt;= ABS(F7*B$3),TRUE,FALSE),IF(F7=G7,TRUE,FALSE))</f>
        <v>0</v>
      </c>
      <c r="E7" s="5">
        <f>ABS(F7-G7)/ABS(F7)</f>
        <v>2.1696395111074184E-4</v>
      </c>
      <c r="F7">
        <v>1520.99</v>
      </c>
      <c r="G7">
        <v>1521.32</v>
      </c>
      <c r="H7">
        <v>1521.32</v>
      </c>
      <c r="J7" s="5">
        <f t="shared" ref="J7:K70" si="0">ABS(F7-G7)/ABS(F7)</f>
        <v>2.1696395111074184E-4</v>
      </c>
      <c r="K7" s="5">
        <f t="shared" si="0"/>
        <v>0</v>
      </c>
    </row>
    <row r="8" spans="1:11" x14ac:dyDescent="0.2">
      <c r="C8" t="s">
        <v>1625</v>
      </c>
      <c r="D8" t="b">
        <f t="shared" ref="D8:D17" ca="1" si="1">IF(CELL("format",F8)="G",IF(ABS(F8-G8) &lt;= ABS(F8*B$3),TRUE,FALSE),IF(F8=G8,TRUE,FALSE))</f>
        <v>0</v>
      </c>
      <c r="E8" s="5">
        <f t="shared" ref="E8:E17" si="2">ABS(F8-G8)/ABS(F8)</f>
        <v>2.2270474917885063E-4</v>
      </c>
      <c r="F8">
        <v>143.68799999999999</v>
      </c>
      <c r="G8">
        <v>143.72</v>
      </c>
      <c r="H8">
        <v>143.72</v>
      </c>
      <c r="J8" s="5">
        <f t="shared" si="0"/>
        <v>2.2270474917885063E-4</v>
      </c>
      <c r="K8" s="5">
        <f t="shared" si="0"/>
        <v>0</v>
      </c>
    </row>
    <row r="9" spans="1:11" x14ac:dyDescent="0.2">
      <c r="C9" t="s">
        <v>1624</v>
      </c>
      <c r="D9" t="b">
        <f t="shared" ca="1" si="1"/>
        <v>0</v>
      </c>
      <c r="E9" s="5">
        <f t="shared" si="2"/>
        <v>2.7655377127164217E-4</v>
      </c>
      <c r="F9">
        <v>3796.73</v>
      </c>
      <c r="G9">
        <v>3797.78</v>
      </c>
      <c r="H9">
        <v>3797.78</v>
      </c>
      <c r="J9" s="5">
        <f t="shared" si="0"/>
        <v>2.7655377127164217E-4</v>
      </c>
      <c r="K9" s="5">
        <f t="shared" si="0"/>
        <v>0</v>
      </c>
    </row>
    <row r="10" spans="1:11" x14ac:dyDescent="0.2">
      <c r="C10" t="s">
        <v>1623</v>
      </c>
      <c r="D10" t="b">
        <f t="shared" ca="1" si="1"/>
        <v>0</v>
      </c>
      <c r="E10" s="5">
        <f t="shared" si="2"/>
        <v>2.7655377127164217E-4</v>
      </c>
      <c r="F10">
        <v>3796.73</v>
      </c>
      <c r="G10">
        <v>3797.78</v>
      </c>
      <c r="H10">
        <v>3797.78</v>
      </c>
      <c r="J10" s="5">
        <f t="shared" si="0"/>
        <v>2.7655377127164217E-4</v>
      </c>
      <c r="K10" s="5">
        <f t="shared" si="0"/>
        <v>0</v>
      </c>
    </row>
    <row r="11" spans="1:11" x14ac:dyDescent="0.2">
      <c r="C11" t="s">
        <v>1622</v>
      </c>
      <c r="D11" t="b">
        <f t="shared" ca="1" si="1"/>
        <v>0</v>
      </c>
      <c r="E11" s="5">
        <f t="shared" si="2"/>
        <v>4.6249896920818703</v>
      </c>
      <c r="F11" s="2">
        <v>1.81899E-15</v>
      </c>
      <c r="G11" s="2">
        <v>1.02318E-14</v>
      </c>
      <c r="H11" s="2">
        <v>-1.43245E-14</v>
      </c>
      <c r="I11" s="2"/>
      <c r="J11" s="5">
        <f t="shared" si="0"/>
        <v>4.6249896920818703</v>
      </c>
      <c r="K11" s="5">
        <f t="shared" si="0"/>
        <v>2.3999980453097209</v>
      </c>
    </row>
    <row r="12" spans="1:11" x14ac:dyDescent="0.2">
      <c r="C12" t="s">
        <v>1621</v>
      </c>
      <c r="D12" t="b">
        <f t="shared" ca="1" si="1"/>
        <v>0</v>
      </c>
      <c r="E12" s="5">
        <f t="shared" si="2"/>
        <v>2.8195694544822945E-4</v>
      </c>
      <c r="F12">
        <v>3653.04</v>
      </c>
      <c r="G12">
        <v>3654.07</v>
      </c>
      <c r="H12">
        <v>3654.07</v>
      </c>
      <c r="J12" s="5">
        <f t="shared" si="0"/>
        <v>2.8195694544822945E-4</v>
      </c>
      <c r="K12" s="5">
        <f t="shared" si="0"/>
        <v>0</v>
      </c>
    </row>
    <row r="13" spans="1:11" x14ac:dyDescent="0.2">
      <c r="C13" t="s">
        <v>1620</v>
      </c>
      <c r="D13" t="b">
        <f t="shared" ca="1" si="1"/>
        <v>0</v>
      </c>
      <c r="E13" s="5">
        <f t="shared" si="2"/>
        <v>2.8195694544822945E-4</v>
      </c>
      <c r="F13">
        <v>3653.04</v>
      </c>
      <c r="G13">
        <v>3654.07</v>
      </c>
      <c r="H13">
        <v>3654.07</v>
      </c>
      <c r="J13" s="5">
        <f t="shared" si="0"/>
        <v>2.8195694544822945E-4</v>
      </c>
      <c r="K13" s="5">
        <f t="shared" si="0"/>
        <v>0</v>
      </c>
    </row>
    <row r="14" spans="1:11" x14ac:dyDescent="0.2">
      <c r="C14" t="s">
        <v>1619</v>
      </c>
      <c r="D14" t="b">
        <f t="shared" ca="1" si="1"/>
        <v>0</v>
      </c>
      <c r="E14" s="5">
        <f t="shared" si="2"/>
        <v>2.2021030480328874E-2</v>
      </c>
      <c r="F14" s="2">
        <v>4.5429299999999999E-13</v>
      </c>
      <c r="G14" s="2">
        <v>4.6429700000000004E-13</v>
      </c>
      <c r="H14" s="2">
        <v>4.8976300000000004E-13</v>
      </c>
      <c r="I14" s="2"/>
      <c r="J14" s="5">
        <f t="shared" si="0"/>
        <v>2.2021030480328874E-2</v>
      </c>
      <c r="K14" s="5">
        <f t="shared" si="0"/>
        <v>5.4848512913070732E-2</v>
      </c>
    </row>
    <row r="15" spans="1:11" x14ac:dyDescent="0.2">
      <c r="C15" t="s">
        <v>1618</v>
      </c>
      <c r="D15" t="b">
        <f t="shared" ca="1" si="1"/>
        <v>1</v>
      </c>
      <c r="E15" s="5">
        <f t="shared" si="2"/>
        <v>5.8290586902949918E-5</v>
      </c>
      <c r="F15">
        <v>2.4017599999999999</v>
      </c>
      <c r="G15">
        <v>2.4018999999999999</v>
      </c>
      <c r="H15">
        <v>2.4018999999999999</v>
      </c>
      <c r="J15" s="5">
        <f t="shared" si="0"/>
        <v>5.8290586902949918E-5</v>
      </c>
      <c r="K15" s="5">
        <f t="shared" si="0"/>
        <v>0</v>
      </c>
    </row>
    <row r="16" spans="1:11" x14ac:dyDescent="0.2">
      <c r="C16" t="s">
        <v>1617</v>
      </c>
      <c r="D16" t="b">
        <f t="shared" ca="1" si="1"/>
        <v>1</v>
      </c>
      <c r="E16" s="5">
        <f t="shared" si="2"/>
        <v>4.5024966343732721E-6</v>
      </c>
      <c r="F16">
        <v>22.209900000000001</v>
      </c>
      <c r="G16">
        <v>22.209800000000001</v>
      </c>
      <c r="H16">
        <v>22.209800000000001</v>
      </c>
      <c r="J16" s="5">
        <f t="shared" si="0"/>
        <v>4.5024966343732721E-6</v>
      </c>
      <c r="K16" s="5">
        <f t="shared" si="0"/>
        <v>0</v>
      </c>
    </row>
    <row r="17" spans="3:11" x14ac:dyDescent="0.2">
      <c r="C17" t="s">
        <v>1616</v>
      </c>
      <c r="D17" t="b">
        <f t="shared" ca="1" si="1"/>
        <v>1</v>
      </c>
      <c r="E17" s="5">
        <f t="shared" si="2"/>
        <v>0</v>
      </c>
      <c r="F17">
        <v>7.4007400000000003E-3</v>
      </c>
      <c r="G17">
        <v>7.4007400000000003E-3</v>
      </c>
      <c r="H17">
        <v>7.4007400000000003E-3</v>
      </c>
      <c r="J17" s="5">
        <f t="shared" si="0"/>
        <v>0</v>
      </c>
      <c r="K17" s="5">
        <f t="shared" si="0"/>
        <v>0</v>
      </c>
    </row>
    <row r="18" spans="3:11" x14ac:dyDescent="0.2">
      <c r="C18" t="s">
        <v>1615</v>
      </c>
      <c r="D18" t="b">
        <f t="shared" ref="D18:D81" ca="1" si="3">IF(CELL("format",F18)="G",IF(ABS(F18-G18) &lt;= ABS(F18*B$3),TRUE,FALSE),IF(F18=G18,TRUE,FALSE))</f>
        <v>1</v>
      </c>
      <c r="E18" s="5">
        <f t="shared" ref="E18:E81" si="4">ABS(F18-G18)/ABS(F18)</f>
        <v>0</v>
      </c>
      <c r="F18">
        <v>2.4037600000000001</v>
      </c>
      <c r="G18">
        <v>2.4037600000000001</v>
      </c>
      <c r="H18">
        <v>2.4037600000000001</v>
      </c>
      <c r="J18" s="5">
        <f t="shared" si="0"/>
        <v>0</v>
      </c>
      <c r="K18" s="5">
        <f t="shared" si="0"/>
        <v>0</v>
      </c>
    </row>
    <row r="19" spans="3:11" x14ac:dyDescent="0.2">
      <c r="C19" t="s">
        <v>1614</v>
      </c>
      <c r="D19" t="b">
        <f t="shared" ca="1" si="3"/>
        <v>1</v>
      </c>
      <c r="E19" s="5">
        <f t="shared" si="4"/>
        <v>8.1037641984672972E-5</v>
      </c>
      <c r="F19">
        <v>22.2119</v>
      </c>
      <c r="G19">
        <v>22.210100000000001</v>
      </c>
      <c r="H19">
        <v>22.210100000000001</v>
      </c>
      <c r="J19" s="5">
        <f t="shared" si="0"/>
        <v>8.1037641984672972E-5</v>
      </c>
      <c r="K19" s="5">
        <f t="shared" si="0"/>
        <v>0</v>
      </c>
    </row>
    <row r="20" spans="3:11" x14ac:dyDescent="0.2">
      <c r="C20" t="s">
        <v>1613</v>
      </c>
      <c r="D20" t="b">
        <f t="shared" ca="1" si="3"/>
        <v>1</v>
      </c>
      <c r="E20" s="5">
        <f t="shared" si="4"/>
        <v>0</v>
      </c>
      <c r="F20">
        <v>7.4007400000000003E-3</v>
      </c>
      <c r="G20">
        <v>7.4007400000000003E-3</v>
      </c>
      <c r="H20">
        <v>7.4007400000000003E-3</v>
      </c>
      <c r="J20" s="5">
        <f t="shared" si="0"/>
        <v>0</v>
      </c>
      <c r="K20" s="5">
        <f t="shared" si="0"/>
        <v>0</v>
      </c>
    </row>
    <row r="21" spans="3:11" x14ac:dyDescent="0.2">
      <c r="C21" t="s">
        <v>1612</v>
      </c>
      <c r="D21" t="b">
        <f t="shared" ca="1" si="3"/>
        <v>0</v>
      </c>
      <c r="E21" s="5">
        <f t="shared" si="4"/>
        <v>1.1393514460997776E-3</v>
      </c>
      <c r="F21">
        <v>2.3961000000000001</v>
      </c>
      <c r="G21">
        <v>2.3988299999999998</v>
      </c>
      <c r="H21">
        <v>2.3988299999999998</v>
      </c>
      <c r="J21" s="5">
        <f t="shared" si="0"/>
        <v>1.1393514460997776E-3</v>
      </c>
      <c r="K21" s="5">
        <f t="shared" si="0"/>
        <v>0</v>
      </c>
    </row>
    <row r="22" spans="3:11" x14ac:dyDescent="0.2">
      <c r="C22" t="s">
        <v>1611</v>
      </c>
      <c r="D22" t="b">
        <f t="shared" ca="1" si="3"/>
        <v>1</v>
      </c>
      <c r="E22" s="5">
        <f t="shared" si="4"/>
        <v>0</v>
      </c>
      <c r="F22">
        <v>22.209499999999998</v>
      </c>
      <c r="G22">
        <v>22.209499999999998</v>
      </c>
      <c r="H22">
        <v>22.209499999999998</v>
      </c>
      <c r="J22" s="5">
        <f t="shared" si="0"/>
        <v>0</v>
      </c>
      <c r="K22" s="5">
        <f t="shared" si="0"/>
        <v>0</v>
      </c>
    </row>
    <row r="23" spans="3:11" x14ac:dyDescent="0.2">
      <c r="C23" t="s">
        <v>1610</v>
      </c>
      <c r="D23" t="b">
        <f t="shared" ca="1" si="3"/>
        <v>1</v>
      </c>
      <c r="E23" s="5">
        <f t="shared" si="4"/>
        <v>0</v>
      </c>
      <c r="F23">
        <v>7.4007400000000003E-3</v>
      </c>
      <c r="G23">
        <v>7.4007400000000003E-3</v>
      </c>
      <c r="H23">
        <v>7.4007400000000003E-3</v>
      </c>
      <c r="J23" s="5">
        <f t="shared" si="0"/>
        <v>0</v>
      </c>
      <c r="K23" s="5">
        <f t="shared" si="0"/>
        <v>0</v>
      </c>
    </row>
    <row r="24" spans="3:11" x14ac:dyDescent="0.2">
      <c r="C24" t="s">
        <v>1609</v>
      </c>
      <c r="D24" t="b">
        <f t="shared" ca="1" si="3"/>
        <v>1</v>
      </c>
      <c r="E24" s="5">
        <f t="shared" si="4"/>
        <v>8.410586124415513E-5</v>
      </c>
      <c r="F24">
        <v>1070.08</v>
      </c>
      <c r="G24">
        <v>1070.17</v>
      </c>
      <c r="H24">
        <v>1070.17</v>
      </c>
      <c r="J24" s="5">
        <f t="shared" si="0"/>
        <v>8.410586124415513E-5</v>
      </c>
      <c r="K24" s="5">
        <f t="shared" si="0"/>
        <v>0</v>
      </c>
    </row>
    <row r="25" spans="3:11" x14ac:dyDescent="0.2">
      <c r="C25" t="s">
        <v>1608</v>
      </c>
      <c r="D25" t="b">
        <f t="shared" ca="1" si="3"/>
        <v>1</v>
      </c>
      <c r="E25" s="5">
        <f t="shared" si="4"/>
        <v>9.3950378541737093E-5</v>
      </c>
      <c r="F25">
        <v>127.727</v>
      </c>
      <c r="G25">
        <v>127.739</v>
      </c>
      <c r="H25">
        <v>127.739</v>
      </c>
      <c r="J25" s="5">
        <f t="shared" si="0"/>
        <v>9.3950378541737093E-5</v>
      </c>
      <c r="K25" s="5">
        <f t="shared" si="0"/>
        <v>0</v>
      </c>
    </row>
    <row r="26" spans="3:11" x14ac:dyDescent="0.2">
      <c r="C26" t="s">
        <v>1607</v>
      </c>
      <c r="D26" t="b">
        <f t="shared" ca="1" si="3"/>
        <v>0</v>
      </c>
      <c r="E26" s="5">
        <f t="shared" si="4"/>
        <v>1.116198970439524E-4</v>
      </c>
      <c r="F26">
        <v>3762.77</v>
      </c>
      <c r="G26">
        <v>3763.19</v>
      </c>
      <c r="H26">
        <v>3763.19</v>
      </c>
      <c r="J26" s="5">
        <f t="shared" si="0"/>
        <v>1.116198970439524E-4</v>
      </c>
      <c r="K26" s="5">
        <f t="shared" si="0"/>
        <v>0</v>
      </c>
    </row>
    <row r="27" spans="3:11" x14ac:dyDescent="0.2">
      <c r="C27" t="s">
        <v>1606</v>
      </c>
      <c r="D27" t="b">
        <f t="shared" ca="1" si="3"/>
        <v>0</v>
      </c>
      <c r="E27" s="5">
        <f t="shared" si="4"/>
        <v>1.116198970439524E-4</v>
      </c>
      <c r="F27">
        <v>3762.77</v>
      </c>
      <c r="G27">
        <v>3763.19</v>
      </c>
      <c r="H27">
        <v>3763.19</v>
      </c>
      <c r="J27" s="5">
        <f t="shared" si="0"/>
        <v>1.116198970439524E-4</v>
      </c>
      <c r="K27" s="5">
        <f t="shared" si="0"/>
        <v>0</v>
      </c>
    </row>
    <row r="28" spans="3:11" x14ac:dyDescent="0.2">
      <c r="C28" t="s">
        <v>1605</v>
      </c>
      <c r="D28" t="b">
        <f t="shared" ca="1" si="3"/>
        <v>0</v>
      </c>
      <c r="E28" s="5">
        <f t="shared" si="4"/>
        <v>2.11971654313952</v>
      </c>
      <c r="F28" s="2">
        <v>3.2287099999999999E-14</v>
      </c>
      <c r="G28" s="2">
        <v>-3.61524E-14</v>
      </c>
      <c r="H28" s="2">
        <v>-1.3187699999999999E-14</v>
      </c>
      <c r="I28" s="2"/>
      <c r="J28" s="5">
        <f t="shared" si="0"/>
        <v>2.11971654313952</v>
      </c>
      <c r="K28" s="5">
        <f t="shared" si="0"/>
        <v>0.63521923855677631</v>
      </c>
    </row>
    <row r="29" spans="3:11" x14ac:dyDescent="0.2">
      <c r="C29" t="s">
        <v>1604</v>
      </c>
      <c r="D29" t="b">
        <f t="shared" ca="1" si="3"/>
        <v>0</v>
      </c>
      <c r="E29" s="5">
        <f t="shared" si="4"/>
        <v>1.1003975186025947E-4</v>
      </c>
      <c r="F29">
        <v>3635.05</v>
      </c>
      <c r="G29">
        <v>3635.45</v>
      </c>
      <c r="H29">
        <v>3635.45</v>
      </c>
      <c r="J29" s="5">
        <f t="shared" si="0"/>
        <v>1.1003975186025947E-4</v>
      </c>
      <c r="K29" s="5">
        <f t="shared" si="0"/>
        <v>0</v>
      </c>
    </row>
    <row r="30" spans="3:11" x14ac:dyDescent="0.2">
      <c r="C30" t="s">
        <v>1603</v>
      </c>
      <c r="D30" t="b">
        <f t="shared" ca="1" si="3"/>
        <v>0</v>
      </c>
      <c r="E30" s="5">
        <f t="shared" si="4"/>
        <v>1.1003975186025947E-4</v>
      </c>
      <c r="F30">
        <v>3635.05</v>
      </c>
      <c r="G30">
        <v>3635.45</v>
      </c>
      <c r="H30">
        <v>3635.45</v>
      </c>
      <c r="J30" s="5">
        <f t="shared" si="0"/>
        <v>1.1003975186025947E-4</v>
      </c>
      <c r="K30" s="5">
        <f t="shared" si="0"/>
        <v>0</v>
      </c>
    </row>
    <row r="31" spans="3:11" x14ac:dyDescent="0.2">
      <c r="C31" t="s">
        <v>1602</v>
      </c>
      <c r="D31" t="b">
        <f t="shared" ca="1" si="3"/>
        <v>0</v>
      </c>
      <c r="E31" s="5">
        <f t="shared" si="4"/>
        <v>3.3093848820439482E-2</v>
      </c>
      <c r="F31" s="2">
        <v>3.7789499999999998E-13</v>
      </c>
      <c r="G31" s="2">
        <v>3.65389E-13</v>
      </c>
      <c r="H31" s="2">
        <v>3.90855E-13</v>
      </c>
      <c r="I31" s="2"/>
      <c r="J31" s="5">
        <f t="shared" si="0"/>
        <v>3.3093848820439482E-2</v>
      </c>
      <c r="K31" s="5">
        <f t="shared" si="0"/>
        <v>6.9695584705615127E-2</v>
      </c>
    </row>
    <row r="32" spans="3:11" x14ac:dyDescent="0.2">
      <c r="C32" t="s">
        <v>1601</v>
      </c>
      <c r="D32" t="b">
        <f t="shared" ca="1" si="3"/>
        <v>1</v>
      </c>
      <c r="E32" s="5">
        <f t="shared" si="4"/>
        <v>2.0606417427145864E-5</v>
      </c>
      <c r="F32">
        <v>3.3969999999999998</v>
      </c>
      <c r="G32">
        <v>3.3970699999999998</v>
      </c>
      <c r="H32">
        <v>3.3970699999999998</v>
      </c>
      <c r="J32" s="5">
        <f t="shared" si="0"/>
        <v>2.0606417427145864E-5</v>
      </c>
      <c r="K32" s="5">
        <f t="shared" si="0"/>
        <v>0</v>
      </c>
    </row>
    <row r="33" spans="3:11" x14ac:dyDescent="0.2">
      <c r="C33" t="s">
        <v>1600</v>
      </c>
      <c r="D33" t="b">
        <f t="shared" ca="1" si="3"/>
        <v>1</v>
      </c>
      <c r="E33" s="5">
        <f t="shared" si="4"/>
        <v>0</v>
      </c>
      <c r="F33">
        <v>22.2</v>
      </c>
      <c r="G33">
        <v>22.2</v>
      </c>
      <c r="H33">
        <v>22.2</v>
      </c>
      <c r="J33" s="5">
        <f t="shared" si="0"/>
        <v>0</v>
      </c>
      <c r="K33" s="5">
        <f t="shared" si="0"/>
        <v>0</v>
      </c>
    </row>
    <row r="34" spans="3:11" x14ac:dyDescent="0.2">
      <c r="C34" t="s">
        <v>1599</v>
      </c>
      <c r="D34" t="b">
        <f t="shared" ca="1" si="3"/>
        <v>1</v>
      </c>
      <c r="E34" s="5">
        <f t="shared" si="4"/>
        <v>0</v>
      </c>
      <c r="F34">
        <v>6.5055499999999997E-3</v>
      </c>
      <c r="G34">
        <v>6.5055499999999997E-3</v>
      </c>
      <c r="H34">
        <v>6.5055499999999997E-3</v>
      </c>
      <c r="J34" s="5">
        <f t="shared" si="0"/>
        <v>0</v>
      </c>
      <c r="K34" s="5">
        <f t="shared" si="0"/>
        <v>0</v>
      </c>
    </row>
    <row r="35" spans="3:11" x14ac:dyDescent="0.2">
      <c r="C35" t="s">
        <v>1598</v>
      </c>
      <c r="D35" t="b">
        <f t="shared" ca="1" si="3"/>
        <v>1</v>
      </c>
      <c r="E35" s="5">
        <f t="shared" si="4"/>
        <v>0</v>
      </c>
      <c r="F35">
        <v>3.3997799999999998</v>
      </c>
      <c r="G35">
        <v>3.3997799999999998</v>
      </c>
      <c r="H35">
        <v>3.3997799999999998</v>
      </c>
      <c r="J35" s="5">
        <f t="shared" si="0"/>
        <v>0</v>
      </c>
      <c r="K35" s="5">
        <f t="shared" si="0"/>
        <v>0</v>
      </c>
    </row>
    <row r="36" spans="3:11" x14ac:dyDescent="0.2">
      <c r="C36" t="s">
        <v>1597</v>
      </c>
      <c r="D36" t="b">
        <f t="shared" ca="1" si="3"/>
        <v>1</v>
      </c>
      <c r="E36" s="5">
        <f t="shared" si="4"/>
        <v>0</v>
      </c>
      <c r="F36">
        <v>22.2</v>
      </c>
      <c r="G36">
        <v>22.2</v>
      </c>
      <c r="H36">
        <v>22.2</v>
      </c>
      <c r="J36" s="5">
        <f t="shared" si="0"/>
        <v>0</v>
      </c>
      <c r="K36" s="5">
        <f t="shared" si="0"/>
        <v>0</v>
      </c>
    </row>
    <row r="37" spans="3:11" x14ac:dyDescent="0.2">
      <c r="C37" t="s">
        <v>1596</v>
      </c>
      <c r="D37" t="b">
        <f t="shared" ca="1" si="3"/>
        <v>1</v>
      </c>
      <c r="E37" s="5">
        <f t="shared" si="4"/>
        <v>0</v>
      </c>
      <c r="F37">
        <v>6.5055499999999997E-3</v>
      </c>
      <c r="G37">
        <v>6.5055499999999997E-3</v>
      </c>
      <c r="H37">
        <v>6.5055499999999997E-3</v>
      </c>
      <c r="J37" s="5">
        <f t="shared" si="0"/>
        <v>0</v>
      </c>
      <c r="K37" s="5">
        <f t="shared" si="0"/>
        <v>0</v>
      </c>
    </row>
    <row r="38" spans="3:11" x14ac:dyDescent="0.2">
      <c r="C38" t="s">
        <v>1595</v>
      </c>
      <c r="D38" t="b">
        <f t="shared" ca="1" si="3"/>
        <v>0</v>
      </c>
      <c r="E38" s="5">
        <f t="shared" si="4"/>
        <v>4.4527798911284182E-4</v>
      </c>
      <c r="F38">
        <v>3.39114</v>
      </c>
      <c r="G38">
        <v>3.3926500000000002</v>
      </c>
      <c r="H38">
        <v>3.3926500000000002</v>
      </c>
      <c r="J38" s="5">
        <f t="shared" si="0"/>
        <v>4.4527798911284182E-4</v>
      </c>
      <c r="K38" s="5">
        <f t="shared" si="0"/>
        <v>0</v>
      </c>
    </row>
    <row r="39" spans="3:11" x14ac:dyDescent="0.2">
      <c r="C39" t="s">
        <v>1594</v>
      </c>
      <c r="D39" t="b">
        <f t="shared" ca="1" si="3"/>
        <v>1</v>
      </c>
      <c r="E39" s="5">
        <f t="shared" si="4"/>
        <v>0</v>
      </c>
      <c r="F39">
        <v>22.2</v>
      </c>
      <c r="G39">
        <v>22.2</v>
      </c>
      <c r="H39">
        <v>22.2</v>
      </c>
      <c r="J39" s="5">
        <f t="shared" si="0"/>
        <v>0</v>
      </c>
      <c r="K39" s="5">
        <f t="shared" si="0"/>
        <v>0</v>
      </c>
    </row>
    <row r="40" spans="3:11" x14ac:dyDescent="0.2">
      <c r="C40" t="s">
        <v>1593</v>
      </c>
      <c r="D40" t="b">
        <f t="shared" ca="1" si="3"/>
        <v>1</v>
      </c>
      <c r="E40" s="5">
        <f t="shared" si="4"/>
        <v>0</v>
      </c>
      <c r="F40">
        <v>6.5055499999999997E-3</v>
      </c>
      <c r="G40">
        <v>6.5055499999999997E-3</v>
      </c>
      <c r="H40">
        <v>6.5055499999999997E-3</v>
      </c>
      <c r="J40" s="5">
        <f t="shared" si="0"/>
        <v>0</v>
      </c>
      <c r="K40" s="5">
        <f t="shared" si="0"/>
        <v>0</v>
      </c>
    </row>
    <row r="41" spans="3:11" x14ac:dyDescent="0.2">
      <c r="C41" t="s">
        <v>1592</v>
      </c>
      <c r="D41" t="b">
        <f t="shared" ca="1" si="3"/>
        <v>1</v>
      </c>
      <c r="E41" s="5">
        <f t="shared" si="4"/>
        <v>9.9262479775292316E-5</v>
      </c>
      <c r="F41">
        <v>1007.43</v>
      </c>
      <c r="G41">
        <v>1007.53</v>
      </c>
      <c r="H41">
        <v>1007.53</v>
      </c>
      <c r="J41" s="5">
        <f t="shared" si="0"/>
        <v>9.9262479775292316E-5</v>
      </c>
      <c r="K41" s="5">
        <f t="shared" si="0"/>
        <v>0</v>
      </c>
    </row>
    <row r="42" spans="3:11" x14ac:dyDescent="0.2">
      <c r="C42" t="s">
        <v>1591</v>
      </c>
      <c r="D42" t="b">
        <f t="shared" ca="1" si="3"/>
        <v>0</v>
      </c>
      <c r="E42" s="5">
        <f t="shared" si="4"/>
        <v>1.029336078229581E-4</v>
      </c>
      <c r="F42">
        <v>116.58</v>
      </c>
      <c r="G42">
        <v>116.592</v>
      </c>
      <c r="H42">
        <v>116.592</v>
      </c>
      <c r="J42" s="5">
        <f t="shared" si="0"/>
        <v>1.029336078229581E-4</v>
      </c>
      <c r="K42" s="5">
        <f t="shared" si="0"/>
        <v>0</v>
      </c>
    </row>
    <row r="43" spans="3:11" x14ac:dyDescent="0.2">
      <c r="C43" t="s">
        <v>1590</v>
      </c>
      <c r="D43" t="b">
        <f t="shared" ca="1" si="3"/>
        <v>0</v>
      </c>
      <c r="E43" s="5">
        <f t="shared" si="4"/>
        <v>1.2812026221947485E-4</v>
      </c>
      <c r="F43">
        <v>3746.48</v>
      </c>
      <c r="G43">
        <v>3746.96</v>
      </c>
      <c r="H43">
        <v>3746.96</v>
      </c>
      <c r="J43" s="5">
        <f t="shared" si="0"/>
        <v>1.2812026221947485E-4</v>
      </c>
      <c r="K43" s="5">
        <f t="shared" si="0"/>
        <v>0</v>
      </c>
    </row>
    <row r="44" spans="3:11" x14ac:dyDescent="0.2">
      <c r="C44" t="s">
        <v>1589</v>
      </c>
      <c r="D44" t="b">
        <f t="shared" ca="1" si="3"/>
        <v>0</v>
      </c>
      <c r="E44" s="5">
        <f t="shared" si="4"/>
        <v>1.2812026221947485E-4</v>
      </c>
      <c r="F44">
        <v>3746.48</v>
      </c>
      <c r="G44">
        <v>3746.96</v>
      </c>
      <c r="H44">
        <v>3746.96</v>
      </c>
      <c r="J44" s="5">
        <f t="shared" si="0"/>
        <v>1.2812026221947485E-4</v>
      </c>
      <c r="K44" s="5">
        <f t="shared" si="0"/>
        <v>0</v>
      </c>
    </row>
    <row r="45" spans="3:11" x14ac:dyDescent="0.2">
      <c r="C45" t="s">
        <v>1588</v>
      </c>
      <c r="D45" t="b">
        <f t="shared" ca="1" si="3"/>
        <v>0</v>
      </c>
      <c r="E45" s="5">
        <f t="shared" si="4"/>
        <v>0.52000052776482797</v>
      </c>
      <c r="F45" s="2">
        <v>1.13687E-14</v>
      </c>
      <c r="G45" s="2">
        <v>5.45697E-15</v>
      </c>
      <c r="H45" s="2">
        <v>5.45697E-15</v>
      </c>
      <c r="I45" s="2"/>
      <c r="J45" s="5">
        <f t="shared" si="0"/>
        <v>0.52000052776482797</v>
      </c>
      <c r="K45" s="5">
        <f t="shared" si="0"/>
        <v>0</v>
      </c>
    </row>
    <row r="46" spans="3:11" x14ac:dyDescent="0.2">
      <c r="C46" t="s">
        <v>1587</v>
      </c>
      <c r="D46" t="b">
        <f t="shared" ca="1" si="3"/>
        <v>0</v>
      </c>
      <c r="E46" s="5">
        <f t="shared" si="4"/>
        <v>1.267252541392425E-4</v>
      </c>
      <c r="F46">
        <v>3629.9</v>
      </c>
      <c r="G46">
        <v>3630.36</v>
      </c>
      <c r="H46">
        <v>3630.36</v>
      </c>
      <c r="J46" s="5">
        <f t="shared" si="0"/>
        <v>1.267252541392425E-4</v>
      </c>
      <c r="K46" s="5">
        <f t="shared" si="0"/>
        <v>0</v>
      </c>
    </row>
    <row r="47" spans="3:11" x14ac:dyDescent="0.2">
      <c r="C47" t="s">
        <v>1586</v>
      </c>
      <c r="D47" t="b">
        <f t="shared" ca="1" si="3"/>
        <v>0</v>
      </c>
      <c r="E47" s="5">
        <f t="shared" si="4"/>
        <v>1.267252541392425E-4</v>
      </c>
      <c r="F47">
        <v>3629.9</v>
      </c>
      <c r="G47">
        <v>3630.36</v>
      </c>
      <c r="H47">
        <v>3630.36</v>
      </c>
      <c r="J47" s="5">
        <f t="shared" si="0"/>
        <v>1.267252541392425E-4</v>
      </c>
      <c r="K47" s="5">
        <f t="shared" si="0"/>
        <v>0</v>
      </c>
    </row>
    <row r="48" spans="3:11" x14ac:dyDescent="0.2">
      <c r="C48" t="s">
        <v>1585</v>
      </c>
      <c r="D48" t="b">
        <f t="shared" ca="1" si="3"/>
        <v>0</v>
      </c>
      <c r="E48" s="5">
        <f t="shared" si="4"/>
        <v>8.8123864328904455E-2</v>
      </c>
      <c r="F48" s="2">
        <v>3.56067E-13</v>
      </c>
      <c r="G48" s="2">
        <v>3.8744500000000002E-13</v>
      </c>
      <c r="H48" s="2">
        <v>3.8744500000000002E-13</v>
      </c>
      <c r="I48" s="2"/>
      <c r="J48" s="5">
        <f t="shared" si="0"/>
        <v>8.8123864328904455E-2</v>
      </c>
      <c r="K48" s="5">
        <f t="shared" si="0"/>
        <v>0</v>
      </c>
    </row>
    <row r="49" spans="3:11" x14ac:dyDescent="0.2">
      <c r="C49" t="s">
        <v>1584</v>
      </c>
      <c r="D49" t="b">
        <f t="shared" ca="1" si="3"/>
        <v>1</v>
      </c>
      <c r="E49" s="5">
        <f t="shared" si="4"/>
        <v>2.2202794776814733E-5</v>
      </c>
      <c r="F49">
        <v>3.6031499999999999</v>
      </c>
      <c r="G49">
        <v>3.6032299999999999</v>
      </c>
      <c r="H49">
        <v>3.6032299999999999</v>
      </c>
      <c r="J49" s="5">
        <f t="shared" si="0"/>
        <v>2.2202794776814733E-5</v>
      </c>
      <c r="K49" s="5">
        <f t="shared" si="0"/>
        <v>0</v>
      </c>
    </row>
    <row r="50" spans="3:11" x14ac:dyDescent="0.2">
      <c r="C50" t="s">
        <v>1583</v>
      </c>
      <c r="D50" t="b">
        <f t="shared" ca="1" si="3"/>
        <v>1</v>
      </c>
      <c r="E50" s="5">
        <f t="shared" si="4"/>
        <v>0</v>
      </c>
      <c r="F50">
        <v>26.700099999999999</v>
      </c>
      <c r="G50">
        <v>26.700099999999999</v>
      </c>
      <c r="H50">
        <v>26.700099999999999</v>
      </c>
      <c r="J50" s="5">
        <f t="shared" si="0"/>
        <v>0</v>
      </c>
      <c r="K50" s="5">
        <f t="shared" si="0"/>
        <v>0</v>
      </c>
    </row>
    <row r="51" spans="3:11" x14ac:dyDescent="0.2">
      <c r="C51" t="s">
        <v>1582</v>
      </c>
      <c r="D51" t="b">
        <f t="shared" ca="1" si="3"/>
        <v>1</v>
      </c>
      <c r="E51" s="5">
        <f t="shared" si="4"/>
        <v>0</v>
      </c>
      <c r="F51">
        <v>7.9384699999999996E-3</v>
      </c>
      <c r="G51">
        <v>7.9384699999999996E-3</v>
      </c>
      <c r="H51">
        <v>7.9384699999999996E-3</v>
      </c>
      <c r="J51" s="5">
        <f t="shared" si="0"/>
        <v>0</v>
      </c>
      <c r="K51" s="5">
        <f t="shared" si="0"/>
        <v>0</v>
      </c>
    </row>
    <row r="52" spans="3:11" x14ac:dyDescent="0.2">
      <c r="C52" t="s">
        <v>1581</v>
      </c>
      <c r="D52" t="b">
        <f t="shared" ca="1" si="3"/>
        <v>1</v>
      </c>
      <c r="E52" s="5">
        <f t="shared" si="4"/>
        <v>0</v>
      </c>
      <c r="F52">
        <v>3.6061399999999999</v>
      </c>
      <c r="G52">
        <v>3.6061399999999999</v>
      </c>
      <c r="H52">
        <v>3.6061399999999999</v>
      </c>
      <c r="J52" s="5">
        <f t="shared" si="0"/>
        <v>0</v>
      </c>
      <c r="K52" s="5">
        <f t="shared" si="0"/>
        <v>0</v>
      </c>
    </row>
    <row r="53" spans="3:11" x14ac:dyDescent="0.2">
      <c r="C53" t="s">
        <v>1580</v>
      </c>
      <c r="D53" t="b">
        <f t="shared" ca="1" si="3"/>
        <v>1</v>
      </c>
      <c r="E53" s="5">
        <f t="shared" si="4"/>
        <v>0</v>
      </c>
      <c r="F53">
        <v>26.700099999999999</v>
      </c>
      <c r="G53">
        <v>26.700099999999999</v>
      </c>
      <c r="H53">
        <v>26.700099999999999</v>
      </c>
      <c r="J53" s="5">
        <f t="shared" si="0"/>
        <v>0</v>
      </c>
      <c r="K53" s="5">
        <f t="shared" si="0"/>
        <v>0</v>
      </c>
    </row>
    <row r="54" spans="3:11" x14ac:dyDescent="0.2">
      <c r="C54" t="s">
        <v>1579</v>
      </c>
      <c r="D54" t="b">
        <f t="shared" ca="1" si="3"/>
        <v>1</v>
      </c>
      <c r="E54" s="5">
        <f t="shared" si="4"/>
        <v>0</v>
      </c>
      <c r="F54">
        <v>7.9384699999999996E-3</v>
      </c>
      <c r="G54">
        <v>7.9384699999999996E-3</v>
      </c>
      <c r="H54">
        <v>7.9384699999999996E-3</v>
      </c>
      <c r="J54" s="5">
        <f t="shared" si="0"/>
        <v>0</v>
      </c>
      <c r="K54" s="5">
        <f t="shared" si="0"/>
        <v>0</v>
      </c>
    </row>
    <row r="55" spans="3:11" x14ac:dyDescent="0.2">
      <c r="C55" t="s">
        <v>1578</v>
      </c>
      <c r="D55" t="b">
        <f t="shared" ca="1" si="3"/>
        <v>0</v>
      </c>
      <c r="E55" s="5">
        <f t="shared" si="4"/>
        <v>4.3091944308525537E-4</v>
      </c>
      <c r="F55">
        <v>3.5969600000000002</v>
      </c>
      <c r="G55">
        <v>3.5985100000000001</v>
      </c>
      <c r="H55">
        <v>3.5985100000000001</v>
      </c>
      <c r="J55" s="5">
        <f t="shared" si="0"/>
        <v>4.3091944308525537E-4</v>
      </c>
      <c r="K55" s="5">
        <f t="shared" si="0"/>
        <v>0</v>
      </c>
    </row>
    <row r="56" spans="3:11" x14ac:dyDescent="0.2">
      <c r="C56" t="s">
        <v>1577</v>
      </c>
      <c r="D56" t="b">
        <f t="shared" ca="1" si="3"/>
        <v>1</v>
      </c>
      <c r="E56" s="5">
        <f t="shared" si="4"/>
        <v>0</v>
      </c>
      <c r="F56">
        <v>26.700099999999999</v>
      </c>
      <c r="G56">
        <v>26.700099999999999</v>
      </c>
      <c r="H56">
        <v>26.700099999999999</v>
      </c>
      <c r="J56" s="5">
        <f t="shared" si="0"/>
        <v>0</v>
      </c>
      <c r="K56" s="5">
        <f t="shared" si="0"/>
        <v>0</v>
      </c>
    </row>
    <row r="57" spans="3:11" x14ac:dyDescent="0.2">
      <c r="C57" t="s">
        <v>1576</v>
      </c>
      <c r="D57" t="b">
        <f t="shared" ca="1" si="3"/>
        <v>1</v>
      </c>
      <c r="E57" s="5">
        <f t="shared" si="4"/>
        <v>0</v>
      </c>
      <c r="F57">
        <v>7.9384699999999996E-3</v>
      </c>
      <c r="G57">
        <v>7.9384699999999996E-3</v>
      </c>
      <c r="H57">
        <v>7.9384699999999996E-3</v>
      </c>
      <c r="J57" s="5">
        <f t="shared" si="0"/>
        <v>0</v>
      </c>
      <c r="K57" s="5">
        <f t="shared" si="0"/>
        <v>0</v>
      </c>
    </row>
    <row r="58" spans="3:11" x14ac:dyDescent="0.2">
      <c r="C58" t="s">
        <v>1575</v>
      </c>
      <c r="D58" t="b">
        <f t="shared" ca="1" si="3"/>
        <v>0</v>
      </c>
      <c r="E58" s="5">
        <f t="shared" si="4"/>
        <v>4.8986986098787447E-3</v>
      </c>
      <c r="F58">
        <v>108.19199999999999</v>
      </c>
      <c r="G58">
        <v>108.72199999999999</v>
      </c>
      <c r="H58">
        <v>108.72199999999999</v>
      </c>
      <c r="J58" s="5">
        <f t="shared" si="0"/>
        <v>4.8986986098787447E-3</v>
      </c>
      <c r="K58" s="5">
        <f t="shared" si="0"/>
        <v>0</v>
      </c>
    </row>
    <row r="59" spans="3:11" x14ac:dyDescent="0.2">
      <c r="C59" t="s">
        <v>1574</v>
      </c>
      <c r="D59" t="b">
        <f t="shared" ca="1" si="3"/>
        <v>0</v>
      </c>
      <c r="E59" s="5">
        <f t="shared" si="4"/>
        <v>4.9017689417656836E-3</v>
      </c>
      <c r="F59">
        <v>10.220800000000001</v>
      </c>
      <c r="G59">
        <v>10.270899999999999</v>
      </c>
      <c r="H59">
        <v>10.270899999999999</v>
      </c>
      <c r="J59" s="5">
        <f t="shared" si="0"/>
        <v>4.9017689417656836E-3</v>
      </c>
      <c r="K59" s="5">
        <f t="shared" si="0"/>
        <v>0</v>
      </c>
    </row>
    <row r="60" spans="3:11" x14ac:dyDescent="0.2">
      <c r="C60" t="s">
        <v>1573</v>
      </c>
      <c r="D60" t="b">
        <f t="shared" ca="1" si="3"/>
        <v>0</v>
      </c>
      <c r="E60" s="5">
        <f t="shared" si="4"/>
        <v>4.9695712181702326E-3</v>
      </c>
      <c r="F60">
        <v>215.91399999999999</v>
      </c>
      <c r="G60">
        <v>216.98699999999999</v>
      </c>
      <c r="H60">
        <v>216.98699999999999</v>
      </c>
      <c r="J60" s="5">
        <f t="shared" si="0"/>
        <v>4.9695712181702326E-3</v>
      </c>
      <c r="K60" s="5">
        <f t="shared" si="0"/>
        <v>0</v>
      </c>
    </row>
    <row r="61" spans="3:11" x14ac:dyDescent="0.2">
      <c r="C61" t="s">
        <v>1572</v>
      </c>
      <c r="D61" t="b">
        <f t="shared" ca="1" si="3"/>
        <v>0</v>
      </c>
      <c r="E61" s="5">
        <f t="shared" si="4"/>
        <v>4.9695712181702326E-3</v>
      </c>
      <c r="F61">
        <v>215.91399999999999</v>
      </c>
      <c r="G61">
        <v>216.98699999999999</v>
      </c>
      <c r="H61">
        <v>216.98699999999999</v>
      </c>
      <c r="J61" s="5">
        <f t="shared" si="0"/>
        <v>4.9695712181702326E-3</v>
      </c>
      <c r="K61" s="5">
        <f t="shared" si="0"/>
        <v>0</v>
      </c>
    </row>
    <row r="62" spans="3:11" x14ac:dyDescent="0.2">
      <c r="C62" t="s">
        <v>1571</v>
      </c>
      <c r="D62" t="b">
        <f t="shared" ca="1" si="3"/>
        <v>0</v>
      </c>
      <c r="E62" s="5">
        <f t="shared" si="4"/>
        <v>1.333333581547741</v>
      </c>
      <c r="F62" s="2">
        <v>-2.68585E-15</v>
      </c>
      <c r="G62" s="2">
        <v>8.9528400000000009E-16</v>
      </c>
      <c r="H62" s="2">
        <v>-7.9580799999999997E-16</v>
      </c>
      <c r="I62" s="2"/>
      <c r="J62" s="5">
        <f t="shared" si="0"/>
        <v>1.333333581547741</v>
      </c>
      <c r="K62" s="5">
        <f t="shared" si="0"/>
        <v>1.8888888888888888</v>
      </c>
    </row>
    <row r="63" spans="3:11" x14ac:dyDescent="0.2">
      <c r="C63" t="s">
        <v>1570</v>
      </c>
      <c r="D63" t="b">
        <f t="shared" ca="1" si="3"/>
        <v>0</v>
      </c>
      <c r="E63" s="5">
        <f t="shared" si="4"/>
        <v>4.968545509348935E-3</v>
      </c>
      <c r="F63">
        <v>205.69399999999999</v>
      </c>
      <c r="G63">
        <v>206.71600000000001</v>
      </c>
      <c r="H63">
        <v>206.71600000000001</v>
      </c>
      <c r="J63" s="5">
        <f t="shared" si="0"/>
        <v>4.968545509348935E-3</v>
      </c>
      <c r="K63" s="5">
        <f t="shared" si="0"/>
        <v>0</v>
      </c>
    </row>
    <row r="64" spans="3:11" x14ac:dyDescent="0.2">
      <c r="C64" t="s">
        <v>1569</v>
      </c>
      <c r="D64" t="b">
        <f t="shared" ca="1" si="3"/>
        <v>0</v>
      </c>
      <c r="E64" s="5">
        <f t="shared" si="4"/>
        <v>4.968545509348935E-3</v>
      </c>
      <c r="F64">
        <v>205.69399999999999</v>
      </c>
      <c r="G64">
        <v>206.71600000000001</v>
      </c>
      <c r="H64">
        <v>206.71600000000001</v>
      </c>
      <c r="J64" s="5">
        <f t="shared" si="0"/>
        <v>4.968545509348935E-3</v>
      </c>
      <c r="K64" s="5">
        <f t="shared" si="0"/>
        <v>0</v>
      </c>
    </row>
    <row r="65" spans="3:11" x14ac:dyDescent="0.2">
      <c r="C65" t="s">
        <v>1568</v>
      </c>
      <c r="D65" t="b">
        <f t="shared" ca="1" si="3"/>
        <v>0</v>
      </c>
      <c r="E65" s="5">
        <f t="shared" si="4"/>
        <v>5.2660211933896778E-2</v>
      </c>
      <c r="F65" s="2">
        <v>2.5366400000000001E-14</v>
      </c>
      <c r="G65" s="2">
        <v>2.6702200000000001E-14</v>
      </c>
      <c r="H65" s="2">
        <v>2.5195800000000001E-14</v>
      </c>
      <c r="I65" s="2"/>
      <c r="J65" s="5">
        <f t="shared" si="0"/>
        <v>5.2660211933896778E-2</v>
      </c>
      <c r="K65" s="5">
        <f t="shared" si="0"/>
        <v>5.6414827242699077E-2</v>
      </c>
    </row>
    <row r="66" spans="3:11" x14ac:dyDescent="0.2">
      <c r="C66" t="s">
        <v>1567</v>
      </c>
      <c r="D66" t="b">
        <f t="shared" ca="1" si="3"/>
        <v>1</v>
      </c>
      <c r="E66" s="5">
        <f t="shared" si="4"/>
        <v>6.8378226268791384E-5</v>
      </c>
      <c r="F66">
        <v>1.9011899999999999</v>
      </c>
      <c r="G66">
        <v>1.9013199999999999</v>
      </c>
      <c r="H66">
        <v>1.9013199999999999</v>
      </c>
      <c r="J66" s="5">
        <f t="shared" si="0"/>
        <v>6.8378226268791384E-5</v>
      </c>
      <c r="K66" s="5">
        <f t="shared" si="0"/>
        <v>0</v>
      </c>
    </row>
    <row r="67" spans="3:11" x14ac:dyDescent="0.2">
      <c r="C67" t="s">
        <v>1566</v>
      </c>
      <c r="D67" t="b">
        <f t="shared" ca="1" si="3"/>
        <v>1</v>
      </c>
      <c r="E67" s="5">
        <f t="shared" si="4"/>
        <v>0</v>
      </c>
      <c r="F67">
        <v>22.200099999999999</v>
      </c>
      <c r="G67">
        <v>22.200099999999999</v>
      </c>
      <c r="H67">
        <v>22.200099999999999</v>
      </c>
      <c r="J67" s="5">
        <f t="shared" si="0"/>
        <v>0</v>
      </c>
      <c r="K67" s="5">
        <f t="shared" si="0"/>
        <v>0</v>
      </c>
    </row>
    <row r="68" spans="3:11" x14ac:dyDescent="0.2">
      <c r="C68" t="s">
        <v>1565</v>
      </c>
      <c r="D68" t="b">
        <f t="shared" ca="1" si="3"/>
        <v>1</v>
      </c>
      <c r="E68" s="5">
        <f t="shared" si="4"/>
        <v>0</v>
      </c>
      <c r="F68">
        <v>7.40283E-3</v>
      </c>
      <c r="G68">
        <v>7.40283E-3</v>
      </c>
      <c r="H68">
        <v>7.40283E-3</v>
      </c>
      <c r="J68" s="5">
        <f t="shared" si="0"/>
        <v>0</v>
      </c>
      <c r="K68" s="5">
        <f t="shared" si="0"/>
        <v>0</v>
      </c>
    </row>
    <row r="69" spans="3:11" x14ac:dyDescent="0.2">
      <c r="C69" t="s">
        <v>1564</v>
      </c>
      <c r="D69" t="b">
        <f t="shared" ca="1" si="3"/>
        <v>1</v>
      </c>
      <c r="E69" s="5">
        <f t="shared" si="4"/>
        <v>0</v>
      </c>
      <c r="F69">
        <v>1.90354</v>
      </c>
      <c r="G69">
        <v>1.90354</v>
      </c>
      <c r="H69">
        <v>1.90354</v>
      </c>
      <c r="J69" s="5">
        <f t="shared" si="0"/>
        <v>0</v>
      </c>
      <c r="K69" s="5">
        <f t="shared" si="0"/>
        <v>0</v>
      </c>
    </row>
    <row r="70" spans="3:11" x14ac:dyDescent="0.2">
      <c r="C70" t="s">
        <v>1563</v>
      </c>
      <c r="D70" t="b">
        <f t="shared" ca="1" si="3"/>
        <v>1</v>
      </c>
      <c r="E70" s="5">
        <f t="shared" si="4"/>
        <v>0</v>
      </c>
      <c r="F70">
        <v>22.200099999999999</v>
      </c>
      <c r="G70">
        <v>22.200099999999999</v>
      </c>
      <c r="H70">
        <v>22.200099999999999</v>
      </c>
      <c r="J70" s="5">
        <f t="shared" si="0"/>
        <v>0</v>
      </c>
      <c r="K70" s="5">
        <f t="shared" si="0"/>
        <v>0</v>
      </c>
    </row>
    <row r="71" spans="3:11" x14ac:dyDescent="0.2">
      <c r="C71" t="s">
        <v>1562</v>
      </c>
      <c r="D71" t="b">
        <f t="shared" ca="1" si="3"/>
        <v>1</v>
      </c>
      <c r="E71" s="5">
        <f t="shared" si="4"/>
        <v>0</v>
      </c>
      <c r="F71">
        <v>7.40283E-3</v>
      </c>
      <c r="G71">
        <v>7.40283E-3</v>
      </c>
      <c r="H71">
        <v>7.40283E-3</v>
      </c>
      <c r="J71" s="5">
        <f t="shared" ref="J71:K134" si="5">ABS(F71-G71)/ABS(F71)</f>
        <v>0</v>
      </c>
      <c r="K71" s="5">
        <f t="shared" si="5"/>
        <v>0</v>
      </c>
    </row>
    <row r="72" spans="3:11" x14ac:dyDescent="0.2">
      <c r="C72" t="s">
        <v>1561</v>
      </c>
      <c r="D72" t="b">
        <f t="shared" ca="1" si="3"/>
        <v>0</v>
      </c>
      <c r="E72" s="5">
        <f t="shared" si="4"/>
        <v>1.3982250456401979E-3</v>
      </c>
      <c r="F72">
        <v>1.8952599999999999</v>
      </c>
      <c r="G72">
        <v>1.89791</v>
      </c>
      <c r="H72">
        <v>1.89791</v>
      </c>
      <c r="J72" s="5">
        <f t="shared" si="5"/>
        <v>1.3982250456401979E-3</v>
      </c>
      <c r="K72" s="5">
        <f t="shared" si="5"/>
        <v>0</v>
      </c>
    </row>
    <row r="73" spans="3:11" x14ac:dyDescent="0.2">
      <c r="C73" t="s">
        <v>1560</v>
      </c>
      <c r="D73" t="b">
        <f t="shared" ca="1" si="3"/>
        <v>1</v>
      </c>
      <c r="E73" s="5">
        <f t="shared" si="4"/>
        <v>0</v>
      </c>
      <c r="F73">
        <v>22.200099999999999</v>
      </c>
      <c r="G73">
        <v>22.200099999999999</v>
      </c>
      <c r="H73">
        <v>22.200099999999999</v>
      </c>
      <c r="J73" s="5">
        <f t="shared" si="5"/>
        <v>0</v>
      </c>
      <c r="K73" s="5">
        <f t="shared" si="5"/>
        <v>0</v>
      </c>
    </row>
    <row r="74" spans="3:11" x14ac:dyDescent="0.2">
      <c r="C74" t="s">
        <v>1559</v>
      </c>
      <c r="D74" t="b">
        <f t="shared" ca="1" si="3"/>
        <v>1</v>
      </c>
      <c r="E74" s="5">
        <f t="shared" si="4"/>
        <v>0</v>
      </c>
      <c r="F74">
        <v>7.40283E-3</v>
      </c>
      <c r="G74">
        <v>7.40283E-3</v>
      </c>
      <c r="H74">
        <v>7.40283E-3</v>
      </c>
      <c r="J74" s="5">
        <f t="shared" si="5"/>
        <v>0</v>
      </c>
      <c r="K74" s="5">
        <f t="shared" si="5"/>
        <v>0</v>
      </c>
    </row>
    <row r="75" spans="3:11" x14ac:dyDescent="0.2">
      <c r="C75" t="s">
        <v>1558</v>
      </c>
      <c r="D75" t="b">
        <f t="shared" ca="1" si="3"/>
        <v>0</v>
      </c>
      <c r="E75" s="5">
        <f t="shared" si="4"/>
        <v>2.1439640922879121E-3</v>
      </c>
      <c r="F75">
        <v>67.818299999999994</v>
      </c>
      <c r="G75">
        <v>67.963700000000003</v>
      </c>
      <c r="H75">
        <v>67.963700000000003</v>
      </c>
      <c r="J75" s="5">
        <f t="shared" si="5"/>
        <v>2.1439640922879121E-3</v>
      </c>
      <c r="K75" s="5">
        <f t="shared" si="5"/>
        <v>0</v>
      </c>
    </row>
    <row r="76" spans="3:11" x14ac:dyDescent="0.2">
      <c r="C76" t="s">
        <v>1557</v>
      </c>
      <c r="D76" t="b">
        <f t="shared" ca="1" si="3"/>
        <v>0</v>
      </c>
      <c r="E76" s="5">
        <f t="shared" si="4"/>
        <v>2.1434889823431389E-3</v>
      </c>
      <c r="F76">
        <v>8.0942799999999995</v>
      </c>
      <c r="G76">
        <v>8.1116299999999999</v>
      </c>
      <c r="H76">
        <v>8.1116299999999999</v>
      </c>
      <c r="J76" s="5">
        <f t="shared" si="5"/>
        <v>2.1434889823431389E-3</v>
      </c>
      <c r="K76" s="5">
        <f t="shared" si="5"/>
        <v>0</v>
      </c>
    </row>
    <row r="77" spans="3:11" x14ac:dyDescent="0.2">
      <c r="C77" t="s">
        <v>1556</v>
      </c>
      <c r="D77" t="b">
        <f t="shared" ca="1" si="3"/>
        <v>0</v>
      </c>
      <c r="E77" s="5">
        <f t="shared" si="4"/>
        <v>2.1708039636327068E-3</v>
      </c>
      <c r="F77">
        <v>195.78</v>
      </c>
      <c r="G77">
        <v>196.20500000000001</v>
      </c>
      <c r="H77">
        <v>196.20500000000001</v>
      </c>
      <c r="J77" s="5">
        <f t="shared" si="5"/>
        <v>2.1708039636327068E-3</v>
      </c>
      <c r="K77" s="5">
        <f t="shared" si="5"/>
        <v>0</v>
      </c>
    </row>
    <row r="78" spans="3:11" x14ac:dyDescent="0.2">
      <c r="C78" t="s">
        <v>1555</v>
      </c>
      <c r="D78" t="b">
        <f t="shared" ca="1" si="3"/>
        <v>0</v>
      </c>
      <c r="E78" s="5">
        <f t="shared" si="4"/>
        <v>2.1708039636327068E-3</v>
      </c>
      <c r="F78">
        <v>195.78</v>
      </c>
      <c r="G78">
        <v>196.20500000000001</v>
      </c>
      <c r="H78">
        <v>196.20500000000001</v>
      </c>
      <c r="J78" s="5">
        <f t="shared" si="5"/>
        <v>2.1708039636327068E-3</v>
      </c>
      <c r="K78" s="5">
        <f t="shared" si="5"/>
        <v>0</v>
      </c>
    </row>
    <row r="79" spans="3:11" x14ac:dyDescent="0.2">
      <c r="C79" t="s">
        <v>1554</v>
      </c>
      <c r="D79" t="b">
        <f t="shared" ca="1" si="3"/>
        <v>0</v>
      </c>
      <c r="E79" s="5">
        <f t="shared" si="4"/>
        <v>2.5211255042270833</v>
      </c>
      <c r="F79" s="2">
        <v>-1.0089699999999999E-15</v>
      </c>
      <c r="G79" s="2">
        <v>1.5347700000000001E-15</v>
      </c>
      <c r="H79" s="2">
        <v>1.5347700000000001E-15</v>
      </c>
      <c r="I79" s="2"/>
      <c r="J79" s="5">
        <f t="shared" si="5"/>
        <v>2.5211255042270833</v>
      </c>
      <c r="K79" s="5">
        <f t="shared" si="5"/>
        <v>0</v>
      </c>
    </row>
    <row r="80" spans="3:11" x14ac:dyDescent="0.2">
      <c r="C80" t="s">
        <v>1553</v>
      </c>
      <c r="D80" t="b">
        <f t="shared" ca="1" si="3"/>
        <v>0</v>
      </c>
      <c r="E80" s="5">
        <f t="shared" si="4"/>
        <v>2.1685154992912752E-3</v>
      </c>
      <c r="F80">
        <v>187.68600000000001</v>
      </c>
      <c r="G80">
        <v>188.09299999999999</v>
      </c>
      <c r="H80">
        <v>188.09299999999999</v>
      </c>
      <c r="J80" s="5">
        <f t="shared" si="5"/>
        <v>2.1685154992912752E-3</v>
      </c>
      <c r="K80" s="5">
        <f t="shared" si="5"/>
        <v>0</v>
      </c>
    </row>
    <row r="81" spans="3:11" x14ac:dyDescent="0.2">
      <c r="C81" t="s">
        <v>1552</v>
      </c>
      <c r="D81" t="b">
        <f t="shared" ca="1" si="3"/>
        <v>0</v>
      </c>
      <c r="E81" s="5">
        <f t="shared" si="4"/>
        <v>2.1685154992912752E-3</v>
      </c>
      <c r="F81">
        <v>187.68600000000001</v>
      </c>
      <c r="G81">
        <v>188.09299999999999</v>
      </c>
      <c r="H81">
        <v>188.09299999999999</v>
      </c>
      <c r="J81" s="5">
        <f t="shared" si="5"/>
        <v>2.1685154992912752E-3</v>
      </c>
      <c r="K81" s="5">
        <f t="shared" si="5"/>
        <v>0</v>
      </c>
    </row>
    <row r="82" spans="3:11" x14ac:dyDescent="0.2">
      <c r="C82" t="s">
        <v>1551</v>
      </c>
      <c r="D82" t="b">
        <f t="shared" ref="D82:D145" ca="1" si="6">IF(CELL("format",F82)="G",IF(ABS(F82-G82) &lt;= ABS(F82*B$3),TRUE,FALSE),IF(F82=G82,TRUE,FALSE))</f>
        <v>0</v>
      </c>
      <c r="E82" s="5">
        <f t="shared" ref="E82:E145" si="7">ABS(F82-G82)/ABS(F82)</f>
        <v>2.3009657284183221E-2</v>
      </c>
      <c r="F82" s="2">
        <v>2.0378400000000002E-14</v>
      </c>
      <c r="G82" s="2">
        <v>2.0847300000000001E-14</v>
      </c>
      <c r="H82" s="2">
        <v>2.0847300000000001E-14</v>
      </c>
      <c r="I82" s="2"/>
      <c r="J82" s="5">
        <f t="shared" si="5"/>
        <v>2.3009657284183221E-2</v>
      </c>
      <c r="K82" s="5">
        <f t="shared" si="5"/>
        <v>0</v>
      </c>
    </row>
    <row r="83" spans="3:11" x14ac:dyDescent="0.2">
      <c r="C83" t="s">
        <v>1550</v>
      </c>
      <c r="D83" t="b">
        <f t="shared" ca="1" si="6"/>
        <v>1</v>
      </c>
      <c r="E83" s="5">
        <f t="shared" si="7"/>
        <v>2.5293769060666922E-5</v>
      </c>
      <c r="F83">
        <v>2.7674799999999999</v>
      </c>
      <c r="G83">
        <v>2.76755</v>
      </c>
      <c r="H83">
        <v>2.76755</v>
      </c>
      <c r="J83" s="5">
        <f t="shared" si="5"/>
        <v>2.5293769060666922E-5</v>
      </c>
      <c r="K83" s="5">
        <f t="shared" si="5"/>
        <v>0</v>
      </c>
    </row>
    <row r="84" spans="3:11" x14ac:dyDescent="0.2">
      <c r="C84" t="s">
        <v>1549</v>
      </c>
      <c r="D84" t="b">
        <f t="shared" ca="1" si="6"/>
        <v>1</v>
      </c>
      <c r="E84" s="5">
        <f t="shared" si="7"/>
        <v>0</v>
      </c>
      <c r="F84">
        <v>22.200099999999999</v>
      </c>
      <c r="G84">
        <v>22.200099999999999</v>
      </c>
      <c r="H84">
        <v>22.200099999999999</v>
      </c>
      <c r="J84" s="5">
        <f t="shared" si="5"/>
        <v>0</v>
      </c>
      <c r="K84" s="5">
        <f t="shared" si="5"/>
        <v>0</v>
      </c>
    </row>
    <row r="85" spans="3:11" x14ac:dyDescent="0.2">
      <c r="C85" t="s">
        <v>1548</v>
      </c>
      <c r="D85" t="b">
        <f t="shared" ca="1" si="6"/>
        <v>1</v>
      </c>
      <c r="E85" s="5">
        <f t="shared" si="7"/>
        <v>0</v>
      </c>
      <c r="F85">
        <v>6.5112499999999997E-3</v>
      </c>
      <c r="G85">
        <v>6.5112499999999997E-3</v>
      </c>
      <c r="H85">
        <v>6.5112499999999997E-3</v>
      </c>
      <c r="J85" s="5">
        <f t="shared" si="5"/>
        <v>0</v>
      </c>
      <c r="K85" s="5">
        <f t="shared" si="5"/>
        <v>0</v>
      </c>
    </row>
    <row r="86" spans="3:11" x14ac:dyDescent="0.2">
      <c r="C86" t="s">
        <v>1547</v>
      </c>
      <c r="D86" t="b">
        <f t="shared" ca="1" si="6"/>
        <v>1</v>
      </c>
      <c r="E86" s="5">
        <f t="shared" si="7"/>
        <v>0</v>
      </c>
      <c r="F86">
        <v>2.7708200000000001</v>
      </c>
      <c r="G86">
        <v>2.7708200000000001</v>
      </c>
      <c r="H86">
        <v>2.7708200000000001</v>
      </c>
      <c r="J86" s="5">
        <f t="shared" si="5"/>
        <v>0</v>
      </c>
      <c r="K86" s="5">
        <f t="shared" si="5"/>
        <v>0</v>
      </c>
    </row>
    <row r="87" spans="3:11" x14ac:dyDescent="0.2">
      <c r="C87" t="s">
        <v>1546</v>
      </c>
      <c r="D87" t="b">
        <f t="shared" ca="1" si="6"/>
        <v>1</v>
      </c>
      <c r="E87" s="5">
        <f t="shared" si="7"/>
        <v>0</v>
      </c>
      <c r="F87">
        <v>22.200099999999999</v>
      </c>
      <c r="G87">
        <v>22.200099999999999</v>
      </c>
      <c r="H87">
        <v>22.200099999999999</v>
      </c>
      <c r="J87" s="5">
        <f t="shared" si="5"/>
        <v>0</v>
      </c>
      <c r="K87" s="5">
        <f t="shared" si="5"/>
        <v>0</v>
      </c>
    </row>
    <row r="88" spans="3:11" x14ac:dyDescent="0.2">
      <c r="C88" t="s">
        <v>1545</v>
      </c>
      <c r="D88" t="b">
        <f t="shared" ca="1" si="6"/>
        <v>1</v>
      </c>
      <c r="E88" s="5">
        <f t="shared" si="7"/>
        <v>0</v>
      </c>
      <c r="F88">
        <v>6.5112499999999997E-3</v>
      </c>
      <c r="G88">
        <v>6.5112499999999997E-3</v>
      </c>
      <c r="H88">
        <v>6.5112499999999997E-3</v>
      </c>
      <c r="J88" s="5">
        <f t="shared" si="5"/>
        <v>0</v>
      </c>
      <c r="K88" s="5">
        <f t="shared" si="5"/>
        <v>0</v>
      </c>
    </row>
    <row r="89" spans="3:11" x14ac:dyDescent="0.2">
      <c r="C89" t="s">
        <v>1544</v>
      </c>
      <c r="D89" t="b">
        <f t="shared" ca="1" si="6"/>
        <v>0</v>
      </c>
      <c r="E89" s="5">
        <f t="shared" si="7"/>
        <v>5.4689735352391041E-4</v>
      </c>
      <c r="F89">
        <v>2.7610299999999999</v>
      </c>
      <c r="G89">
        <v>2.76254</v>
      </c>
      <c r="H89">
        <v>2.76254</v>
      </c>
      <c r="J89" s="5">
        <f t="shared" si="5"/>
        <v>5.4689735352391041E-4</v>
      </c>
      <c r="K89" s="5">
        <f t="shared" si="5"/>
        <v>0</v>
      </c>
    </row>
    <row r="90" spans="3:11" x14ac:dyDescent="0.2">
      <c r="C90" t="s">
        <v>1543</v>
      </c>
      <c r="D90" t="b">
        <f t="shared" ca="1" si="6"/>
        <v>1</v>
      </c>
      <c r="E90" s="5">
        <f t="shared" si="7"/>
        <v>0</v>
      </c>
      <c r="F90">
        <v>22.200099999999999</v>
      </c>
      <c r="G90">
        <v>22.200099999999999</v>
      </c>
      <c r="H90">
        <v>22.200099999999999</v>
      </c>
      <c r="J90" s="5">
        <f t="shared" si="5"/>
        <v>0</v>
      </c>
      <c r="K90" s="5">
        <f t="shared" si="5"/>
        <v>0</v>
      </c>
    </row>
    <row r="91" spans="3:11" x14ac:dyDescent="0.2">
      <c r="C91" t="s">
        <v>1542</v>
      </c>
      <c r="D91" t="b">
        <f t="shared" ca="1" si="6"/>
        <v>1</v>
      </c>
      <c r="E91" s="5">
        <f t="shared" si="7"/>
        <v>0</v>
      </c>
      <c r="F91">
        <v>6.5112499999999997E-3</v>
      </c>
      <c r="G91">
        <v>6.5112499999999997E-3</v>
      </c>
      <c r="H91">
        <v>6.5112499999999997E-3</v>
      </c>
      <c r="J91" s="5">
        <f t="shared" si="5"/>
        <v>0</v>
      </c>
      <c r="K91" s="5">
        <f t="shared" si="5"/>
        <v>0</v>
      </c>
    </row>
    <row r="92" spans="3:11" x14ac:dyDescent="0.2">
      <c r="C92" t="s">
        <v>1541</v>
      </c>
      <c r="D92" t="b">
        <f t="shared" ca="1" si="6"/>
        <v>1</v>
      </c>
      <c r="E92" s="5">
        <f t="shared" si="7"/>
        <v>7.5132107288580863E-5</v>
      </c>
      <c r="F92">
        <v>1197.8900000000001</v>
      </c>
      <c r="G92">
        <v>1197.98</v>
      </c>
      <c r="H92">
        <v>1197.98</v>
      </c>
      <c r="J92" s="5">
        <f t="shared" si="5"/>
        <v>7.5132107288580863E-5</v>
      </c>
      <c r="K92" s="5">
        <f t="shared" si="5"/>
        <v>0</v>
      </c>
    </row>
    <row r="93" spans="3:11" x14ac:dyDescent="0.2">
      <c r="C93" t="s">
        <v>1540</v>
      </c>
      <c r="D93" t="b">
        <f t="shared" ca="1" si="6"/>
        <v>1</v>
      </c>
      <c r="E93" s="5">
        <f t="shared" si="7"/>
        <v>7.8348136382706997E-5</v>
      </c>
      <c r="F93">
        <v>140.399</v>
      </c>
      <c r="G93">
        <v>140.41</v>
      </c>
      <c r="H93">
        <v>140.41</v>
      </c>
      <c r="J93" s="5">
        <f t="shared" si="5"/>
        <v>7.8348136382706997E-5</v>
      </c>
      <c r="K93" s="5">
        <f t="shared" si="5"/>
        <v>0</v>
      </c>
    </row>
    <row r="94" spans="3:11" x14ac:dyDescent="0.2">
      <c r="C94" t="s">
        <v>1539</v>
      </c>
      <c r="D94" t="b">
        <f t="shared" ca="1" si="6"/>
        <v>1</v>
      </c>
      <c r="E94" s="5">
        <f t="shared" si="7"/>
        <v>9.3161502118331246E-5</v>
      </c>
      <c r="F94">
        <v>4508.3</v>
      </c>
      <c r="G94">
        <v>4508.72</v>
      </c>
      <c r="H94">
        <v>4508.72</v>
      </c>
      <c r="J94" s="5">
        <f t="shared" si="5"/>
        <v>9.3161502118331246E-5</v>
      </c>
      <c r="K94" s="5">
        <f t="shared" si="5"/>
        <v>0</v>
      </c>
    </row>
    <row r="95" spans="3:11" x14ac:dyDescent="0.2">
      <c r="C95" t="s">
        <v>1538</v>
      </c>
      <c r="D95" t="b">
        <f t="shared" ca="1" si="6"/>
        <v>0</v>
      </c>
      <c r="E95" s="5">
        <f t="shared" si="7"/>
        <v>1.1143243745193091E-4</v>
      </c>
      <c r="F95">
        <v>3769.1</v>
      </c>
      <c r="G95">
        <v>3769.52</v>
      </c>
      <c r="H95">
        <v>3769.52</v>
      </c>
      <c r="J95" s="5">
        <f t="shared" si="5"/>
        <v>1.1143243745193091E-4</v>
      </c>
      <c r="K95" s="5">
        <f t="shared" si="5"/>
        <v>0</v>
      </c>
    </row>
    <row r="96" spans="3:11" x14ac:dyDescent="0.2">
      <c r="C96" t="s">
        <v>1537</v>
      </c>
      <c r="D96" t="b">
        <f t="shared" ca="1" si="6"/>
        <v>1</v>
      </c>
      <c r="E96" s="5">
        <f t="shared" si="7"/>
        <v>0</v>
      </c>
      <c r="F96">
        <v>739.20100000000002</v>
      </c>
      <c r="G96">
        <v>739.20100000000002</v>
      </c>
      <c r="H96">
        <v>739.20100000000002</v>
      </c>
      <c r="J96" s="5">
        <f t="shared" si="5"/>
        <v>0</v>
      </c>
      <c r="K96" s="5">
        <f t="shared" si="5"/>
        <v>0</v>
      </c>
    </row>
    <row r="97" spans="3:11" x14ac:dyDescent="0.2">
      <c r="C97" t="s">
        <v>1536</v>
      </c>
      <c r="D97" t="b">
        <f t="shared" ca="1" si="6"/>
        <v>1</v>
      </c>
      <c r="E97" s="5">
        <f t="shared" si="7"/>
        <v>9.3866617825674585E-5</v>
      </c>
      <c r="F97">
        <v>4367.8999999999996</v>
      </c>
      <c r="G97">
        <v>4368.3100000000004</v>
      </c>
      <c r="H97">
        <v>4368.3100000000004</v>
      </c>
      <c r="J97" s="5">
        <f t="shared" si="5"/>
        <v>9.3866617825674585E-5</v>
      </c>
      <c r="K97" s="5">
        <f t="shared" si="5"/>
        <v>0</v>
      </c>
    </row>
    <row r="98" spans="3:11" x14ac:dyDescent="0.2">
      <c r="C98" t="s">
        <v>1535</v>
      </c>
      <c r="D98" t="b">
        <f t="shared" ca="1" si="6"/>
        <v>0</v>
      </c>
      <c r="E98" s="5">
        <f t="shared" si="7"/>
        <v>1.1003975186025947E-4</v>
      </c>
      <c r="F98">
        <v>3635.05</v>
      </c>
      <c r="G98">
        <v>3635.45</v>
      </c>
      <c r="H98">
        <v>3635.45</v>
      </c>
      <c r="J98" s="5">
        <f t="shared" si="5"/>
        <v>1.1003975186025947E-4</v>
      </c>
      <c r="K98" s="5">
        <f t="shared" si="5"/>
        <v>0</v>
      </c>
    </row>
    <row r="99" spans="3:11" x14ac:dyDescent="0.2">
      <c r="C99" t="s">
        <v>1534</v>
      </c>
      <c r="D99" t="b">
        <f t="shared" ca="1" si="6"/>
        <v>1</v>
      </c>
      <c r="E99" s="5">
        <f t="shared" si="7"/>
        <v>0</v>
      </c>
      <c r="F99">
        <v>732.85599999999999</v>
      </c>
      <c r="G99">
        <v>732.85599999999999</v>
      </c>
      <c r="H99">
        <v>732.85599999999999</v>
      </c>
      <c r="J99" s="5">
        <f t="shared" si="5"/>
        <v>0</v>
      </c>
      <c r="K99" s="5">
        <f t="shared" si="5"/>
        <v>0</v>
      </c>
    </row>
    <row r="100" spans="3:11" x14ac:dyDescent="0.2">
      <c r="C100" t="s">
        <v>1533</v>
      </c>
      <c r="D100" t="b">
        <f t="shared" ca="1" si="6"/>
        <v>1</v>
      </c>
      <c r="E100" s="5">
        <f t="shared" si="7"/>
        <v>1.6454856102269396E-5</v>
      </c>
      <c r="F100">
        <v>3.6463399999999999</v>
      </c>
      <c r="G100">
        <v>3.6463999999999999</v>
      </c>
      <c r="H100">
        <v>3.6463999999999999</v>
      </c>
      <c r="J100" s="5">
        <f t="shared" si="5"/>
        <v>1.6454856102269396E-5</v>
      </c>
      <c r="K100" s="5">
        <f t="shared" si="5"/>
        <v>0</v>
      </c>
    </row>
    <row r="101" spans="3:11" x14ac:dyDescent="0.2">
      <c r="C101" t="s">
        <v>1532</v>
      </c>
      <c r="D101" t="b">
        <f t="shared" ca="1" si="6"/>
        <v>1</v>
      </c>
      <c r="E101" s="5">
        <f t="shared" si="7"/>
        <v>0</v>
      </c>
      <c r="F101">
        <v>22.2</v>
      </c>
      <c r="G101">
        <v>22.2</v>
      </c>
      <c r="H101">
        <v>22.2</v>
      </c>
      <c r="J101" s="5">
        <f t="shared" si="5"/>
        <v>0</v>
      </c>
      <c r="K101" s="5">
        <f t="shared" si="5"/>
        <v>0</v>
      </c>
    </row>
    <row r="102" spans="3:11" x14ac:dyDescent="0.2">
      <c r="C102" t="s">
        <v>1531</v>
      </c>
      <c r="D102" t="b">
        <f t="shared" ca="1" si="6"/>
        <v>1</v>
      </c>
      <c r="E102" s="5">
        <f t="shared" si="7"/>
        <v>2.034446774094134E-5</v>
      </c>
      <c r="F102">
        <v>8.3560800000000001E-3</v>
      </c>
      <c r="G102">
        <v>8.3559099999999994E-3</v>
      </c>
      <c r="H102">
        <v>8.3559099999999994E-3</v>
      </c>
      <c r="J102" s="5">
        <f t="shared" si="5"/>
        <v>2.034446774094134E-5</v>
      </c>
      <c r="K102" s="5">
        <f t="shared" si="5"/>
        <v>0</v>
      </c>
    </row>
    <row r="103" spans="3:11" x14ac:dyDescent="0.2">
      <c r="C103" t="s">
        <v>1530</v>
      </c>
      <c r="D103" t="b">
        <f t="shared" ca="1" si="6"/>
        <v>1</v>
      </c>
      <c r="E103" s="5">
        <f t="shared" si="7"/>
        <v>0</v>
      </c>
      <c r="F103">
        <v>3.6507800000000001</v>
      </c>
      <c r="G103">
        <v>3.6507800000000001</v>
      </c>
      <c r="H103">
        <v>3.6507800000000001</v>
      </c>
      <c r="J103" s="5">
        <f t="shared" si="5"/>
        <v>0</v>
      </c>
      <c r="K103" s="5">
        <f t="shared" si="5"/>
        <v>0</v>
      </c>
    </row>
    <row r="104" spans="3:11" x14ac:dyDescent="0.2">
      <c r="C104" t="s">
        <v>1529</v>
      </c>
      <c r="D104" t="b">
        <f t="shared" ca="1" si="6"/>
        <v>1</v>
      </c>
      <c r="E104" s="5">
        <f t="shared" si="7"/>
        <v>0</v>
      </c>
      <c r="F104">
        <v>22.2</v>
      </c>
      <c r="G104">
        <v>22.2</v>
      </c>
      <c r="H104">
        <v>22.2</v>
      </c>
      <c r="J104" s="5">
        <f t="shared" si="5"/>
        <v>0</v>
      </c>
      <c r="K104" s="5">
        <f t="shared" si="5"/>
        <v>0</v>
      </c>
    </row>
    <row r="105" spans="3:11" x14ac:dyDescent="0.2">
      <c r="C105" t="s">
        <v>1528</v>
      </c>
      <c r="D105" t="b">
        <f t="shared" ca="1" si="6"/>
        <v>0</v>
      </c>
      <c r="E105" s="5">
        <f t="shared" si="7"/>
        <v>3.7962488763443103E-4</v>
      </c>
      <c r="F105">
        <v>8.3766899999999991E-3</v>
      </c>
      <c r="G105">
        <v>8.3735100000000007E-3</v>
      </c>
      <c r="H105">
        <v>8.3735100000000007E-3</v>
      </c>
      <c r="J105" s="5">
        <f t="shared" si="5"/>
        <v>3.7962488763443103E-4</v>
      </c>
      <c r="K105" s="5">
        <f t="shared" si="5"/>
        <v>0</v>
      </c>
    </row>
    <row r="106" spans="3:11" x14ac:dyDescent="0.2">
      <c r="C106" t="s">
        <v>1527</v>
      </c>
      <c r="D106" t="b">
        <f t="shared" ca="1" si="6"/>
        <v>0</v>
      </c>
      <c r="E106" s="5">
        <f t="shared" si="7"/>
        <v>4.3943971436413725E-4</v>
      </c>
      <c r="F106">
        <v>3.641</v>
      </c>
      <c r="G106">
        <v>3.6425999999999998</v>
      </c>
      <c r="H106">
        <v>3.6425999999999998</v>
      </c>
      <c r="J106" s="5">
        <f t="shared" si="5"/>
        <v>4.3943971436413725E-4</v>
      </c>
      <c r="K106" s="5">
        <f t="shared" si="5"/>
        <v>0</v>
      </c>
    </row>
    <row r="107" spans="3:11" x14ac:dyDescent="0.2">
      <c r="C107" t="s">
        <v>1526</v>
      </c>
      <c r="D107" t="b">
        <f t="shared" ca="1" si="6"/>
        <v>1</v>
      </c>
      <c r="E107" s="5">
        <f t="shared" si="7"/>
        <v>0</v>
      </c>
      <c r="F107">
        <v>22.2</v>
      </c>
      <c r="G107">
        <v>22.2</v>
      </c>
      <c r="H107">
        <v>22.2</v>
      </c>
      <c r="J107" s="5">
        <f t="shared" si="5"/>
        <v>0</v>
      </c>
      <c r="K107" s="5">
        <f t="shared" si="5"/>
        <v>0</v>
      </c>
    </row>
    <row r="108" spans="3:11" x14ac:dyDescent="0.2">
      <c r="C108" t="s">
        <v>1525</v>
      </c>
      <c r="D108" t="b">
        <f t="shared" ca="1" si="6"/>
        <v>1</v>
      </c>
      <c r="E108" s="5">
        <f t="shared" si="7"/>
        <v>0</v>
      </c>
      <c r="F108">
        <v>8.2846699999999992E-3</v>
      </c>
      <c r="G108">
        <v>8.2846699999999992E-3</v>
      </c>
      <c r="H108">
        <v>8.2846699999999992E-3</v>
      </c>
      <c r="J108" s="5">
        <f t="shared" si="5"/>
        <v>0</v>
      </c>
      <c r="K108" s="5">
        <f t="shared" si="5"/>
        <v>0</v>
      </c>
    </row>
    <row r="109" spans="3:11" x14ac:dyDescent="0.2">
      <c r="C109" t="s">
        <v>1524</v>
      </c>
      <c r="D109" t="b">
        <f t="shared" ca="1" si="6"/>
        <v>1</v>
      </c>
      <c r="E109" s="5">
        <f t="shared" si="7"/>
        <v>8.829710208922989E-5</v>
      </c>
      <c r="F109">
        <v>1132.54</v>
      </c>
      <c r="G109">
        <v>1132.6400000000001</v>
      </c>
      <c r="H109">
        <v>1132.6400000000001</v>
      </c>
      <c r="J109" s="5">
        <f t="shared" si="5"/>
        <v>8.829710208922989E-5</v>
      </c>
      <c r="K109" s="5">
        <f t="shared" si="5"/>
        <v>0</v>
      </c>
    </row>
    <row r="110" spans="3:11" x14ac:dyDescent="0.2">
      <c r="C110" t="s">
        <v>1523</v>
      </c>
      <c r="D110" t="b">
        <f t="shared" ca="1" si="6"/>
        <v>1</v>
      </c>
      <c r="E110" s="5">
        <f t="shared" si="7"/>
        <v>8.5643101837400186E-5</v>
      </c>
      <c r="F110">
        <v>128.44</v>
      </c>
      <c r="G110">
        <v>128.45099999999999</v>
      </c>
      <c r="H110">
        <v>128.45099999999999</v>
      </c>
      <c r="J110" s="5">
        <f t="shared" si="5"/>
        <v>8.5643101837400186E-5</v>
      </c>
      <c r="K110" s="5">
        <f t="shared" si="5"/>
        <v>0</v>
      </c>
    </row>
    <row r="111" spans="3:11" x14ac:dyDescent="0.2">
      <c r="C111" t="s">
        <v>1522</v>
      </c>
      <c r="D111" t="b">
        <f t="shared" ca="1" si="6"/>
        <v>0</v>
      </c>
      <c r="E111" s="5">
        <f t="shared" si="7"/>
        <v>1.0466517166187028E-4</v>
      </c>
      <c r="F111">
        <v>4490.51</v>
      </c>
      <c r="G111">
        <v>4490.9799999999996</v>
      </c>
      <c r="H111">
        <v>4490.9799999999996</v>
      </c>
      <c r="J111" s="5">
        <f t="shared" si="5"/>
        <v>1.0466517166187028E-4</v>
      </c>
      <c r="K111" s="5">
        <f t="shared" si="5"/>
        <v>0</v>
      </c>
    </row>
    <row r="112" spans="3:11" x14ac:dyDescent="0.2">
      <c r="C112" t="s">
        <v>1521</v>
      </c>
      <c r="D112" t="b">
        <f t="shared" ca="1" si="6"/>
        <v>0</v>
      </c>
      <c r="E112" s="5">
        <f t="shared" si="7"/>
        <v>1.2795564204409624E-4</v>
      </c>
      <c r="F112">
        <v>3751.3</v>
      </c>
      <c r="G112">
        <v>3751.78</v>
      </c>
      <c r="H112">
        <v>3751.78</v>
      </c>
      <c r="J112" s="5">
        <f t="shared" si="5"/>
        <v>1.2795564204409624E-4</v>
      </c>
      <c r="K112" s="5">
        <f t="shared" si="5"/>
        <v>0</v>
      </c>
    </row>
    <row r="113" spans="3:11" x14ac:dyDescent="0.2">
      <c r="C113" t="s">
        <v>1520</v>
      </c>
      <c r="D113" t="b">
        <f t="shared" ca="1" si="6"/>
        <v>1</v>
      </c>
      <c r="E113" s="5">
        <f t="shared" si="7"/>
        <v>0</v>
      </c>
      <c r="F113">
        <v>739.2</v>
      </c>
      <c r="G113">
        <v>739.2</v>
      </c>
      <c r="H113">
        <v>739.2</v>
      </c>
      <c r="J113" s="5">
        <f t="shared" si="5"/>
        <v>0</v>
      </c>
      <c r="K113" s="5">
        <f t="shared" si="5"/>
        <v>0</v>
      </c>
    </row>
    <row r="114" spans="3:11" x14ac:dyDescent="0.2">
      <c r="C114" t="s">
        <v>1519</v>
      </c>
      <c r="D114" t="b">
        <f t="shared" ca="1" si="6"/>
        <v>0</v>
      </c>
      <c r="E114" s="5">
        <f t="shared" si="7"/>
        <v>1.0545452044557662E-4</v>
      </c>
      <c r="F114">
        <v>4362.07</v>
      </c>
      <c r="G114">
        <v>4362.53</v>
      </c>
      <c r="H114">
        <v>4362.53</v>
      </c>
      <c r="J114" s="5">
        <f t="shared" si="5"/>
        <v>1.0545452044557662E-4</v>
      </c>
      <c r="K114" s="5">
        <f t="shared" si="5"/>
        <v>0</v>
      </c>
    </row>
    <row r="115" spans="3:11" x14ac:dyDescent="0.2">
      <c r="C115" t="s">
        <v>1518</v>
      </c>
      <c r="D115" t="b">
        <f t="shared" ca="1" si="6"/>
        <v>0</v>
      </c>
      <c r="E115" s="5">
        <f t="shared" si="7"/>
        <v>1.267252541392425E-4</v>
      </c>
      <c r="F115">
        <v>3629.9</v>
      </c>
      <c r="G115">
        <v>3630.36</v>
      </c>
      <c r="H115">
        <v>3630.36</v>
      </c>
      <c r="J115" s="5">
        <f t="shared" si="5"/>
        <v>1.267252541392425E-4</v>
      </c>
      <c r="K115" s="5">
        <f t="shared" si="5"/>
        <v>0</v>
      </c>
    </row>
    <row r="116" spans="3:11" x14ac:dyDescent="0.2">
      <c r="C116" t="s">
        <v>1517</v>
      </c>
      <c r="D116" t="b">
        <f t="shared" ca="1" si="6"/>
        <v>1</v>
      </c>
      <c r="E116" s="5">
        <f t="shared" si="7"/>
        <v>0</v>
      </c>
      <c r="F116">
        <v>732.16700000000003</v>
      </c>
      <c r="G116">
        <v>732.16700000000003</v>
      </c>
      <c r="H116">
        <v>732.16700000000003</v>
      </c>
      <c r="J116" s="5">
        <f t="shared" si="5"/>
        <v>0</v>
      </c>
      <c r="K116" s="5">
        <f t="shared" si="5"/>
        <v>0</v>
      </c>
    </row>
    <row r="117" spans="3:11" x14ac:dyDescent="0.2">
      <c r="C117" t="s">
        <v>1516</v>
      </c>
      <c r="D117" t="b">
        <f t="shared" ca="1" si="6"/>
        <v>1</v>
      </c>
      <c r="E117" s="5">
        <f t="shared" si="7"/>
        <v>1.8174359613461099E-5</v>
      </c>
      <c r="F117">
        <v>3.8515799999999998</v>
      </c>
      <c r="G117">
        <v>3.8516499999999998</v>
      </c>
      <c r="H117">
        <v>3.8516499999999998</v>
      </c>
      <c r="J117" s="5">
        <f t="shared" si="5"/>
        <v>1.8174359613461099E-5</v>
      </c>
      <c r="K117" s="5">
        <f t="shared" si="5"/>
        <v>0</v>
      </c>
    </row>
    <row r="118" spans="3:11" x14ac:dyDescent="0.2">
      <c r="C118" t="s">
        <v>1515</v>
      </c>
      <c r="D118" t="b">
        <f t="shared" ca="1" si="6"/>
        <v>1</v>
      </c>
      <c r="E118" s="5">
        <f t="shared" si="7"/>
        <v>0</v>
      </c>
      <c r="F118">
        <v>26.7</v>
      </c>
      <c r="G118">
        <v>26.7</v>
      </c>
      <c r="H118">
        <v>26.7</v>
      </c>
      <c r="J118" s="5">
        <f t="shared" si="5"/>
        <v>0</v>
      </c>
      <c r="K118" s="5">
        <f t="shared" si="5"/>
        <v>0</v>
      </c>
    </row>
    <row r="119" spans="3:11" x14ac:dyDescent="0.2">
      <c r="C119" t="s">
        <v>1514</v>
      </c>
      <c r="D119" t="b">
        <f t="shared" ca="1" si="6"/>
        <v>1</v>
      </c>
      <c r="E119" s="5">
        <f t="shared" si="7"/>
        <v>1.9631901840544485E-5</v>
      </c>
      <c r="F119">
        <v>1.01875E-2</v>
      </c>
      <c r="G119">
        <v>1.01873E-2</v>
      </c>
      <c r="H119">
        <v>1.01873E-2</v>
      </c>
      <c r="J119" s="5">
        <f t="shared" si="5"/>
        <v>1.9631901840544485E-5</v>
      </c>
      <c r="K119" s="5">
        <f t="shared" si="5"/>
        <v>0</v>
      </c>
    </row>
    <row r="120" spans="3:11" x14ac:dyDescent="0.2">
      <c r="C120" t="s">
        <v>1513</v>
      </c>
      <c r="D120" t="b">
        <f t="shared" ca="1" si="6"/>
        <v>1</v>
      </c>
      <c r="E120" s="5">
        <f t="shared" si="7"/>
        <v>0</v>
      </c>
      <c r="F120">
        <v>3.8562699999999999</v>
      </c>
      <c r="G120">
        <v>3.8562699999999999</v>
      </c>
      <c r="H120">
        <v>3.8562699999999999</v>
      </c>
      <c r="J120" s="5">
        <f t="shared" si="5"/>
        <v>0</v>
      </c>
      <c r="K120" s="5">
        <f t="shared" si="5"/>
        <v>0</v>
      </c>
    </row>
    <row r="121" spans="3:11" x14ac:dyDescent="0.2">
      <c r="C121" t="s">
        <v>1512</v>
      </c>
      <c r="D121" t="b">
        <f t="shared" ca="1" si="6"/>
        <v>1</v>
      </c>
      <c r="E121" s="5">
        <f t="shared" si="7"/>
        <v>0</v>
      </c>
      <c r="F121">
        <v>26.7</v>
      </c>
      <c r="G121">
        <v>26.7</v>
      </c>
      <c r="H121">
        <v>26.7</v>
      </c>
      <c r="J121" s="5">
        <f t="shared" si="5"/>
        <v>0</v>
      </c>
      <c r="K121" s="5">
        <f t="shared" si="5"/>
        <v>0</v>
      </c>
    </row>
    <row r="122" spans="3:11" x14ac:dyDescent="0.2">
      <c r="C122" t="s">
        <v>1511</v>
      </c>
      <c r="D122" t="b">
        <f t="shared" ca="1" si="6"/>
        <v>0</v>
      </c>
      <c r="E122" s="5">
        <f t="shared" si="7"/>
        <v>4.2095782589955254E-4</v>
      </c>
      <c r="F122">
        <v>1.02148E-2</v>
      </c>
      <c r="G122">
        <v>1.0210500000000001E-2</v>
      </c>
      <c r="H122">
        <v>1.0210500000000001E-2</v>
      </c>
      <c r="J122" s="5">
        <f t="shared" si="5"/>
        <v>4.2095782589955254E-4</v>
      </c>
      <c r="K122" s="5">
        <f t="shared" si="5"/>
        <v>0</v>
      </c>
    </row>
    <row r="123" spans="3:11" x14ac:dyDescent="0.2">
      <c r="C123" t="s">
        <v>1510</v>
      </c>
      <c r="D123" t="b">
        <f t="shared" ca="1" si="6"/>
        <v>0</v>
      </c>
      <c r="E123" s="5">
        <f t="shared" si="7"/>
        <v>4.3159482086209058E-4</v>
      </c>
      <c r="F123">
        <v>3.8462000000000001</v>
      </c>
      <c r="G123">
        <v>3.8478599999999998</v>
      </c>
      <c r="H123">
        <v>3.8478599999999998</v>
      </c>
      <c r="J123" s="5">
        <f t="shared" si="5"/>
        <v>4.3159482086209058E-4</v>
      </c>
      <c r="K123" s="5">
        <f t="shared" si="5"/>
        <v>0</v>
      </c>
    </row>
    <row r="124" spans="3:11" x14ac:dyDescent="0.2">
      <c r="C124" t="s">
        <v>1509</v>
      </c>
      <c r="D124" t="b">
        <f t="shared" ca="1" si="6"/>
        <v>1</v>
      </c>
      <c r="E124" s="5">
        <f t="shared" si="7"/>
        <v>0</v>
      </c>
      <c r="F124">
        <v>26.7</v>
      </c>
      <c r="G124">
        <v>26.7</v>
      </c>
      <c r="H124">
        <v>26.7</v>
      </c>
      <c r="J124" s="5">
        <f t="shared" si="5"/>
        <v>0</v>
      </c>
      <c r="K124" s="5">
        <f t="shared" si="5"/>
        <v>0</v>
      </c>
    </row>
    <row r="125" spans="3:11" x14ac:dyDescent="0.2">
      <c r="C125" t="s">
        <v>1508</v>
      </c>
      <c r="D125" t="b">
        <f t="shared" ca="1" si="6"/>
        <v>1</v>
      </c>
      <c r="E125" s="5">
        <f t="shared" si="7"/>
        <v>0</v>
      </c>
      <c r="F125">
        <v>1.0099800000000001E-2</v>
      </c>
      <c r="G125">
        <v>1.0099800000000001E-2</v>
      </c>
      <c r="H125">
        <v>1.0099800000000001E-2</v>
      </c>
      <c r="J125" s="5">
        <f t="shared" si="5"/>
        <v>0</v>
      </c>
      <c r="K125" s="5">
        <f t="shared" si="5"/>
        <v>0</v>
      </c>
    </row>
    <row r="126" spans="3:11" x14ac:dyDescent="0.2">
      <c r="C126" t="s">
        <v>1507</v>
      </c>
      <c r="D126" t="b">
        <f t="shared" ca="1" si="6"/>
        <v>0</v>
      </c>
      <c r="E126" s="5">
        <f t="shared" si="7"/>
        <v>1.4746296668664111E-4</v>
      </c>
      <c r="F126">
        <v>1491.9</v>
      </c>
      <c r="G126">
        <v>1492.12</v>
      </c>
      <c r="H126">
        <v>1492.12</v>
      </c>
      <c r="J126" s="5">
        <f t="shared" si="5"/>
        <v>1.4746296668664111E-4</v>
      </c>
      <c r="K126" s="5">
        <f t="shared" si="5"/>
        <v>0</v>
      </c>
    </row>
    <row r="127" spans="3:11" x14ac:dyDescent="0.2">
      <c r="C127" t="s">
        <v>1506</v>
      </c>
      <c r="D127" t="b">
        <f t="shared" ca="1" si="6"/>
        <v>0</v>
      </c>
      <c r="E127" s="5">
        <f t="shared" si="7"/>
        <v>1.4798869904474209E-4</v>
      </c>
      <c r="F127">
        <v>148.66</v>
      </c>
      <c r="G127">
        <v>148.68199999999999</v>
      </c>
      <c r="H127">
        <v>148.68199999999999</v>
      </c>
      <c r="J127" s="5">
        <f t="shared" si="5"/>
        <v>1.4798869904474209E-4</v>
      </c>
      <c r="K127" s="5">
        <f t="shared" si="5"/>
        <v>0</v>
      </c>
    </row>
    <row r="128" spans="3:11" x14ac:dyDescent="0.2">
      <c r="C128" t="s">
        <v>1505</v>
      </c>
      <c r="D128" t="b">
        <f t="shared" ca="1" si="6"/>
        <v>0</v>
      </c>
      <c r="E128" s="5">
        <f t="shared" si="7"/>
        <v>1.7889324711109286E-4</v>
      </c>
      <c r="F128">
        <v>4527.84</v>
      </c>
      <c r="G128">
        <v>4528.6499999999996</v>
      </c>
      <c r="H128">
        <v>4528.6499999999996</v>
      </c>
      <c r="J128" s="5">
        <f t="shared" si="5"/>
        <v>1.7889324711109286E-4</v>
      </c>
      <c r="K128" s="5">
        <f t="shared" si="5"/>
        <v>0</v>
      </c>
    </row>
    <row r="129" spans="3:11" x14ac:dyDescent="0.2">
      <c r="C129" t="s">
        <v>1504</v>
      </c>
      <c r="D129" t="b">
        <f t="shared" ca="1" si="6"/>
        <v>0</v>
      </c>
      <c r="E129" s="5">
        <f t="shared" si="7"/>
        <v>2.1379703534776212E-4</v>
      </c>
      <c r="F129">
        <v>3788.64</v>
      </c>
      <c r="G129">
        <v>3789.45</v>
      </c>
      <c r="H129">
        <v>3789.45</v>
      </c>
      <c r="J129" s="5">
        <f t="shared" si="5"/>
        <v>2.1379703534776212E-4</v>
      </c>
      <c r="K129" s="5">
        <f t="shared" si="5"/>
        <v>0</v>
      </c>
    </row>
    <row r="130" spans="3:11" x14ac:dyDescent="0.2">
      <c r="C130" t="s">
        <v>1503</v>
      </c>
      <c r="D130" t="b">
        <f t="shared" ca="1" si="6"/>
        <v>1</v>
      </c>
      <c r="E130" s="5">
        <f t="shared" si="7"/>
        <v>0</v>
      </c>
      <c r="F130">
        <v>739.20100000000002</v>
      </c>
      <c r="G130">
        <v>739.20100000000002</v>
      </c>
      <c r="H130">
        <v>739.20100000000002</v>
      </c>
      <c r="J130" s="5">
        <f t="shared" si="5"/>
        <v>0</v>
      </c>
      <c r="K130" s="5">
        <f t="shared" si="5"/>
        <v>0</v>
      </c>
    </row>
    <row r="131" spans="3:11" x14ac:dyDescent="0.2">
      <c r="C131" t="s">
        <v>1502</v>
      </c>
      <c r="D131" t="b">
        <f t="shared" ca="1" si="6"/>
        <v>0</v>
      </c>
      <c r="E131" s="5">
        <f t="shared" si="7"/>
        <v>1.8039907014554406E-4</v>
      </c>
      <c r="F131">
        <v>4379.18</v>
      </c>
      <c r="G131">
        <v>4379.97</v>
      </c>
      <c r="H131">
        <v>4379.97</v>
      </c>
      <c r="J131" s="5">
        <f t="shared" si="5"/>
        <v>1.8039907014554406E-4</v>
      </c>
      <c r="K131" s="5">
        <f t="shared" si="5"/>
        <v>0</v>
      </c>
    </row>
    <row r="132" spans="3:11" x14ac:dyDescent="0.2">
      <c r="C132" t="s">
        <v>1501</v>
      </c>
      <c r="D132" t="b">
        <f t="shared" ca="1" si="6"/>
        <v>0</v>
      </c>
      <c r="E132" s="5">
        <f t="shared" si="7"/>
        <v>2.1668294074406278E-4</v>
      </c>
      <c r="F132">
        <v>3645.88</v>
      </c>
      <c r="G132">
        <v>3646.67</v>
      </c>
      <c r="H132">
        <v>3646.67</v>
      </c>
      <c r="J132" s="5">
        <f t="shared" si="5"/>
        <v>2.1668294074406278E-4</v>
      </c>
      <c r="K132" s="5">
        <f t="shared" si="5"/>
        <v>0</v>
      </c>
    </row>
    <row r="133" spans="3:11" x14ac:dyDescent="0.2">
      <c r="C133" t="s">
        <v>1500</v>
      </c>
      <c r="D133" t="b">
        <f t="shared" ca="1" si="6"/>
        <v>1</v>
      </c>
      <c r="E133" s="5">
        <f t="shared" si="7"/>
        <v>0</v>
      </c>
      <c r="F133">
        <v>733.29899999999998</v>
      </c>
      <c r="G133">
        <v>733.29899999999998</v>
      </c>
      <c r="H133">
        <v>733.29899999999998</v>
      </c>
      <c r="J133" s="5">
        <f t="shared" si="5"/>
        <v>0</v>
      </c>
      <c r="K133" s="5">
        <f t="shared" si="5"/>
        <v>0</v>
      </c>
    </row>
    <row r="134" spans="3:11" x14ac:dyDescent="0.2">
      <c r="C134" t="s">
        <v>1499</v>
      </c>
      <c r="D134" t="b">
        <f t="shared" ca="1" si="6"/>
        <v>1</v>
      </c>
      <c r="E134" s="5">
        <f t="shared" si="7"/>
        <v>3.4068067999935625E-5</v>
      </c>
      <c r="F134">
        <v>2.9352999999999998</v>
      </c>
      <c r="G134">
        <v>2.9354</v>
      </c>
      <c r="H134">
        <v>2.9354</v>
      </c>
      <c r="J134" s="5">
        <f t="shared" si="5"/>
        <v>3.4068067999935625E-5</v>
      </c>
      <c r="K134" s="5">
        <f t="shared" si="5"/>
        <v>0</v>
      </c>
    </row>
    <row r="135" spans="3:11" x14ac:dyDescent="0.2">
      <c r="C135" t="s">
        <v>1498</v>
      </c>
      <c r="D135" t="b">
        <f t="shared" ca="1" si="6"/>
        <v>1</v>
      </c>
      <c r="E135" s="5">
        <f t="shared" si="7"/>
        <v>4.2907589923481585E-6</v>
      </c>
      <c r="F135">
        <v>23.305900000000001</v>
      </c>
      <c r="G135">
        <v>23.305800000000001</v>
      </c>
      <c r="H135">
        <v>23.305800000000001</v>
      </c>
      <c r="J135" s="5">
        <f t="shared" ref="J135:K198" si="8">ABS(F135-G135)/ABS(F135)</f>
        <v>4.2907589923481585E-6</v>
      </c>
      <c r="K135" s="5">
        <f t="shared" si="8"/>
        <v>0</v>
      </c>
    </row>
    <row r="136" spans="3:11" x14ac:dyDescent="0.2">
      <c r="C136" t="s">
        <v>1497</v>
      </c>
      <c r="D136" t="b">
        <f t="shared" ca="1" si="6"/>
        <v>1</v>
      </c>
      <c r="E136" s="5">
        <f t="shared" si="7"/>
        <v>4.0744290974225801E-5</v>
      </c>
      <c r="F136">
        <v>9.32646E-3</v>
      </c>
      <c r="G136">
        <v>9.3260800000000005E-3</v>
      </c>
      <c r="H136">
        <v>9.3260800000000005E-3</v>
      </c>
      <c r="J136" s="5">
        <f t="shared" si="8"/>
        <v>4.0744290974225801E-5</v>
      </c>
      <c r="K136" s="5">
        <f t="shared" si="8"/>
        <v>0</v>
      </c>
    </row>
    <row r="137" spans="3:11" x14ac:dyDescent="0.2">
      <c r="C137" t="s">
        <v>1496</v>
      </c>
      <c r="D137" t="b">
        <f t="shared" ca="1" si="6"/>
        <v>1</v>
      </c>
      <c r="E137" s="5">
        <f t="shared" si="7"/>
        <v>0</v>
      </c>
      <c r="F137">
        <v>2.9396300000000002</v>
      </c>
      <c r="G137">
        <v>2.9396300000000002</v>
      </c>
      <c r="H137">
        <v>2.9396300000000002</v>
      </c>
      <c r="J137" s="5">
        <f t="shared" si="8"/>
        <v>0</v>
      </c>
      <c r="K137" s="5">
        <f t="shared" si="8"/>
        <v>0</v>
      </c>
    </row>
    <row r="138" spans="3:11" x14ac:dyDescent="0.2">
      <c r="C138" t="s">
        <v>1495</v>
      </c>
      <c r="D138" t="b">
        <f t="shared" ca="1" si="6"/>
        <v>1</v>
      </c>
      <c r="E138" s="5">
        <f t="shared" si="7"/>
        <v>7.2936643798866087E-5</v>
      </c>
      <c r="F138">
        <v>23.3079</v>
      </c>
      <c r="G138">
        <v>23.3062</v>
      </c>
      <c r="H138">
        <v>23.3062</v>
      </c>
      <c r="J138" s="5">
        <f t="shared" si="8"/>
        <v>7.2936643798866087E-5</v>
      </c>
      <c r="K138" s="5">
        <f t="shared" si="8"/>
        <v>0</v>
      </c>
    </row>
    <row r="139" spans="3:11" x14ac:dyDescent="0.2">
      <c r="C139" t="s">
        <v>1494</v>
      </c>
      <c r="D139" t="b">
        <f t="shared" ca="1" si="6"/>
        <v>0</v>
      </c>
      <c r="E139" s="5">
        <f t="shared" si="7"/>
        <v>6.79061590351599E-4</v>
      </c>
      <c r="F139">
        <v>9.3511400000000008E-3</v>
      </c>
      <c r="G139">
        <v>9.3447900000000004E-3</v>
      </c>
      <c r="H139">
        <v>9.3447900000000004E-3</v>
      </c>
      <c r="J139" s="5">
        <f t="shared" si="8"/>
        <v>6.79061590351599E-4</v>
      </c>
      <c r="K139" s="5">
        <f t="shared" si="8"/>
        <v>0</v>
      </c>
    </row>
    <row r="140" spans="3:11" x14ac:dyDescent="0.2">
      <c r="C140" t="s">
        <v>1493</v>
      </c>
      <c r="D140" t="b">
        <f t="shared" ca="1" si="6"/>
        <v>0</v>
      </c>
      <c r="E140" s="5">
        <f t="shared" si="7"/>
        <v>7.5776193987067968E-4</v>
      </c>
      <c r="F140">
        <v>2.9296799999999998</v>
      </c>
      <c r="G140">
        <v>2.9319000000000002</v>
      </c>
      <c r="H140">
        <v>2.9319000000000002</v>
      </c>
      <c r="J140" s="5">
        <f t="shared" si="8"/>
        <v>7.5776193987067968E-4</v>
      </c>
      <c r="K140" s="5">
        <f t="shared" si="8"/>
        <v>0</v>
      </c>
    </row>
    <row r="141" spans="3:11" x14ac:dyDescent="0.2">
      <c r="C141" t="s">
        <v>1492</v>
      </c>
      <c r="D141" t="b">
        <f t="shared" ca="1" si="6"/>
        <v>1</v>
      </c>
      <c r="E141" s="5">
        <f t="shared" si="7"/>
        <v>0</v>
      </c>
      <c r="F141">
        <v>23.305399999999999</v>
      </c>
      <c r="G141">
        <v>23.305399999999999</v>
      </c>
      <c r="H141">
        <v>23.305399999999999</v>
      </c>
      <c r="J141" s="5">
        <f t="shared" si="8"/>
        <v>0</v>
      </c>
      <c r="K141" s="5">
        <f t="shared" si="8"/>
        <v>0</v>
      </c>
    </row>
    <row r="142" spans="3:11" x14ac:dyDescent="0.2">
      <c r="C142" t="s">
        <v>1491</v>
      </c>
      <c r="D142" t="b">
        <f t="shared" ca="1" si="6"/>
        <v>1</v>
      </c>
      <c r="E142" s="5">
        <f t="shared" si="7"/>
        <v>0</v>
      </c>
      <c r="F142">
        <v>9.2452699999999999E-3</v>
      </c>
      <c r="G142">
        <v>9.2452699999999999E-3</v>
      </c>
      <c r="H142">
        <v>9.2452699999999999E-3</v>
      </c>
      <c r="J142" s="5">
        <f t="shared" si="8"/>
        <v>0</v>
      </c>
      <c r="K142" s="5">
        <f t="shared" si="8"/>
        <v>0</v>
      </c>
    </row>
    <row r="143" spans="3:11" x14ac:dyDescent="0.2">
      <c r="C143" t="s">
        <v>1490</v>
      </c>
      <c r="D143" t="b">
        <f t="shared" ca="1" si="6"/>
        <v>0</v>
      </c>
      <c r="E143" s="5">
        <f t="shared" si="7"/>
        <v>1.8251477032244607E-4</v>
      </c>
      <c r="F143">
        <v>635.56500000000005</v>
      </c>
      <c r="G143">
        <v>635.68100000000004</v>
      </c>
      <c r="H143">
        <v>635.68100000000004</v>
      </c>
      <c r="J143" s="5">
        <f t="shared" si="8"/>
        <v>1.8251477032244607E-4</v>
      </c>
      <c r="K143" s="5">
        <f t="shared" si="8"/>
        <v>0</v>
      </c>
    </row>
    <row r="144" spans="3:11" x14ac:dyDescent="0.2">
      <c r="C144" t="s">
        <v>1489</v>
      </c>
      <c r="D144" t="b">
        <f t="shared" ca="1" si="6"/>
        <v>0</v>
      </c>
      <c r="E144" s="5">
        <f t="shared" si="7"/>
        <v>1.9164561987085538E-4</v>
      </c>
      <c r="F144">
        <v>73.051500000000004</v>
      </c>
      <c r="G144">
        <v>73.0655</v>
      </c>
      <c r="H144">
        <v>73.0655</v>
      </c>
      <c r="J144" s="5">
        <f t="shared" si="8"/>
        <v>1.9164561987085538E-4</v>
      </c>
      <c r="K144" s="5">
        <f t="shared" si="8"/>
        <v>0</v>
      </c>
    </row>
    <row r="145" spans="3:11" x14ac:dyDescent="0.2">
      <c r="C145" t="s">
        <v>1488</v>
      </c>
      <c r="D145" t="b">
        <f t="shared" ca="1" si="6"/>
        <v>0</v>
      </c>
      <c r="E145" s="5">
        <f t="shared" si="7"/>
        <v>1.8881750787866803E-4</v>
      </c>
      <c r="F145">
        <v>2224.37</v>
      </c>
      <c r="G145">
        <v>2224.79</v>
      </c>
      <c r="H145">
        <v>2224.79</v>
      </c>
      <c r="J145" s="5">
        <f t="shared" si="8"/>
        <v>1.8881750787866803E-4</v>
      </c>
      <c r="K145" s="5">
        <f t="shared" si="8"/>
        <v>0</v>
      </c>
    </row>
    <row r="146" spans="3:11" x14ac:dyDescent="0.2">
      <c r="C146" t="s">
        <v>1487</v>
      </c>
      <c r="D146" t="b">
        <f t="shared" ref="D146:D209" ca="1" si="9">IF(CELL("format",F146)="G",IF(ABS(F146-G146) &lt;= ABS(F146*B$3),TRUE,FALSE),IF(F146=G146,TRUE,FALSE))</f>
        <v>0</v>
      </c>
      <c r="E146" s="5">
        <f t="shared" ref="E146:E209" si="10">ABS(F146-G146)/ABS(F146)</f>
        <v>2.8279590888574734E-4</v>
      </c>
      <c r="F146">
        <v>1485.17</v>
      </c>
      <c r="G146">
        <v>1485.59</v>
      </c>
      <c r="H146">
        <v>1485.59</v>
      </c>
      <c r="J146" s="5">
        <f t="shared" si="8"/>
        <v>2.8279590888574734E-4</v>
      </c>
      <c r="K146" s="5">
        <f t="shared" si="8"/>
        <v>0</v>
      </c>
    </row>
    <row r="147" spans="3:11" x14ac:dyDescent="0.2">
      <c r="C147" t="s">
        <v>1486</v>
      </c>
      <c r="D147" t="b">
        <f t="shared" ca="1" si="9"/>
        <v>1</v>
      </c>
      <c r="E147" s="5">
        <f t="shared" si="10"/>
        <v>0</v>
      </c>
      <c r="F147">
        <v>739.20100000000002</v>
      </c>
      <c r="G147">
        <v>739.20100000000002</v>
      </c>
      <c r="H147">
        <v>739.20100000000002</v>
      </c>
      <c r="J147" s="5">
        <f t="shared" si="8"/>
        <v>0</v>
      </c>
      <c r="K147" s="5">
        <f t="shared" si="8"/>
        <v>0</v>
      </c>
    </row>
    <row r="148" spans="3:11" x14ac:dyDescent="0.2">
      <c r="C148" t="s">
        <v>1485</v>
      </c>
      <c r="D148" t="b">
        <f t="shared" ca="1" si="9"/>
        <v>0</v>
      </c>
      <c r="E148" s="5">
        <f t="shared" si="10"/>
        <v>1.8593235780806023E-4</v>
      </c>
      <c r="F148">
        <v>2151.3200000000002</v>
      </c>
      <c r="G148">
        <v>2151.7199999999998</v>
      </c>
      <c r="H148">
        <v>2151.7199999999998</v>
      </c>
      <c r="J148" s="5">
        <f t="shared" si="8"/>
        <v>1.8593235780806023E-4</v>
      </c>
      <c r="K148" s="5">
        <f t="shared" si="8"/>
        <v>0</v>
      </c>
    </row>
    <row r="149" spans="3:11" x14ac:dyDescent="0.2">
      <c r="C149" t="s">
        <v>1484</v>
      </c>
      <c r="D149" t="b">
        <f t="shared" ca="1" si="9"/>
        <v>0</v>
      </c>
      <c r="E149" s="5">
        <f t="shared" si="10"/>
        <v>2.8219690288889453E-4</v>
      </c>
      <c r="F149">
        <v>1417.45</v>
      </c>
      <c r="G149">
        <v>1417.85</v>
      </c>
      <c r="H149">
        <v>1417.85</v>
      </c>
      <c r="J149" s="5">
        <f t="shared" si="8"/>
        <v>2.8219690288889453E-4</v>
      </c>
      <c r="K149" s="5">
        <f t="shared" si="8"/>
        <v>0</v>
      </c>
    </row>
    <row r="150" spans="3:11" x14ac:dyDescent="0.2">
      <c r="C150" t="s">
        <v>1483</v>
      </c>
      <c r="D150" t="b">
        <f t="shared" ca="1" si="9"/>
        <v>1</v>
      </c>
      <c r="E150" s="5">
        <f t="shared" si="10"/>
        <v>1.3626410162799533E-6</v>
      </c>
      <c r="F150">
        <v>733.86900000000003</v>
      </c>
      <c r="G150">
        <v>733.86800000000005</v>
      </c>
      <c r="H150">
        <v>733.86800000000005</v>
      </c>
      <c r="J150" s="5">
        <f t="shared" si="8"/>
        <v>1.3626410162799533E-6</v>
      </c>
      <c r="K150" s="5">
        <f t="shared" si="8"/>
        <v>0</v>
      </c>
    </row>
    <row r="151" spans="3:11" x14ac:dyDescent="0.2">
      <c r="C151" t="s">
        <v>1482</v>
      </c>
      <c r="D151" t="b">
        <f t="shared" ca="1" si="9"/>
        <v>1</v>
      </c>
      <c r="E151" s="5">
        <f t="shared" si="10"/>
        <v>5.9086115058778939E-6</v>
      </c>
      <c r="F151">
        <v>3.38489</v>
      </c>
      <c r="G151">
        <v>3.3849100000000001</v>
      </c>
      <c r="H151">
        <v>3.3849100000000001</v>
      </c>
      <c r="J151" s="5">
        <f t="shared" si="8"/>
        <v>5.9086115058778939E-6</v>
      </c>
      <c r="K151" s="5">
        <f t="shared" si="8"/>
        <v>0</v>
      </c>
    </row>
    <row r="152" spans="3:11" x14ac:dyDescent="0.2">
      <c r="C152" t="s">
        <v>1481</v>
      </c>
      <c r="D152" t="b">
        <f t="shared" ca="1" si="9"/>
        <v>1</v>
      </c>
      <c r="E152" s="5">
        <f t="shared" si="10"/>
        <v>0</v>
      </c>
      <c r="F152">
        <v>22.200199999999999</v>
      </c>
      <c r="G152">
        <v>22.200199999999999</v>
      </c>
      <c r="H152">
        <v>22.200199999999999</v>
      </c>
      <c r="J152" s="5">
        <f t="shared" si="8"/>
        <v>0</v>
      </c>
      <c r="K152" s="5">
        <f t="shared" si="8"/>
        <v>0</v>
      </c>
    </row>
    <row r="153" spans="3:11" x14ac:dyDescent="0.2">
      <c r="C153" t="s">
        <v>1480</v>
      </c>
      <c r="D153" t="b">
        <f t="shared" ca="1" si="9"/>
        <v>1</v>
      </c>
      <c r="E153" s="5">
        <f t="shared" si="10"/>
        <v>8.552612823216155E-5</v>
      </c>
      <c r="F153">
        <v>1.0523100000000001E-2</v>
      </c>
      <c r="G153">
        <v>1.0522200000000001E-2</v>
      </c>
      <c r="H153">
        <v>1.0522200000000001E-2</v>
      </c>
      <c r="J153" s="5">
        <f t="shared" si="8"/>
        <v>8.552612823216155E-5</v>
      </c>
      <c r="K153" s="5">
        <f t="shared" si="8"/>
        <v>0</v>
      </c>
    </row>
    <row r="154" spans="3:11" x14ac:dyDescent="0.2">
      <c r="C154" t="s">
        <v>1479</v>
      </c>
      <c r="D154" t="b">
        <f t="shared" ca="1" si="9"/>
        <v>1</v>
      </c>
      <c r="E154" s="5">
        <f t="shared" si="10"/>
        <v>0</v>
      </c>
      <c r="F154">
        <v>3.3887</v>
      </c>
      <c r="G154">
        <v>3.3887</v>
      </c>
      <c r="H154">
        <v>3.3887</v>
      </c>
      <c r="J154" s="5">
        <f t="shared" si="8"/>
        <v>0</v>
      </c>
      <c r="K154" s="5">
        <f t="shared" si="8"/>
        <v>0</v>
      </c>
    </row>
    <row r="155" spans="3:11" x14ac:dyDescent="0.2">
      <c r="C155" t="s">
        <v>1478</v>
      </c>
      <c r="D155" t="b">
        <f t="shared" ca="1" si="9"/>
        <v>1</v>
      </c>
      <c r="E155" s="5">
        <f t="shared" si="10"/>
        <v>0</v>
      </c>
      <c r="F155">
        <v>22.200199999999999</v>
      </c>
      <c r="G155">
        <v>22.200199999999999</v>
      </c>
      <c r="H155">
        <v>22.200199999999999</v>
      </c>
      <c r="J155" s="5">
        <f t="shared" si="8"/>
        <v>0</v>
      </c>
      <c r="K155" s="5">
        <f t="shared" si="8"/>
        <v>0</v>
      </c>
    </row>
    <row r="156" spans="3:11" x14ac:dyDescent="0.2">
      <c r="C156" t="s">
        <v>1477</v>
      </c>
      <c r="D156" t="b">
        <f t="shared" ca="1" si="9"/>
        <v>0</v>
      </c>
      <c r="E156" s="5">
        <f t="shared" si="10"/>
        <v>1.6389715216855456E-3</v>
      </c>
      <c r="F156">
        <v>1.05554E-2</v>
      </c>
      <c r="G156">
        <v>1.05381E-2</v>
      </c>
      <c r="H156">
        <v>1.05381E-2</v>
      </c>
      <c r="J156" s="5">
        <f t="shared" si="8"/>
        <v>1.6389715216855456E-3</v>
      </c>
      <c r="K156" s="5">
        <f t="shared" si="8"/>
        <v>0</v>
      </c>
    </row>
    <row r="157" spans="3:11" x14ac:dyDescent="0.2">
      <c r="C157" t="s">
        <v>1476</v>
      </c>
      <c r="D157" t="b">
        <f t="shared" ca="1" si="9"/>
        <v>0</v>
      </c>
      <c r="E157" s="5">
        <f t="shared" si="10"/>
        <v>5.0021458909886465E-4</v>
      </c>
      <c r="F157">
        <v>3.3785500000000002</v>
      </c>
      <c r="G157">
        <v>3.3802400000000001</v>
      </c>
      <c r="H157">
        <v>3.3802400000000001</v>
      </c>
      <c r="J157" s="5">
        <f t="shared" si="8"/>
        <v>5.0021458909886465E-4</v>
      </c>
      <c r="K157" s="5">
        <f t="shared" si="8"/>
        <v>0</v>
      </c>
    </row>
    <row r="158" spans="3:11" x14ac:dyDescent="0.2">
      <c r="C158" t="s">
        <v>1475</v>
      </c>
      <c r="D158" t="b">
        <f t="shared" ca="1" si="9"/>
        <v>1</v>
      </c>
      <c r="E158" s="5">
        <f t="shared" si="10"/>
        <v>0</v>
      </c>
      <c r="F158">
        <v>22.200199999999999</v>
      </c>
      <c r="G158">
        <v>22.200199999999999</v>
      </c>
      <c r="H158">
        <v>22.200199999999999</v>
      </c>
      <c r="J158" s="5">
        <f t="shared" si="8"/>
        <v>0</v>
      </c>
      <c r="K158" s="5">
        <f t="shared" si="8"/>
        <v>0</v>
      </c>
    </row>
    <row r="159" spans="3:11" x14ac:dyDescent="0.2">
      <c r="C159" t="s">
        <v>1474</v>
      </c>
      <c r="D159" t="b">
        <f t="shared" ca="1" si="9"/>
        <v>1</v>
      </c>
      <c r="E159" s="5">
        <f t="shared" si="10"/>
        <v>0</v>
      </c>
      <c r="F159">
        <v>1.0437800000000001E-2</v>
      </c>
      <c r="G159">
        <v>1.0437800000000001E-2</v>
      </c>
      <c r="H159">
        <v>1.0437800000000001E-2</v>
      </c>
      <c r="J159" s="5">
        <f t="shared" si="8"/>
        <v>0</v>
      </c>
      <c r="K159" s="5">
        <f t="shared" si="8"/>
        <v>0</v>
      </c>
    </row>
    <row r="160" spans="3:11" x14ac:dyDescent="0.2">
      <c r="C160" t="s">
        <v>1473</v>
      </c>
      <c r="D160" t="b">
        <f t="shared" ca="1" si="9"/>
        <v>1</v>
      </c>
      <c r="E160" s="5">
        <f t="shared" si="10"/>
        <v>8.3196213647800983E-5</v>
      </c>
      <c r="F160">
        <v>1081.78</v>
      </c>
      <c r="G160">
        <v>1081.8699999999999</v>
      </c>
      <c r="H160">
        <v>1081.8699999999999</v>
      </c>
      <c r="J160" s="5">
        <f t="shared" si="8"/>
        <v>8.3196213647800983E-5</v>
      </c>
      <c r="K160" s="5">
        <f t="shared" si="8"/>
        <v>0</v>
      </c>
    </row>
    <row r="161" spans="3:11" x14ac:dyDescent="0.2">
      <c r="C161" t="s">
        <v>1472</v>
      </c>
      <c r="D161" t="b">
        <f t="shared" ca="1" si="9"/>
        <v>0</v>
      </c>
      <c r="E161" s="5">
        <f t="shared" si="10"/>
        <v>1.0139502657395038E-4</v>
      </c>
      <c r="F161">
        <v>118.349</v>
      </c>
      <c r="G161">
        <v>118.361</v>
      </c>
      <c r="H161">
        <v>118.361</v>
      </c>
      <c r="J161" s="5">
        <f t="shared" si="8"/>
        <v>1.0139502657395038E-4</v>
      </c>
      <c r="K161" s="5">
        <f t="shared" si="8"/>
        <v>0</v>
      </c>
    </row>
    <row r="162" spans="3:11" x14ac:dyDescent="0.2">
      <c r="C162" t="s">
        <v>1471</v>
      </c>
      <c r="D162" t="b">
        <f t="shared" ca="1" si="9"/>
        <v>1</v>
      </c>
      <c r="E162" s="5">
        <f t="shared" si="10"/>
        <v>9.3738491926230656E-5</v>
      </c>
      <c r="F162">
        <v>4480.55</v>
      </c>
      <c r="G162">
        <v>4480.97</v>
      </c>
      <c r="H162">
        <v>4480.97</v>
      </c>
      <c r="J162" s="5">
        <f t="shared" si="8"/>
        <v>9.3738491926230656E-5</v>
      </c>
      <c r="K162" s="5">
        <f t="shared" si="8"/>
        <v>0</v>
      </c>
    </row>
    <row r="163" spans="3:11" x14ac:dyDescent="0.2">
      <c r="C163" t="s">
        <v>1470</v>
      </c>
      <c r="D163" t="b">
        <f t="shared" ca="1" si="9"/>
        <v>0</v>
      </c>
      <c r="E163" s="5">
        <f t="shared" si="10"/>
        <v>2.7563757596445112E-4</v>
      </c>
      <c r="F163">
        <v>1523.74</v>
      </c>
      <c r="G163">
        <v>1524.16</v>
      </c>
      <c r="H163">
        <v>1524.16</v>
      </c>
      <c r="J163" s="5">
        <f t="shared" si="8"/>
        <v>2.7563757596445112E-4</v>
      </c>
      <c r="K163" s="5">
        <f t="shared" si="8"/>
        <v>0</v>
      </c>
    </row>
    <row r="164" spans="3:11" x14ac:dyDescent="0.2">
      <c r="C164" t="s">
        <v>1469</v>
      </c>
      <c r="D164" t="b">
        <f t="shared" ca="1" si="9"/>
        <v>1</v>
      </c>
      <c r="E164" s="5">
        <f t="shared" si="10"/>
        <v>0</v>
      </c>
      <c r="F164">
        <v>2956.81</v>
      </c>
      <c r="G164">
        <v>2956.81</v>
      </c>
      <c r="H164">
        <v>2956.81</v>
      </c>
      <c r="J164" s="5">
        <f t="shared" si="8"/>
        <v>0</v>
      </c>
      <c r="K164" s="5">
        <f t="shared" si="8"/>
        <v>0</v>
      </c>
    </row>
    <row r="165" spans="3:11" x14ac:dyDescent="0.2">
      <c r="C165" t="s">
        <v>1468</v>
      </c>
      <c r="D165" t="b">
        <f t="shared" ca="1" si="9"/>
        <v>1</v>
      </c>
      <c r="E165" s="5">
        <f t="shared" si="10"/>
        <v>9.3989271468491699E-5</v>
      </c>
      <c r="F165">
        <v>4362.2</v>
      </c>
      <c r="G165">
        <v>4362.6099999999997</v>
      </c>
      <c r="H165">
        <v>4362.6099999999997</v>
      </c>
      <c r="J165" s="5">
        <f t="shared" si="8"/>
        <v>9.3989271468491699E-5</v>
      </c>
      <c r="K165" s="5">
        <f t="shared" si="8"/>
        <v>0</v>
      </c>
    </row>
    <row r="166" spans="3:11" x14ac:dyDescent="0.2">
      <c r="C166" t="s">
        <v>1467</v>
      </c>
      <c r="D166" t="b">
        <f t="shared" ca="1" si="9"/>
        <v>0</v>
      </c>
      <c r="E166" s="5">
        <f t="shared" si="10"/>
        <v>2.8219690288889453E-4</v>
      </c>
      <c r="F166">
        <v>1417.45</v>
      </c>
      <c r="G166">
        <v>1417.85</v>
      </c>
      <c r="H166">
        <v>1417.85</v>
      </c>
      <c r="J166" s="5">
        <f t="shared" si="8"/>
        <v>2.8219690288889453E-4</v>
      </c>
      <c r="K166" s="5">
        <f t="shared" si="8"/>
        <v>0</v>
      </c>
    </row>
    <row r="167" spans="3:11" x14ac:dyDescent="0.2">
      <c r="C167" t="s">
        <v>1466</v>
      </c>
      <c r="D167" t="b">
        <f t="shared" ca="1" si="9"/>
        <v>1</v>
      </c>
      <c r="E167" s="5">
        <f t="shared" si="10"/>
        <v>3.3958624812270875E-6</v>
      </c>
      <c r="F167">
        <v>2944.76</v>
      </c>
      <c r="G167">
        <v>2944.75</v>
      </c>
      <c r="H167">
        <v>2944.75</v>
      </c>
      <c r="J167" s="5">
        <f t="shared" si="8"/>
        <v>3.3958624812270875E-6</v>
      </c>
      <c r="K167" s="5">
        <f t="shared" si="8"/>
        <v>0</v>
      </c>
    </row>
    <row r="168" spans="3:11" x14ac:dyDescent="0.2">
      <c r="C168" t="s">
        <v>1465</v>
      </c>
      <c r="D168" t="b">
        <f t="shared" ca="1" si="9"/>
        <v>1</v>
      </c>
      <c r="E168" s="5">
        <f t="shared" si="10"/>
        <v>4.9597762149296761E-6</v>
      </c>
      <c r="F168">
        <v>4.0324400000000002</v>
      </c>
      <c r="G168">
        <v>4.0324600000000004</v>
      </c>
      <c r="H168">
        <v>4.0324600000000004</v>
      </c>
      <c r="J168" s="5">
        <f t="shared" si="8"/>
        <v>4.9597762149296761E-6</v>
      </c>
      <c r="K168" s="5">
        <f t="shared" si="8"/>
        <v>0</v>
      </c>
    </row>
    <row r="169" spans="3:11" x14ac:dyDescent="0.2">
      <c r="C169" t="s">
        <v>1464</v>
      </c>
      <c r="D169" t="b">
        <f t="shared" ca="1" si="9"/>
        <v>1</v>
      </c>
      <c r="E169" s="5">
        <f t="shared" si="10"/>
        <v>0</v>
      </c>
      <c r="F169">
        <v>22.200099999999999</v>
      </c>
      <c r="G169">
        <v>22.200099999999999</v>
      </c>
      <c r="H169">
        <v>22.200099999999999</v>
      </c>
      <c r="J169" s="5">
        <f t="shared" si="8"/>
        <v>0</v>
      </c>
      <c r="K169" s="5">
        <f t="shared" si="8"/>
        <v>0</v>
      </c>
    </row>
    <row r="170" spans="3:11" x14ac:dyDescent="0.2">
      <c r="C170" t="s">
        <v>1463</v>
      </c>
      <c r="D170" t="b">
        <f t="shared" ca="1" si="9"/>
        <v>1</v>
      </c>
      <c r="E170" s="5">
        <f t="shared" si="10"/>
        <v>7.4099231220464497E-5</v>
      </c>
      <c r="F170">
        <v>1.6194500000000001E-2</v>
      </c>
      <c r="G170">
        <v>1.6193300000000001E-2</v>
      </c>
      <c r="H170">
        <v>1.6193300000000001E-2</v>
      </c>
      <c r="J170" s="5">
        <f t="shared" si="8"/>
        <v>7.4099231220464497E-5</v>
      </c>
      <c r="K170" s="5">
        <f t="shared" si="8"/>
        <v>0</v>
      </c>
    </row>
    <row r="171" spans="3:11" x14ac:dyDescent="0.2">
      <c r="C171" t="s">
        <v>1462</v>
      </c>
      <c r="D171" t="b">
        <f t="shared" ca="1" si="9"/>
        <v>1</v>
      </c>
      <c r="E171" s="5">
        <f t="shared" si="10"/>
        <v>0</v>
      </c>
      <c r="F171">
        <v>4.0381299999999998</v>
      </c>
      <c r="G171">
        <v>4.0381299999999998</v>
      </c>
      <c r="H171">
        <v>4.0381299999999998</v>
      </c>
      <c r="J171" s="5">
        <f t="shared" si="8"/>
        <v>0</v>
      </c>
      <c r="K171" s="5">
        <f t="shared" si="8"/>
        <v>0</v>
      </c>
    </row>
    <row r="172" spans="3:11" x14ac:dyDescent="0.2">
      <c r="C172" t="s">
        <v>1461</v>
      </c>
      <c r="D172" t="b">
        <f t="shared" ca="1" si="9"/>
        <v>1</v>
      </c>
      <c r="E172" s="5">
        <f t="shared" si="10"/>
        <v>0</v>
      </c>
      <c r="F172">
        <v>22.200099999999999</v>
      </c>
      <c r="G172">
        <v>22.200099999999999</v>
      </c>
      <c r="H172">
        <v>22.200099999999999</v>
      </c>
      <c r="J172" s="5">
        <f t="shared" si="8"/>
        <v>0</v>
      </c>
      <c r="K172" s="5">
        <f t="shared" si="8"/>
        <v>0</v>
      </c>
    </row>
    <row r="173" spans="3:11" x14ac:dyDescent="0.2">
      <c r="C173" t="s">
        <v>1460</v>
      </c>
      <c r="D173" t="b">
        <f t="shared" ca="1" si="9"/>
        <v>0</v>
      </c>
      <c r="E173" s="5">
        <f t="shared" si="10"/>
        <v>1.2011383095363413E-3</v>
      </c>
      <c r="F173">
        <v>1.6234599999999998E-2</v>
      </c>
      <c r="G173">
        <v>1.62151E-2</v>
      </c>
      <c r="H173">
        <v>1.62151E-2</v>
      </c>
      <c r="J173" s="5">
        <f t="shared" si="8"/>
        <v>1.2011383095363413E-3</v>
      </c>
      <c r="K173" s="5">
        <f t="shared" si="8"/>
        <v>0</v>
      </c>
    </row>
    <row r="174" spans="3:11" x14ac:dyDescent="0.2">
      <c r="C174" t="s">
        <v>1459</v>
      </c>
      <c r="D174" t="b">
        <f t="shared" ca="1" si="9"/>
        <v>0</v>
      </c>
      <c r="E174" s="5">
        <f t="shared" si="10"/>
        <v>3.0304309918699967E-4</v>
      </c>
      <c r="F174">
        <v>4.02583</v>
      </c>
      <c r="G174">
        <v>4.02705</v>
      </c>
      <c r="H174">
        <v>4.02705</v>
      </c>
      <c r="J174" s="5">
        <f t="shared" si="8"/>
        <v>3.0304309918699967E-4</v>
      </c>
      <c r="K174" s="5">
        <f t="shared" si="8"/>
        <v>0</v>
      </c>
    </row>
    <row r="175" spans="3:11" x14ac:dyDescent="0.2">
      <c r="C175" t="s">
        <v>1458</v>
      </c>
      <c r="D175" t="b">
        <f t="shared" ca="1" si="9"/>
        <v>1</v>
      </c>
      <c r="E175" s="5">
        <f t="shared" si="10"/>
        <v>0</v>
      </c>
      <c r="F175">
        <v>22.200099999999999</v>
      </c>
      <c r="G175">
        <v>22.200099999999999</v>
      </c>
      <c r="H175">
        <v>22.200099999999999</v>
      </c>
      <c r="J175" s="5">
        <f t="shared" si="8"/>
        <v>0</v>
      </c>
      <c r="K175" s="5">
        <f t="shared" si="8"/>
        <v>0</v>
      </c>
    </row>
    <row r="176" spans="3:11" x14ac:dyDescent="0.2">
      <c r="C176" t="s">
        <v>1457</v>
      </c>
      <c r="D176" t="b">
        <f t="shared" ca="1" si="9"/>
        <v>1</v>
      </c>
      <c r="E176" s="5">
        <f t="shared" si="10"/>
        <v>0</v>
      </c>
      <c r="F176">
        <v>1.6074399999999999E-2</v>
      </c>
      <c r="G176">
        <v>1.6074399999999999E-2</v>
      </c>
      <c r="H176">
        <v>1.6074399999999999E-2</v>
      </c>
      <c r="J176" s="5">
        <f t="shared" si="8"/>
        <v>0</v>
      </c>
      <c r="K176" s="5">
        <f t="shared" si="8"/>
        <v>0</v>
      </c>
    </row>
    <row r="177" spans="3:11" x14ac:dyDescent="0.2">
      <c r="C177" t="s">
        <v>1456</v>
      </c>
      <c r="D177" t="b">
        <f t="shared" ca="1" si="9"/>
        <v>0</v>
      </c>
      <c r="E177" s="5">
        <f t="shared" si="10"/>
        <v>2.143191146671736E-4</v>
      </c>
      <c r="F177">
        <v>1539.76</v>
      </c>
      <c r="G177">
        <v>1540.09</v>
      </c>
      <c r="H177">
        <v>1540.09</v>
      </c>
      <c r="J177" s="5">
        <f t="shared" si="8"/>
        <v>2.143191146671736E-4</v>
      </c>
      <c r="K177" s="5">
        <f t="shared" si="8"/>
        <v>0</v>
      </c>
    </row>
    <row r="178" spans="3:11" x14ac:dyDescent="0.2">
      <c r="C178" t="s">
        <v>1455</v>
      </c>
      <c r="D178" t="b">
        <f t="shared" ca="1" si="9"/>
        <v>0</v>
      </c>
      <c r="E178" s="5">
        <f t="shared" si="10"/>
        <v>2.3014297632391374E-4</v>
      </c>
      <c r="F178">
        <v>139.04400000000001</v>
      </c>
      <c r="G178">
        <v>139.07599999999999</v>
      </c>
      <c r="H178">
        <v>139.07599999999999</v>
      </c>
      <c r="J178" s="5">
        <f t="shared" si="8"/>
        <v>2.3014297632391374E-4</v>
      </c>
      <c r="K178" s="5">
        <f t="shared" si="8"/>
        <v>0</v>
      </c>
    </row>
    <row r="179" spans="3:11" x14ac:dyDescent="0.2">
      <c r="C179" t="s">
        <v>1454</v>
      </c>
      <c r="D179" t="b">
        <f t="shared" ca="1" si="9"/>
        <v>0</v>
      </c>
      <c r="E179" s="5">
        <f t="shared" si="10"/>
        <v>2.3002182995635414E-4</v>
      </c>
      <c r="F179">
        <v>4521.3100000000004</v>
      </c>
      <c r="G179">
        <v>4522.3500000000004</v>
      </c>
      <c r="H179">
        <v>4522.3500000000004</v>
      </c>
      <c r="J179" s="5">
        <f t="shared" si="8"/>
        <v>2.3002182995635414E-4</v>
      </c>
      <c r="K179" s="5">
        <f t="shared" si="8"/>
        <v>0</v>
      </c>
    </row>
    <row r="180" spans="3:11" x14ac:dyDescent="0.2">
      <c r="C180" t="s">
        <v>1453</v>
      </c>
      <c r="D180" t="b">
        <f t="shared" ca="1" si="9"/>
        <v>0</v>
      </c>
      <c r="E180" s="5">
        <f t="shared" si="10"/>
        <v>6.7114522943576146E-4</v>
      </c>
      <c r="F180">
        <v>1564.49</v>
      </c>
      <c r="G180">
        <v>1565.54</v>
      </c>
      <c r="H180">
        <v>1565.54</v>
      </c>
      <c r="J180" s="5">
        <f t="shared" si="8"/>
        <v>6.7114522943576146E-4</v>
      </c>
      <c r="K180" s="5">
        <f t="shared" si="8"/>
        <v>0</v>
      </c>
    </row>
    <row r="181" spans="3:11" x14ac:dyDescent="0.2">
      <c r="C181" t="s">
        <v>1452</v>
      </c>
      <c r="D181" t="b">
        <f t="shared" ca="1" si="9"/>
        <v>1</v>
      </c>
      <c r="E181" s="5">
        <f t="shared" si="10"/>
        <v>0</v>
      </c>
      <c r="F181">
        <v>2956.81</v>
      </c>
      <c r="G181">
        <v>2956.81</v>
      </c>
      <c r="H181">
        <v>2956.81</v>
      </c>
      <c r="J181" s="5">
        <f t="shared" si="8"/>
        <v>0</v>
      </c>
      <c r="K181" s="5">
        <f t="shared" si="8"/>
        <v>0</v>
      </c>
    </row>
    <row r="182" spans="3:11" x14ac:dyDescent="0.2">
      <c r="C182" t="s">
        <v>1451</v>
      </c>
      <c r="D182" t="b">
        <f t="shared" ca="1" si="9"/>
        <v>0</v>
      </c>
      <c r="E182" s="5">
        <f t="shared" si="10"/>
        <v>2.3275661416701131E-4</v>
      </c>
      <c r="F182">
        <v>4382.26</v>
      </c>
      <c r="G182">
        <v>4383.28</v>
      </c>
      <c r="H182">
        <v>4383.28</v>
      </c>
      <c r="J182" s="5">
        <f t="shared" si="8"/>
        <v>2.3275661416701131E-4</v>
      </c>
      <c r="K182" s="5">
        <f t="shared" si="8"/>
        <v>0</v>
      </c>
    </row>
    <row r="183" spans="3:11" x14ac:dyDescent="0.2">
      <c r="C183" t="s">
        <v>1450</v>
      </c>
      <c r="D183" t="b">
        <f t="shared" ca="1" si="9"/>
        <v>0</v>
      </c>
      <c r="E183" s="5">
        <f t="shared" si="10"/>
        <v>7.1754502072518913E-4</v>
      </c>
      <c r="F183">
        <v>1435.45</v>
      </c>
      <c r="G183">
        <v>1436.48</v>
      </c>
      <c r="H183">
        <v>1436.48</v>
      </c>
      <c r="J183" s="5">
        <f t="shared" si="8"/>
        <v>7.1754502072518913E-4</v>
      </c>
      <c r="K183" s="5">
        <f t="shared" si="8"/>
        <v>0</v>
      </c>
    </row>
    <row r="184" spans="3:11" x14ac:dyDescent="0.2">
      <c r="C184" t="s">
        <v>1449</v>
      </c>
      <c r="D184" t="b">
        <f t="shared" ca="1" si="9"/>
        <v>1</v>
      </c>
      <c r="E184" s="5">
        <f t="shared" si="10"/>
        <v>3.3935000898475069E-6</v>
      </c>
      <c r="F184">
        <v>2946.81</v>
      </c>
      <c r="G184">
        <v>2946.8</v>
      </c>
      <c r="H184">
        <v>2946.8</v>
      </c>
      <c r="J184" s="5">
        <f t="shared" si="8"/>
        <v>3.3935000898475069E-6</v>
      </c>
      <c r="K184" s="5">
        <f t="shared" si="8"/>
        <v>0</v>
      </c>
    </row>
    <row r="185" spans="3:11" x14ac:dyDescent="0.2">
      <c r="C185" t="s">
        <v>1448</v>
      </c>
      <c r="D185" t="b">
        <f t="shared" ca="1" si="9"/>
        <v>1</v>
      </c>
      <c r="E185" s="5">
        <f t="shared" si="10"/>
        <v>1.4054468091023045E-5</v>
      </c>
      <c r="F185">
        <v>2.8460700000000001</v>
      </c>
      <c r="G185">
        <v>2.8461099999999999</v>
      </c>
      <c r="H185">
        <v>2.8461099999999999</v>
      </c>
      <c r="J185" s="5">
        <f t="shared" si="8"/>
        <v>1.4054468091023045E-5</v>
      </c>
      <c r="K185" s="5">
        <f t="shared" si="8"/>
        <v>0</v>
      </c>
    </row>
    <row r="186" spans="3:11" x14ac:dyDescent="0.2">
      <c r="C186" t="s">
        <v>1447</v>
      </c>
      <c r="D186" t="b">
        <f t="shared" ca="1" si="9"/>
        <v>1</v>
      </c>
      <c r="E186" s="5">
        <f t="shared" si="10"/>
        <v>0</v>
      </c>
      <c r="F186">
        <v>22.2</v>
      </c>
      <c r="G186">
        <v>22.2</v>
      </c>
      <c r="H186">
        <v>22.2</v>
      </c>
      <c r="J186" s="5">
        <f t="shared" si="8"/>
        <v>0</v>
      </c>
      <c r="K186" s="5">
        <f t="shared" si="8"/>
        <v>0</v>
      </c>
    </row>
    <row r="187" spans="3:11" x14ac:dyDescent="0.2">
      <c r="C187" t="s">
        <v>1446</v>
      </c>
      <c r="D187" t="b">
        <f t="shared" ca="1" si="9"/>
        <v>0</v>
      </c>
      <c r="E187" s="5">
        <f t="shared" si="10"/>
        <v>1.7419326743025852E-4</v>
      </c>
      <c r="F187">
        <v>1.6074100000000001E-2</v>
      </c>
      <c r="G187">
        <v>1.60713E-2</v>
      </c>
      <c r="H187">
        <v>1.60713E-2</v>
      </c>
      <c r="J187" s="5">
        <f t="shared" si="8"/>
        <v>1.7419326743025852E-4</v>
      </c>
      <c r="K187" s="5">
        <f t="shared" si="8"/>
        <v>0</v>
      </c>
    </row>
    <row r="188" spans="3:11" x14ac:dyDescent="0.2">
      <c r="C188" t="s">
        <v>1445</v>
      </c>
      <c r="D188" t="b">
        <f t="shared" ca="1" si="9"/>
        <v>1</v>
      </c>
      <c r="E188" s="5">
        <f t="shared" si="10"/>
        <v>0</v>
      </c>
      <c r="F188">
        <v>2.85154</v>
      </c>
      <c r="G188">
        <v>2.85154</v>
      </c>
      <c r="H188">
        <v>2.85154</v>
      </c>
      <c r="J188" s="5">
        <f t="shared" si="8"/>
        <v>0</v>
      </c>
      <c r="K188" s="5">
        <f t="shared" si="8"/>
        <v>0</v>
      </c>
    </row>
    <row r="189" spans="3:11" x14ac:dyDescent="0.2">
      <c r="C189" t="s">
        <v>1444</v>
      </c>
      <c r="D189" t="b">
        <f t="shared" ca="1" si="9"/>
        <v>1</v>
      </c>
      <c r="E189" s="5">
        <f t="shared" si="10"/>
        <v>0</v>
      </c>
      <c r="F189">
        <v>22.2</v>
      </c>
      <c r="G189">
        <v>22.2</v>
      </c>
      <c r="H189">
        <v>22.2</v>
      </c>
      <c r="J189" s="5">
        <f t="shared" si="8"/>
        <v>0</v>
      </c>
      <c r="K189" s="5">
        <f t="shared" si="8"/>
        <v>0</v>
      </c>
    </row>
    <row r="190" spans="3:11" x14ac:dyDescent="0.2">
      <c r="C190" t="s">
        <v>1443</v>
      </c>
      <c r="D190" t="b">
        <f t="shared" ca="1" si="9"/>
        <v>0</v>
      </c>
      <c r="E190" s="5">
        <f t="shared" si="10"/>
        <v>3.3568893651020242E-3</v>
      </c>
      <c r="F190">
        <v>1.6145900000000001E-2</v>
      </c>
      <c r="G190">
        <v>1.60917E-2</v>
      </c>
      <c r="H190">
        <v>1.60917E-2</v>
      </c>
      <c r="J190" s="5">
        <f t="shared" si="8"/>
        <v>3.3568893651020242E-3</v>
      </c>
      <c r="K190" s="5">
        <f t="shared" si="8"/>
        <v>0</v>
      </c>
    </row>
    <row r="191" spans="3:11" x14ac:dyDescent="0.2">
      <c r="C191" t="s">
        <v>1442</v>
      </c>
      <c r="D191" t="b">
        <f t="shared" ca="1" si="9"/>
        <v>0</v>
      </c>
      <c r="E191" s="5">
        <f t="shared" si="10"/>
        <v>9.9015134163736389E-4</v>
      </c>
      <c r="F191">
        <v>2.8379500000000002</v>
      </c>
      <c r="G191">
        <v>2.84076</v>
      </c>
      <c r="H191">
        <v>2.84076</v>
      </c>
      <c r="J191" s="5">
        <f t="shared" si="8"/>
        <v>9.9015134163736389E-4</v>
      </c>
      <c r="K191" s="5">
        <f t="shared" si="8"/>
        <v>0</v>
      </c>
    </row>
    <row r="192" spans="3:11" x14ac:dyDescent="0.2">
      <c r="C192" t="s">
        <v>1441</v>
      </c>
      <c r="D192" t="b">
        <f t="shared" ca="1" si="9"/>
        <v>1</v>
      </c>
      <c r="E192" s="5">
        <f t="shared" si="10"/>
        <v>0</v>
      </c>
      <c r="F192">
        <v>22.2</v>
      </c>
      <c r="G192">
        <v>22.2</v>
      </c>
      <c r="H192">
        <v>22.2</v>
      </c>
      <c r="J192" s="5">
        <f t="shared" si="8"/>
        <v>0</v>
      </c>
      <c r="K192" s="5">
        <f t="shared" si="8"/>
        <v>0</v>
      </c>
    </row>
    <row r="193" spans="3:11" x14ac:dyDescent="0.2">
      <c r="C193" t="s">
        <v>1440</v>
      </c>
      <c r="D193" t="b">
        <f t="shared" ca="1" si="9"/>
        <v>1</v>
      </c>
      <c r="E193" s="5">
        <f t="shared" si="10"/>
        <v>0</v>
      </c>
      <c r="F193">
        <v>1.59487E-2</v>
      </c>
      <c r="G193">
        <v>1.59487E-2</v>
      </c>
      <c r="H193">
        <v>1.59487E-2</v>
      </c>
      <c r="J193" s="5">
        <f t="shared" si="8"/>
        <v>0</v>
      </c>
      <c r="K193" s="5">
        <f t="shared" si="8"/>
        <v>0</v>
      </c>
    </row>
    <row r="194" spans="3:11" x14ac:dyDescent="0.2">
      <c r="C194" t="s">
        <v>1439</v>
      </c>
      <c r="D194" t="b">
        <f t="shared" ca="1" si="9"/>
        <v>0</v>
      </c>
      <c r="E194" s="5">
        <f t="shared" si="10"/>
        <v>8.3471436927276554E-4</v>
      </c>
      <c r="F194">
        <v>164.12799999999999</v>
      </c>
      <c r="G194">
        <v>164.26499999999999</v>
      </c>
      <c r="H194">
        <v>164.26499999999999</v>
      </c>
      <c r="J194" s="5">
        <f t="shared" si="8"/>
        <v>8.3471436927276554E-4</v>
      </c>
      <c r="K194" s="5">
        <f t="shared" si="8"/>
        <v>0</v>
      </c>
    </row>
    <row r="195" spans="3:11" x14ac:dyDescent="0.2">
      <c r="C195" t="s">
        <v>1438</v>
      </c>
      <c r="D195" t="b">
        <f t="shared" ca="1" si="9"/>
        <v>0</v>
      </c>
      <c r="E195" s="5">
        <f t="shared" si="10"/>
        <v>9.2186883916703247E-4</v>
      </c>
      <c r="F195">
        <v>18.006900000000002</v>
      </c>
      <c r="G195">
        <v>18.023499999999999</v>
      </c>
      <c r="H195">
        <v>18.023499999999999</v>
      </c>
      <c r="J195" s="5">
        <f t="shared" si="8"/>
        <v>9.2186883916703247E-4</v>
      </c>
      <c r="K195" s="5">
        <f t="shared" si="8"/>
        <v>0</v>
      </c>
    </row>
    <row r="196" spans="3:11" x14ac:dyDescent="0.2">
      <c r="C196" t="s">
        <v>1437</v>
      </c>
      <c r="D196" t="b">
        <f t="shared" ca="1" si="9"/>
        <v>0</v>
      </c>
      <c r="E196" s="5">
        <f t="shared" si="10"/>
        <v>7.285403050109043E-4</v>
      </c>
      <c r="F196">
        <v>573.75</v>
      </c>
      <c r="G196">
        <v>574.16800000000001</v>
      </c>
      <c r="H196">
        <v>574.16800000000001</v>
      </c>
      <c r="J196" s="5">
        <f t="shared" si="8"/>
        <v>7.285403050109043E-4</v>
      </c>
      <c r="K196" s="5">
        <f t="shared" si="8"/>
        <v>0</v>
      </c>
    </row>
    <row r="197" spans="3:11" x14ac:dyDescent="0.2">
      <c r="C197" t="s">
        <v>1436</v>
      </c>
      <c r="D197" t="b">
        <f t="shared" ca="1" si="9"/>
        <v>0</v>
      </c>
      <c r="E197" s="5">
        <f t="shared" si="10"/>
        <v>2.0671581473952192E-3</v>
      </c>
      <c r="F197">
        <v>204.14500000000001</v>
      </c>
      <c r="G197">
        <v>204.56700000000001</v>
      </c>
      <c r="H197">
        <v>204.56700000000001</v>
      </c>
      <c r="J197" s="5">
        <f t="shared" si="8"/>
        <v>2.0671581473952192E-3</v>
      </c>
      <c r="K197" s="5">
        <f t="shared" si="8"/>
        <v>0</v>
      </c>
    </row>
    <row r="198" spans="3:11" x14ac:dyDescent="0.2">
      <c r="C198" t="s">
        <v>1435</v>
      </c>
      <c r="D198" t="b">
        <f t="shared" ca="1" si="9"/>
        <v>1</v>
      </c>
      <c r="E198" s="5">
        <f t="shared" si="10"/>
        <v>1.0822364416117475E-5</v>
      </c>
      <c r="F198">
        <v>369.60500000000002</v>
      </c>
      <c r="G198">
        <v>369.601</v>
      </c>
      <c r="H198">
        <v>369.601</v>
      </c>
      <c r="J198" s="5">
        <f t="shared" si="8"/>
        <v>1.0822364416117475E-5</v>
      </c>
      <c r="K198" s="5">
        <f t="shared" si="8"/>
        <v>0</v>
      </c>
    </row>
    <row r="199" spans="3:11" x14ac:dyDescent="0.2">
      <c r="C199" t="s">
        <v>1434</v>
      </c>
      <c r="D199" t="b">
        <f t="shared" ca="1" si="9"/>
        <v>0</v>
      </c>
      <c r="E199" s="5">
        <f t="shared" si="10"/>
        <v>7.2335593970581714E-4</v>
      </c>
      <c r="F199">
        <v>555.74300000000005</v>
      </c>
      <c r="G199">
        <v>556.14499999999998</v>
      </c>
      <c r="H199">
        <v>556.14499999999998</v>
      </c>
      <c r="J199" s="5">
        <f t="shared" ref="J199:K262" si="11">ABS(F199-G199)/ABS(F199)</f>
        <v>7.2335593970581714E-4</v>
      </c>
      <c r="K199" s="5">
        <f t="shared" si="11"/>
        <v>0</v>
      </c>
    </row>
    <row r="200" spans="3:11" x14ac:dyDescent="0.2">
      <c r="C200" t="s">
        <v>1433</v>
      </c>
      <c r="D200" t="b">
        <f t="shared" ca="1" si="9"/>
        <v>0</v>
      </c>
      <c r="E200" s="5">
        <f t="shared" si="10"/>
        <v>2.1685154992912752E-3</v>
      </c>
      <c r="F200">
        <v>187.68600000000001</v>
      </c>
      <c r="G200">
        <v>188.09299999999999</v>
      </c>
      <c r="H200">
        <v>188.09299999999999</v>
      </c>
      <c r="J200" s="5">
        <f t="shared" si="11"/>
        <v>2.1685154992912752E-3</v>
      </c>
      <c r="K200" s="5">
        <f t="shared" si="11"/>
        <v>0</v>
      </c>
    </row>
    <row r="201" spans="3:11" x14ac:dyDescent="0.2">
      <c r="C201" t="s">
        <v>1432</v>
      </c>
      <c r="D201" t="b">
        <f t="shared" ca="1" si="9"/>
        <v>1</v>
      </c>
      <c r="E201" s="5">
        <f t="shared" si="10"/>
        <v>1.3584852346227493E-5</v>
      </c>
      <c r="F201">
        <v>368.05700000000002</v>
      </c>
      <c r="G201">
        <v>368.05200000000002</v>
      </c>
      <c r="H201">
        <v>368.05200000000002</v>
      </c>
      <c r="J201" s="5">
        <f t="shared" si="11"/>
        <v>1.3584852346227493E-5</v>
      </c>
      <c r="K201" s="5">
        <f t="shared" si="11"/>
        <v>0</v>
      </c>
    </row>
    <row r="202" spans="3:11" x14ac:dyDescent="0.2">
      <c r="C202" t="s">
        <v>1431</v>
      </c>
      <c r="D202" t="b">
        <f t="shared" ca="1" si="9"/>
        <v>0</v>
      </c>
      <c r="E202" s="5">
        <f t="shared" si="10"/>
        <v>1.0927251087549709E-4</v>
      </c>
      <c r="F202">
        <v>3.3860299999999999</v>
      </c>
      <c r="G202">
        <v>3.3856600000000001</v>
      </c>
      <c r="H202">
        <v>3.3856600000000001</v>
      </c>
      <c r="J202" s="5">
        <f t="shared" si="11"/>
        <v>1.0927251087549709E-4</v>
      </c>
      <c r="K202" s="5">
        <f t="shared" si="11"/>
        <v>0</v>
      </c>
    </row>
    <row r="203" spans="3:11" x14ac:dyDescent="0.2">
      <c r="C203" t="s">
        <v>1430</v>
      </c>
      <c r="D203" t="b">
        <f t="shared" ca="1" si="9"/>
        <v>1</v>
      </c>
      <c r="E203" s="5">
        <f t="shared" si="10"/>
        <v>0</v>
      </c>
      <c r="F203">
        <v>22.200299999999999</v>
      </c>
      <c r="G203">
        <v>22.200299999999999</v>
      </c>
      <c r="H203">
        <v>22.200299999999999</v>
      </c>
      <c r="J203" s="5">
        <f t="shared" si="11"/>
        <v>0</v>
      </c>
      <c r="K203" s="5">
        <f t="shared" si="11"/>
        <v>0</v>
      </c>
    </row>
    <row r="204" spans="3:11" x14ac:dyDescent="0.2">
      <c r="C204" t="s">
        <v>1429</v>
      </c>
      <c r="D204" t="b">
        <f t="shared" ca="1" si="9"/>
        <v>0</v>
      </c>
      <c r="E204" s="5">
        <f t="shared" si="10"/>
        <v>6.1741617630386829E-4</v>
      </c>
      <c r="F204">
        <v>1.5872600000000001E-2</v>
      </c>
      <c r="G204">
        <v>1.58628E-2</v>
      </c>
      <c r="H204">
        <v>1.58628E-2</v>
      </c>
      <c r="J204" s="5">
        <f t="shared" si="11"/>
        <v>6.1741617630386829E-4</v>
      </c>
      <c r="K204" s="5">
        <f t="shared" si="11"/>
        <v>0</v>
      </c>
    </row>
    <row r="205" spans="3:11" x14ac:dyDescent="0.2">
      <c r="C205" t="s">
        <v>1428</v>
      </c>
      <c r="D205" t="b">
        <f t="shared" ca="1" si="9"/>
        <v>0</v>
      </c>
      <c r="E205" s="5">
        <f t="shared" si="10"/>
        <v>1.4191413311663594E-3</v>
      </c>
      <c r="F205">
        <v>3.39642</v>
      </c>
      <c r="G205">
        <v>3.3915999999999999</v>
      </c>
      <c r="H205">
        <v>3.3915999999999999</v>
      </c>
      <c r="J205" s="5">
        <f t="shared" si="11"/>
        <v>1.4191413311663594E-3</v>
      </c>
      <c r="K205" s="5">
        <f t="shared" si="11"/>
        <v>0</v>
      </c>
    </row>
    <row r="206" spans="3:11" x14ac:dyDescent="0.2">
      <c r="C206" t="s">
        <v>1427</v>
      </c>
      <c r="D206" t="b">
        <f t="shared" ca="1" si="9"/>
        <v>1</v>
      </c>
      <c r="E206" s="5">
        <f t="shared" si="10"/>
        <v>0</v>
      </c>
      <c r="F206">
        <v>22.200299999999999</v>
      </c>
      <c r="G206">
        <v>22.200299999999999</v>
      </c>
      <c r="H206">
        <v>22.200299999999999</v>
      </c>
      <c r="J206" s="5">
        <f t="shared" si="11"/>
        <v>0</v>
      </c>
      <c r="K206" s="5">
        <f t="shared" si="11"/>
        <v>0</v>
      </c>
    </row>
    <row r="207" spans="3:11" x14ac:dyDescent="0.2">
      <c r="C207" t="s">
        <v>1426</v>
      </c>
      <c r="D207" t="b">
        <f t="shared" ca="1" si="9"/>
        <v>0</v>
      </c>
      <c r="E207" s="5">
        <f t="shared" si="10"/>
        <v>1.078265835671556E-2</v>
      </c>
      <c r="F207">
        <v>1.6109200000000001E-2</v>
      </c>
      <c r="G207">
        <v>1.5935499999999998E-2</v>
      </c>
      <c r="H207">
        <v>1.5935499999999998E-2</v>
      </c>
      <c r="J207" s="5">
        <f t="shared" si="11"/>
        <v>1.078265835671556E-2</v>
      </c>
      <c r="K207" s="5">
        <f t="shared" si="11"/>
        <v>0</v>
      </c>
    </row>
    <row r="208" spans="3:11" x14ac:dyDescent="0.2">
      <c r="C208" t="s">
        <v>1425</v>
      </c>
      <c r="D208" t="b">
        <f t="shared" ca="1" si="9"/>
        <v>0</v>
      </c>
      <c r="E208" s="5">
        <f t="shared" si="10"/>
        <v>6.7539946323524696E-4</v>
      </c>
      <c r="F208">
        <v>3.3757799999999998</v>
      </c>
      <c r="G208">
        <v>3.3780600000000001</v>
      </c>
      <c r="H208">
        <v>3.3780600000000001</v>
      </c>
      <c r="J208" s="5">
        <f t="shared" si="11"/>
        <v>6.7539946323524696E-4</v>
      </c>
      <c r="K208" s="5">
        <f t="shared" si="11"/>
        <v>0</v>
      </c>
    </row>
    <row r="209" spans="3:11" x14ac:dyDescent="0.2">
      <c r="C209" t="s">
        <v>1424</v>
      </c>
      <c r="D209" t="b">
        <f t="shared" ca="1" si="9"/>
        <v>1</v>
      </c>
      <c r="E209" s="5">
        <f t="shared" si="10"/>
        <v>0</v>
      </c>
      <c r="F209">
        <v>22.200199999999999</v>
      </c>
      <c r="G209">
        <v>22.200199999999999</v>
      </c>
      <c r="H209">
        <v>22.200199999999999</v>
      </c>
      <c r="J209" s="5">
        <f t="shared" si="11"/>
        <v>0</v>
      </c>
      <c r="K209" s="5">
        <f t="shared" si="11"/>
        <v>0</v>
      </c>
    </row>
    <row r="210" spans="3:11" x14ac:dyDescent="0.2">
      <c r="C210" t="s">
        <v>1423</v>
      </c>
      <c r="D210" t="b">
        <f t="shared" ref="D210:D273" ca="1" si="12">IF(CELL("format",F210)="G",IF(ABS(F210-G210) &lt;= ABS(F210*B$3),TRUE,FALSE),IF(F210=G210,TRUE,FALSE))</f>
        <v>1</v>
      </c>
      <c r="E210" s="5">
        <f t="shared" ref="E210:E273" si="13">ABS(F210-G210)/ABS(F210)</f>
        <v>0</v>
      </c>
      <c r="F210">
        <v>1.57132E-2</v>
      </c>
      <c r="G210">
        <v>1.57132E-2</v>
      </c>
      <c r="H210">
        <v>1.57132E-2</v>
      </c>
      <c r="J210" s="5">
        <f t="shared" si="11"/>
        <v>0</v>
      </c>
      <c r="K210" s="5">
        <f t="shared" si="11"/>
        <v>0</v>
      </c>
    </row>
    <row r="211" spans="3:11" x14ac:dyDescent="0.2">
      <c r="C211" t="s">
        <v>1422</v>
      </c>
      <c r="D211" t="b">
        <f t="shared" ca="1" si="12"/>
        <v>0</v>
      </c>
      <c r="E211" s="5">
        <f t="shared" si="13"/>
        <v>2.0106460101493948E-3</v>
      </c>
      <c r="F211">
        <v>249.67099999999999</v>
      </c>
      <c r="G211">
        <v>250.173</v>
      </c>
      <c r="H211">
        <v>250.173</v>
      </c>
      <c r="J211" s="5">
        <f t="shared" si="11"/>
        <v>2.0106460101493948E-3</v>
      </c>
      <c r="K211" s="5">
        <f t="shared" si="11"/>
        <v>0</v>
      </c>
    </row>
    <row r="212" spans="3:11" x14ac:dyDescent="0.2">
      <c r="C212" t="s">
        <v>1421</v>
      </c>
      <c r="D212" t="b">
        <f t="shared" ca="1" si="12"/>
        <v>0</v>
      </c>
      <c r="E212" s="5">
        <f t="shared" si="13"/>
        <v>2.096658616205456E-3</v>
      </c>
      <c r="F212">
        <v>22.607399999999998</v>
      </c>
      <c r="G212">
        <v>22.654800000000002</v>
      </c>
      <c r="H212">
        <v>22.654800000000002</v>
      </c>
      <c r="J212" s="5">
        <f t="shared" si="11"/>
        <v>2.096658616205456E-3</v>
      </c>
      <c r="K212" s="5">
        <f t="shared" si="11"/>
        <v>0</v>
      </c>
    </row>
    <row r="213" spans="3:11" x14ac:dyDescent="0.2">
      <c r="C213" t="s">
        <v>1420</v>
      </c>
      <c r="D213" t="b">
        <f t="shared" ca="1" si="12"/>
        <v>0</v>
      </c>
      <c r="E213" s="5">
        <f t="shared" si="13"/>
        <v>1.7499689900130791E-3</v>
      </c>
      <c r="F213">
        <v>596.58199999999999</v>
      </c>
      <c r="G213">
        <v>597.62599999999998</v>
      </c>
      <c r="H213">
        <v>597.62599999999998</v>
      </c>
      <c r="J213" s="5">
        <f t="shared" si="11"/>
        <v>1.7499689900130791E-3</v>
      </c>
      <c r="K213" s="5">
        <f t="shared" si="11"/>
        <v>0</v>
      </c>
    </row>
    <row r="214" spans="3:11" x14ac:dyDescent="0.2">
      <c r="C214" t="s">
        <v>1419</v>
      </c>
      <c r="D214" t="b">
        <f t="shared" ca="1" si="12"/>
        <v>0</v>
      </c>
      <c r="E214" s="5">
        <f t="shared" si="13"/>
        <v>4.6969042730373133E-3</v>
      </c>
      <c r="F214">
        <v>226.958</v>
      </c>
      <c r="G214">
        <v>228.024</v>
      </c>
      <c r="H214">
        <v>228.024</v>
      </c>
      <c r="J214" s="5">
        <f t="shared" si="11"/>
        <v>4.6969042730373133E-3</v>
      </c>
      <c r="K214" s="5">
        <f t="shared" si="11"/>
        <v>0</v>
      </c>
    </row>
    <row r="215" spans="3:11" x14ac:dyDescent="0.2">
      <c r="C215" t="s">
        <v>1418</v>
      </c>
      <c r="D215" t="b">
        <f t="shared" ca="1" si="12"/>
        <v>1</v>
      </c>
      <c r="E215" s="5">
        <f t="shared" si="13"/>
        <v>5.9520105621109507E-5</v>
      </c>
      <c r="F215">
        <v>369.62299999999999</v>
      </c>
      <c r="G215">
        <v>369.601</v>
      </c>
      <c r="H215">
        <v>369.601</v>
      </c>
      <c r="J215" s="5">
        <f t="shared" si="11"/>
        <v>5.9520105621109507E-5</v>
      </c>
      <c r="K215" s="5">
        <f t="shared" si="11"/>
        <v>0</v>
      </c>
    </row>
    <row r="216" spans="3:11" x14ac:dyDescent="0.2">
      <c r="C216" t="s">
        <v>1417</v>
      </c>
      <c r="D216" t="b">
        <f t="shared" ca="1" si="12"/>
        <v>0</v>
      </c>
      <c r="E216" s="5">
        <f t="shared" si="13"/>
        <v>1.7370124779170436E-3</v>
      </c>
      <c r="F216">
        <v>573.97400000000005</v>
      </c>
      <c r="G216">
        <v>574.971</v>
      </c>
      <c r="H216">
        <v>574.971</v>
      </c>
      <c r="J216" s="5">
        <f t="shared" si="11"/>
        <v>1.7370124779170436E-3</v>
      </c>
      <c r="K216" s="5">
        <f t="shared" si="11"/>
        <v>0</v>
      </c>
    </row>
    <row r="217" spans="3:11" x14ac:dyDescent="0.2">
      <c r="C217" t="s">
        <v>1416</v>
      </c>
      <c r="D217" t="b">
        <f t="shared" ca="1" si="12"/>
        <v>0</v>
      </c>
      <c r="E217" s="5">
        <f t="shared" si="13"/>
        <v>4.9734312786531192E-3</v>
      </c>
      <c r="F217">
        <v>205.69300000000001</v>
      </c>
      <c r="G217">
        <v>206.71600000000001</v>
      </c>
      <c r="H217">
        <v>206.71600000000001</v>
      </c>
      <c r="J217" s="5">
        <f t="shared" si="11"/>
        <v>4.9734312786531192E-3</v>
      </c>
      <c r="K217" s="5">
        <f t="shared" si="11"/>
        <v>0</v>
      </c>
    </row>
    <row r="218" spans="3:11" x14ac:dyDescent="0.2">
      <c r="C218" t="s">
        <v>1415</v>
      </c>
      <c r="D218" t="b">
        <f t="shared" ca="1" si="12"/>
        <v>1</v>
      </c>
      <c r="E218" s="5">
        <f t="shared" si="13"/>
        <v>7.0598265998002776E-5</v>
      </c>
      <c r="F218">
        <v>368.28100000000001</v>
      </c>
      <c r="G218">
        <v>368.255</v>
      </c>
      <c r="H218">
        <v>368.255</v>
      </c>
      <c r="J218" s="5">
        <f t="shared" si="11"/>
        <v>7.0598265998002776E-5</v>
      </c>
      <c r="K218" s="5">
        <f t="shared" si="11"/>
        <v>0</v>
      </c>
    </row>
    <row r="219" spans="3:11" x14ac:dyDescent="0.2">
      <c r="C219" t="s">
        <v>1414</v>
      </c>
      <c r="D219" t="b">
        <f t="shared" ca="1" si="12"/>
        <v>0</v>
      </c>
      <c r="E219" s="5">
        <f t="shared" si="13"/>
        <v>2.6969185530599803E-4</v>
      </c>
      <c r="F219">
        <v>2.2989199999999999</v>
      </c>
      <c r="G219">
        <v>2.2982999999999998</v>
      </c>
      <c r="H219">
        <v>2.2982999999999998</v>
      </c>
      <c r="J219" s="5">
        <f t="shared" si="11"/>
        <v>2.6969185530599803E-4</v>
      </c>
      <c r="K219" s="5">
        <f t="shared" si="11"/>
        <v>0</v>
      </c>
    </row>
    <row r="220" spans="3:11" x14ac:dyDescent="0.2">
      <c r="C220" t="s">
        <v>1413</v>
      </c>
      <c r="D220" t="b">
        <f t="shared" ca="1" si="12"/>
        <v>1</v>
      </c>
      <c r="E220" s="5">
        <f t="shared" si="13"/>
        <v>0</v>
      </c>
      <c r="F220">
        <v>22.200299999999999</v>
      </c>
      <c r="G220">
        <v>22.200299999999999</v>
      </c>
      <c r="H220">
        <v>22.200299999999999</v>
      </c>
      <c r="J220" s="5">
        <f t="shared" si="11"/>
        <v>0</v>
      </c>
      <c r="K220" s="5">
        <f t="shared" si="11"/>
        <v>0</v>
      </c>
    </row>
    <row r="221" spans="3:11" x14ac:dyDescent="0.2">
      <c r="C221" t="s">
        <v>1412</v>
      </c>
      <c r="D221" t="b">
        <f t="shared" ca="1" si="12"/>
        <v>0</v>
      </c>
      <c r="E221" s="5">
        <f t="shared" si="13"/>
        <v>1.2933933467845714E-3</v>
      </c>
      <c r="F221">
        <v>1.54632E-2</v>
      </c>
      <c r="G221">
        <v>1.5443200000000001E-2</v>
      </c>
      <c r="H221">
        <v>1.5443200000000001E-2</v>
      </c>
      <c r="J221" s="5">
        <f t="shared" si="11"/>
        <v>1.2933933467845714E-3</v>
      </c>
      <c r="K221" s="5">
        <f t="shared" si="11"/>
        <v>0</v>
      </c>
    </row>
    <row r="222" spans="3:11" x14ac:dyDescent="0.2">
      <c r="C222" t="s">
        <v>1411</v>
      </c>
      <c r="D222" t="b">
        <f t="shared" ca="1" si="12"/>
        <v>0</v>
      </c>
      <c r="E222" s="5">
        <f t="shared" si="13"/>
        <v>5.8323260231392202E-3</v>
      </c>
      <c r="F222">
        <v>2.3163999999999998</v>
      </c>
      <c r="G222">
        <v>2.3028900000000001</v>
      </c>
      <c r="H222">
        <v>2.3028900000000001</v>
      </c>
      <c r="J222" s="5">
        <f t="shared" si="11"/>
        <v>5.8323260231392202E-3</v>
      </c>
      <c r="K222" s="5">
        <f t="shared" si="11"/>
        <v>0</v>
      </c>
    </row>
    <row r="223" spans="3:11" x14ac:dyDescent="0.2">
      <c r="C223" t="s">
        <v>1410</v>
      </c>
      <c r="D223" t="b">
        <f t="shared" ca="1" si="12"/>
        <v>1</v>
      </c>
      <c r="E223" s="5">
        <f t="shared" si="13"/>
        <v>4.5044233437130392E-6</v>
      </c>
      <c r="F223">
        <v>22.200399999999998</v>
      </c>
      <c r="G223">
        <v>22.200299999999999</v>
      </c>
      <c r="H223">
        <v>22.200299999999999</v>
      </c>
      <c r="J223" s="5">
        <f t="shared" si="11"/>
        <v>4.5044233437130392E-6</v>
      </c>
      <c r="K223" s="5">
        <f t="shared" si="11"/>
        <v>0</v>
      </c>
    </row>
    <row r="224" spans="3:11" x14ac:dyDescent="0.2">
      <c r="C224" t="s">
        <v>1409</v>
      </c>
      <c r="D224" t="b">
        <f t="shared" ca="1" si="12"/>
        <v>0</v>
      </c>
      <c r="E224" s="5">
        <f t="shared" si="13"/>
        <v>2.5365234227664832E-2</v>
      </c>
      <c r="F224">
        <v>1.5907600000000001E-2</v>
      </c>
      <c r="G224">
        <v>1.55041E-2</v>
      </c>
      <c r="H224">
        <v>1.55041E-2</v>
      </c>
      <c r="J224" s="5">
        <f t="shared" si="11"/>
        <v>2.5365234227664832E-2</v>
      </c>
      <c r="K224" s="5">
        <f t="shared" si="11"/>
        <v>0</v>
      </c>
    </row>
    <row r="225" spans="3:11" x14ac:dyDescent="0.2">
      <c r="C225" t="s">
        <v>1408</v>
      </c>
      <c r="D225" t="b">
        <f t="shared" ca="1" si="12"/>
        <v>0</v>
      </c>
      <c r="E225" s="5">
        <f t="shared" si="13"/>
        <v>1.7960382280836735E-3</v>
      </c>
      <c r="F225">
        <v>2.28837</v>
      </c>
      <c r="G225">
        <v>2.2924799999999999</v>
      </c>
      <c r="H225">
        <v>2.2924799999999999</v>
      </c>
      <c r="J225" s="5">
        <f t="shared" si="11"/>
        <v>1.7960382280836735E-3</v>
      </c>
      <c r="K225" s="5">
        <f t="shared" si="11"/>
        <v>0</v>
      </c>
    </row>
    <row r="226" spans="3:11" x14ac:dyDescent="0.2">
      <c r="C226" t="s">
        <v>1407</v>
      </c>
      <c r="D226" t="b">
        <f t="shared" ca="1" si="12"/>
        <v>1</v>
      </c>
      <c r="E226" s="5">
        <f t="shared" si="13"/>
        <v>0</v>
      </c>
      <c r="F226">
        <v>22.200299999999999</v>
      </c>
      <c r="G226">
        <v>22.200299999999999</v>
      </c>
      <c r="H226">
        <v>22.200299999999999</v>
      </c>
      <c r="J226" s="5">
        <f t="shared" si="11"/>
        <v>0</v>
      </c>
      <c r="K226" s="5">
        <f t="shared" si="11"/>
        <v>0</v>
      </c>
    </row>
    <row r="227" spans="3:11" x14ac:dyDescent="0.2">
      <c r="C227" t="s">
        <v>1406</v>
      </c>
      <c r="D227" t="b">
        <f t="shared" ca="1" si="12"/>
        <v>1</v>
      </c>
      <c r="E227" s="5">
        <f t="shared" si="13"/>
        <v>0</v>
      </c>
      <c r="F227">
        <v>1.5296300000000001E-2</v>
      </c>
      <c r="G227">
        <v>1.5296300000000001E-2</v>
      </c>
      <c r="H227">
        <v>1.5296300000000001E-2</v>
      </c>
      <c r="J227" s="5">
        <f t="shared" si="11"/>
        <v>0</v>
      </c>
      <c r="K227" s="5">
        <f t="shared" si="11"/>
        <v>0</v>
      </c>
    </row>
    <row r="228" spans="3:11" x14ac:dyDescent="0.2">
      <c r="C228" t="s">
        <v>1405</v>
      </c>
      <c r="D228" t="b">
        <f t="shared" ca="1" si="12"/>
        <v>1</v>
      </c>
      <c r="E228" s="5">
        <f t="shared" si="13"/>
        <v>9.5531187520965719E-5</v>
      </c>
      <c r="F228">
        <v>1465.49</v>
      </c>
      <c r="G228">
        <v>1465.63</v>
      </c>
      <c r="H228">
        <v>1465.63</v>
      </c>
      <c r="J228" s="5">
        <f t="shared" si="11"/>
        <v>9.5531187520965719E-5</v>
      </c>
      <c r="K228" s="5">
        <f t="shared" si="11"/>
        <v>0</v>
      </c>
    </row>
    <row r="229" spans="3:11" x14ac:dyDescent="0.2">
      <c r="C229" t="s">
        <v>1404</v>
      </c>
      <c r="D229" t="b">
        <f t="shared" ca="1" si="12"/>
        <v>1</v>
      </c>
      <c r="E229" s="5">
        <f t="shared" si="13"/>
        <v>9.7712867481905403E-5</v>
      </c>
      <c r="F229">
        <v>153.511</v>
      </c>
      <c r="G229">
        <v>153.52600000000001</v>
      </c>
      <c r="H229">
        <v>153.52600000000001</v>
      </c>
      <c r="J229" s="5">
        <f t="shared" si="11"/>
        <v>9.7712867481905403E-5</v>
      </c>
      <c r="K229" s="5">
        <f t="shared" si="11"/>
        <v>0</v>
      </c>
    </row>
    <row r="230" spans="3:11" x14ac:dyDescent="0.2">
      <c r="C230" t="s">
        <v>1403</v>
      </c>
      <c r="D230" t="b">
        <f t="shared" ca="1" si="12"/>
        <v>0</v>
      </c>
      <c r="E230" s="5">
        <f t="shared" si="13"/>
        <v>1.167069670412828E-4</v>
      </c>
      <c r="F230">
        <v>5483.82</v>
      </c>
      <c r="G230">
        <v>5484.46</v>
      </c>
      <c r="H230">
        <v>5484.46</v>
      </c>
      <c r="J230" s="5">
        <f t="shared" si="11"/>
        <v>1.167069670412828E-4</v>
      </c>
      <c r="K230" s="5">
        <f t="shared" si="11"/>
        <v>0</v>
      </c>
    </row>
    <row r="231" spans="3:11" x14ac:dyDescent="0.2">
      <c r="C231" t="s">
        <v>1402</v>
      </c>
      <c r="D231" t="b">
        <f t="shared" ca="1" si="12"/>
        <v>0</v>
      </c>
      <c r="E231" s="5">
        <f t="shared" si="13"/>
        <v>1.5013641300658194E-4</v>
      </c>
      <c r="F231">
        <v>4262.79</v>
      </c>
      <c r="G231">
        <v>4263.43</v>
      </c>
      <c r="H231">
        <v>4263.43</v>
      </c>
      <c r="J231" s="5">
        <f t="shared" si="11"/>
        <v>1.5013641300658194E-4</v>
      </c>
      <c r="K231" s="5">
        <f t="shared" si="11"/>
        <v>0</v>
      </c>
    </row>
    <row r="232" spans="3:11" x14ac:dyDescent="0.2">
      <c r="C232" t="s">
        <v>1401</v>
      </c>
      <c r="D232" t="b">
        <f t="shared" ca="1" si="12"/>
        <v>1</v>
      </c>
      <c r="E232" s="5">
        <f t="shared" si="13"/>
        <v>0</v>
      </c>
      <c r="F232">
        <v>1221.03</v>
      </c>
      <c r="G232">
        <v>1221.03</v>
      </c>
      <c r="H232">
        <v>1221.03</v>
      </c>
      <c r="J232" s="5">
        <f t="shared" si="11"/>
        <v>0</v>
      </c>
      <c r="K232" s="5">
        <f t="shared" si="11"/>
        <v>0</v>
      </c>
    </row>
    <row r="233" spans="3:11" x14ac:dyDescent="0.2">
      <c r="C233" t="s">
        <v>1400</v>
      </c>
      <c r="D233" t="b">
        <f t="shared" ca="1" si="12"/>
        <v>0</v>
      </c>
      <c r="E233" s="5">
        <f t="shared" si="13"/>
        <v>1.1631593659653769E-4</v>
      </c>
      <c r="F233">
        <v>5330.31</v>
      </c>
      <c r="G233">
        <v>5330.93</v>
      </c>
      <c r="H233">
        <v>5330.93</v>
      </c>
      <c r="J233" s="5">
        <f t="shared" si="11"/>
        <v>1.1631593659653769E-4</v>
      </c>
      <c r="K233" s="5">
        <f t="shared" si="11"/>
        <v>0</v>
      </c>
    </row>
    <row r="234" spans="3:11" x14ac:dyDescent="0.2">
      <c r="C234" t="s">
        <v>1399</v>
      </c>
      <c r="D234" t="b">
        <f t="shared" ca="1" si="12"/>
        <v>0</v>
      </c>
      <c r="E234" s="5">
        <f t="shared" si="13"/>
        <v>1.5049310765837359E-4</v>
      </c>
      <c r="F234">
        <v>4119.79</v>
      </c>
      <c r="G234">
        <v>4120.41</v>
      </c>
      <c r="H234">
        <v>4120.41</v>
      </c>
      <c r="J234" s="5">
        <f t="shared" si="11"/>
        <v>1.5049310765837359E-4</v>
      </c>
      <c r="K234" s="5">
        <f t="shared" si="11"/>
        <v>0</v>
      </c>
    </row>
    <row r="235" spans="3:11" x14ac:dyDescent="0.2">
      <c r="C235" t="s">
        <v>1398</v>
      </c>
      <c r="D235" t="b">
        <f t="shared" ca="1" si="12"/>
        <v>1</v>
      </c>
      <c r="E235" s="5">
        <f t="shared" si="13"/>
        <v>0</v>
      </c>
      <c r="F235">
        <v>1210.52</v>
      </c>
      <c r="G235">
        <v>1210.52</v>
      </c>
      <c r="H235">
        <v>1210.52</v>
      </c>
      <c r="J235" s="5">
        <f t="shared" si="11"/>
        <v>0</v>
      </c>
      <c r="K235" s="5">
        <f t="shared" si="11"/>
        <v>0</v>
      </c>
    </row>
    <row r="236" spans="3:11" x14ac:dyDescent="0.2">
      <c r="C236" t="s">
        <v>1397</v>
      </c>
      <c r="D236" t="b">
        <f t="shared" ca="1" si="12"/>
        <v>1</v>
      </c>
      <c r="E236" s="5">
        <f t="shared" si="13"/>
        <v>2.1994880691541046E-5</v>
      </c>
      <c r="F236">
        <v>3.6372100000000001</v>
      </c>
      <c r="G236">
        <v>3.6372900000000001</v>
      </c>
      <c r="H236">
        <v>3.6372900000000001</v>
      </c>
      <c r="J236" s="5">
        <f t="shared" si="11"/>
        <v>2.1994880691541046E-5</v>
      </c>
      <c r="K236" s="5">
        <f t="shared" si="11"/>
        <v>0</v>
      </c>
    </row>
    <row r="237" spans="3:11" x14ac:dyDescent="0.2">
      <c r="C237" t="s">
        <v>1396</v>
      </c>
      <c r="D237" t="b">
        <f t="shared" ca="1" si="12"/>
        <v>1</v>
      </c>
      <c r="E237" s="5">
        <f t="shared" si="13"/>
        <v>3.7451219786141157E-6</v>
      </c>
      <c r="F237">
        <v>26.7014</v>
      </c>
      <c r="G237">
        <v>26.7013</v>
      </c>
      <c r="H237">
        <v>26.7013</v>
      </c>
      <c r="J237" s="5">
        <f t="shared" si="11"/>
        <v>3.7451219786141157E-6</v>
      </c>
      <c r="K237" s="5">
        <f t="shared" si="11"/>
        <v>0</v>
      </c>
    </row>
    <row r="238" spans="3:11" x14ac:dyDescent="0.2">
      <c r="C238" t="s">
        <v>1395</v>
      </c>
      <c r="D238" t="b">
        <f t="shared" ca="1" si="12"/>
        <v>1</v>
      </c>
      <c r="E238" s="5">
        <f t="shared" si="13"/>
        <v>3.5158344393506183E-5</v>
      </c>
      <c r="F238">
        <v>1.1377099999999999E-2</v>
      </c>
      <c r="G238">
        <v>1.13767E-2</v>
      </c>
      <c r="H238">
        <v>1.13767E-2</v>
      </c>
      <c r="J238" s="5">
        <f t="shared" si="11"/>
        <v>3.5158344393506183E-5</v>
      </c>
      <c r="K238" s="5">
        <f t="shared" si="11"/>
        <v>0</v>
      </c>
    </row>
    <row r="239" spans="3:11" x14ac:dyDescent="0.2">
      <c r="C239" t="s">
        <v>1394</v>
      </c>
      <c r="D239" t="b">
        <f t="shared" ca="1" si="12"/>
        <v>1</v>
      </c>
      <c r="E239" s="5">
        <f t="shared" si="13"/>
        <v>0</v>
      </c>
      <c r="F239">
        <v>3.6424699999999999</v>
      </c>
      <c r="G239">
        <v>3.6424699999999999</v>
      </c>
      <c r="H239">
        <v>3.6424699999999999</v>
      </c>
      <c r="J239" s="5">
        <f t="shared" si="11"/>
        <v>0</v>
      </c>
      <c r="K239" s="5">
        <f t="shared" si="11"/>
        <v>0</v>
      </c>
    </row>
    <row r="240" spans="3:11" x14ac:dyDescent="0.2">
      <c r="C240" t="s">
        <v>1393</v>
      </c>
      <c r="D240" t="b">
        <f t="shared" ca="1" si="12"/>
        <v>1</v>
      </c>
      <c r="E240" s="5">
        <f t="shared" si="13"/>
        <v>0</v>
      </c>
      <c r="F240">
        <v>26.701799999999999</v>
      </c>
      <c r="G240">
        <v>26.701799999999999</v>
      </c>
      <c r="H240">
        <v>26.701799999999999</v>
      </c>
      <c r="J240" s="5">
        <f t="shared" si="11"/>
        <v>0</v>
      </c>
      <c r="K240" s="5">
        <f t="shared" si="11"/>
        <v>0</v>
      </c>
    </row>
    <row r="241" spans="3:11" x14ac:dyDescent="0.2">
      <c r="C241" t="s">
        <v>1392</v>
      </c>
      <c r="D241" t="b">
        <f t="shared" ca="1" si="12"/>
        <v>0</v>
      </c>
      <c r="E241" s="5">
        <f t="shared" si="13"/>
        <v>5.9617745046462516E-4</v>
      </c>
      <c r="F241">
        <v>1.1405999999999999E-2</v>
      </c>
      <c r="G241">
        <v>1.13992E-2</v>
      </c>
      <c r="H241">
        <v>1.13992E-2</v>
      </c>
      <c r="J241" s="5">
        <f t="shared" si="11"/>
        <v>5.9617745046462516E-4</v>
      </c>
      <c r="K241" s="5">
        <f t="shared" si="11"/>
        <v>0</v>
      </c>
    </row>
    <row r="242" spans="3:11" x14ac:dyDescent="0.2">
      <c r="C242" t="s">
        <v>1391</v>
      </c>
      <c r="D242" t="b">
        <f t="shared" ca="1" si="12"/>
        <v>0</v>
      </c>
      <c r="E242" s="5">
        <f t="shared" si="13"/>
        <v>4.4609788268725918E-4</v>
      </c>
      <c r="F242">
        <v>3.6314899999999999</v>
      </c>
      <c r="G242">
        <v>3.6331099999999998</v>
      </c>
      <c r="H242">
        <v>3.6331099999999998</v>
      </c>
      <c r="J242" s="5">
        <f t="shared" si="11"/>
        <v>4.4609788268725918E-4</v>
      </c>
      <c r="K242" s="5">
        <f t="shared" si="11"/>
        <v>0</v>
      </c>
    </row>
    <row r="243" spans="3:11" x14ac:dyDescent="0.2">
      <c r="C243" t="s">
        <v>1390</v>
      </c>
      <c r="D243" t="b">
        <f t="shared" ca="1" si="12"/>
        <v>1</v>
      </c>
      <c r="E243" s="5">
        <f t="shared" si="13"/>
        <v>0</v>
      </c>
      <c r="F243">
        <v>26.701000000000001</v>
      </c>
      <c r="G243">
        <v>26.701000000000001</v>
      </c>
      <c r="H243">
        <v>26.701000000000001</v>
      </c>
      <c r="J243" s="5">
        <f t="shared" si="11"/>
        <v>0</v>
      </c>
      <c r="K243" s="5">
        <f t="shared" si="11"/>
        <v>0</v>
      </c>
    </row>
    <row r="244" spans="3:11" x14ac:dyDescent="0.2">
      <c r="C244" t="s">
        <v>1389</v>
      </c>
      <c r="D244" t="b">
        <f t="shared" ca="1" si="12"/>
        <v>1</v>
      </c>
      <c r="E244" s="5">
        <f t="shared" si="13"/>
        <v>0</v>
      </c>
      <c r="F244">
        <v>1.12809E-2</v>
      </c>
      <c r="G244">
        <v>1.12809E-2</v>
      </c>
      <c r="H244">
        <v>1.12809E-2</v>
      </c>
      <c r="J244" s="5">
        <f t="shared" si="11"/>
        <v>0</v>
      </c>
      <c r="K244" s="5">
        <f t="shared" si="11"/>
        <v>0</v>
      </c>
    </row>
    <row r="245" spans="3:11" x14ac:dyDescent="0.2">
      <c r="C245" t="s">
        <v>1388</v>
      </c>
      <c r="D245" t="b">
        <f t="shared" ca="1" si="12"/>
        <v>1</v>
      </c>
      <c r="E245" s="5">
        <f t="shared" si="13"/>
        <v>8.5547834072250959E-6</v>
      </c>
      <c r="F245">
        <v>35068.1</v>
      </c>
      <c r="G245">
        <v>35068.400000000001</v>
      </c>
      <c r="H245">
        <v>35068.400000000001</v>
      </c>
      <c r="J245" s="5">
        <f t="shared" si="11"/>
        <v>8.5547834072250959E-6</v>
      </c>
      <c r="K245" s="5">
        <f t="shared" si="11"/>
        <v>0</v>
      </c>
    </row>
    <row r="246" spans="3:11" x14ac:dyDescent="0.2">
      <c r="C246" t="s">
        <v>1387</v>
      </c>
      <c r="D246" t="b">
        <f t="shared" ca="1" si="12"/>
        <v>1</v>
      </c>
      <c r="E246" s="5">
        <f t="shared" si="13"/>
        <v>0</v>
      </c>
      <c r="F246">
        <v>10862.1</v>
      </c>
      <c r="G246">
        <v>10862.1</v>
      </c>
      <c r="H246">
        <v>10862.1</v>
      </c>
      <c r="J246" s="5">
        <f t="shared" si="11"/>
        <v>0</v>
      </c>
      <c r="K246" s="5">
        <f t="shared" si="11"/>
        <v>0</v>
      </c>
    </row>
    <row r="247" spans="3:11" x14ac:dyDescent="0.2">
      <c r="C247" t="s">
        <v>1386</v>
      </c>
      <c r="D247" t="b">
        <f t="shared" ca="1" si="12"/>
        <v>1</v>
      </c>
      <c r="E247" s="5">
        <f t="shared" si="13"/>
        <v>1.5290130220905298E-5</v>
      </c>
      <c r="F247">
        <v>78482</v>
      </c>
      <c r="G247">
        <v>78483.199999999997</v>
      </c>
      <c r="H247">
        <v>78483.199999999997</v>
      </c>
      <c r="J247" s="5">
        <f t="shared" si="11"/>
        <v>1.5290130220905298E-5</v>
      </c>
      <c r="K247" s="5">
        <f t="shared" si="11"/>
        <v>0</v>
      </c>
    </row>
    <row r="248" spans="3:11" x14ac:dyDescent="0.2">
      <c r="C248" t="s">
        <v>1385</v>
      </c>
      <c r="D248" t="b">
        <f t="shared" ca="1" si="12"/>
        <v>1</v>
      </c>
      <c r="E248" s="5">
        <f t="shared" si="13"/>
        <v>1.8128586060930176E-5</v>
      </c>
      <c r="F248">
        <v>55161.5</v>
      </c>
      <c r="G248">
        <v>55162.5</v>
      </c>
      <c r="H248">
        <v>55162.5</v>
      </c>
      <c r="J248" s="5">
        <f t="shared" si="11"/>
        <v>1.8128586060930176E-5</v>
      </c>
      <c r="K248" s="5">
        <f t="shared" si="11"/>
        <v>0</v>
      </c>
    </row>
    <row r="249" spans="3:11" x14ac:dyDescent="0.2">
      <c r="C249" t="s">
        <v>1384</v>
      </c>
      <c r="D249" t="b">
        <f t="shared" ca="1" si="12"/>
        <v>1</v>
      </c>
      <c r="E249" s="5">
        <f t="shared" si="13"/>
        <v>8.5761454514580565E-6</v>
      </c>
      <c r="F249">
        <v>23320.5</v>
      </c>
      <c r="G249">
        <v>23320.7</v>
      </c>
      <c r="H249">
        <v>23320.7</v>
      </c>
      <c r="J249" s="5">
        <f t="shared" si="11"/>
        <v>8.5761454514580565E-6</v>
      </c>
      <c r="K249" s="5">
        <f t="shared" si="11"/>
        <v>0</v>
      </c>
    </row>
    <row r="250" spans="3:11" x14ac:dyDescent="0.2">
      <c r="C250" t="s">
        <v>1383</v>
      </c>
      <c r="D250" t="b">
        <f t="shared" ca="1" si="12"/>
        <v>1</v>
      </c>
      <c r="E250" s="5">
        <f t="shared" si="13"/>
        <v>3.0842778934584045E-6</v>
      </c>
      <c r="F250">
        <v>3.2422499999999999</v>
      </c>
      <c r="G250">
        <v>3.2422599999999999</v>
      </c>
      <c r="H250">
        <v>3.2422599999999999</v>
      </c>
      <c r="J250" s="5">
        <f t="shared" si="11"/>
        <v>3.0842778934584045E-6</v>
      </c>
      <c r="K250" s="5">
        <f t="shared" si="11"/>
        <v>0</v>
      </c>
    </row>
    <row r="251" spans="3:11" x14ac:dyDescent="0.2">
      <c r="C251" t="s">
        <v>1382</v>
      </c>
      <c r="D251" t="b">
        <f t="shared" ca="1" si="12"/>
        <v>1</v>
      </c>
      <c r="E251" s="5">
        <f t="shared" si="13"/>
        <v>0</v>
      </c>
      <c r="F251">
        <v>24.09</v>
      </c>
      <c r="G251">
        <v>24.09</v>
      </c>
      <c r="H251">
        <v>24.09</v>
      </c>
      <c r="J251" s="5">
        <f t="shared" si="11"/>
        <v>0</v>
      </c>
      <c r="K251" s="5">
        <f t="shared" si="11"/>
        <v>0</v>
      </c>
    </row>
    <row r="252" spans="3:11" x14ac:dyDescent="0.2">
      <c r="C252" t="s">
        <v>1381</v>
      </c>
      <c r="D252" t="b">
        <f t="shared" ca="1" si="12"/>
        <v>1</v>
      </c>
      <c r="E252" s="5">
        <f t="shared" si="13"/>
        <v>3.2803842860650186E-6</v>
      </c>
      <c r="F252">
        <v>9.1452700000000005E-3</v>
      </c>
      <c r="G252">
        <v>9.1452400000000007E-3</v>
      </c>
      <c r="H252">
        <v>9.1452400000000007E-3</v>
      </c>
      <c r="J252" s="5">
        <f t="shared" si="11"/>
        <v>3.2803842860650186E-6</v>
      </c>
      <c r="K252" s="5">
        <f t="shared" si="11"/>
        <v>0</v>
      </c>
    </row>
    <row r="253" spans="3:11" x14ac:dyDescent="0.2">
      <c r="C253" t="s">
        <v>1380</v>
      </c>
      <c r="D253" t="b">
        <f t="shared" ca="1" si="12"/>
        <v>1</v>
      </c>
      <c r="E253" s="5">
        <f t="shared" si="13"/>
        <v>4.1804447156991142E-6</v>
      </c>
      <c r="F253">
        <v>47.841799999999999</v>
      </c>
      <c r="G253">
        <v>47.8416</v>
      </c>
      <c r="H253">
        <v>47.8416</v>
      </c>
      <c r="J253" s="5">
        <f t="shared" si="11"/>
        <v>4.1804447156991142E-6</v>
      </c>
      <c r="K253" s="5">
        <f t="shared" si="11"/>
        <v>0</v>
      </c>
    </row>
    <row r="254" spans="3:11" x14ac:dyDescent="0.2">
      <c r="C254" t="s">
        <v>1379</v>
      </c>
      <c r="D254" t="b">
        <f t="shared" ca="1" si="12"/>
        <v>1</v>
      </c>
      <c r="E254" s="5">
        <f t="shared" si="13"/>
        <v>0</v>
      </c>
      <c r="F254">
        <v>19.914100000000001</v>
      </c>
      <c r="G254">
        <v>19.914100000000001</v>
      </c>
      <c r="H254">
        <v>19.914100000000001</v>
      </c>
      <c r="J254" s="5">
        <f t="shared" si="11"/>
        <v>0</v>
      </c>
      <c r="K254" s="5">
        <f t="shared" si="11"/>
        <v>0</v>
      </c>
    </row>
    <row r="255" spans="3:11" x14ac:dyDescent="0.2">
      <c r="C255" t="s">
        <v>1378</v>
      </c>
      <c r="D255" t="b">
        <f t="shared" ca="1" si="12"/>
        <v>1</v>
      </c>
      <c r="E255" s="5">
        <f t="shared" si="13"/>
        <v>0</v>
      </c>
      <c r="F255">
        <v>1.1607900000000001E-2</v>
      </c>
      <c r="G255">
        <v>1.1607900000000001E-2</v>
      </c>
      <c r="H255">
        <v>1.1607900000000001E-2</v>
      </c>
      <c r="J255" s="5">
        <f t="shared" si="11"/>
        <v>0</v>
      </c>
      <c r="K255" s="5">
        <f t="shared" si="11"/>
        <v>0</v>
      </c>
    </row>
    <row r="256" spans="3:11" x14ac:dyDescent="0.2">
      <c r="C256" t="s">
        <v>1377</v>
      </c>
      <c r="D256" t="b">
        <f t="shared" ca="1" si="12"/>
        <v>1</v>
      </c>
      <c r="E256" s="5">
        <f t="shared" si="13"/>
        <v>7.6037146679618598E-6</v>
      </c>
      <c r="F256">
        <v>39454.400000000001</v>
      </c>
      <c r="G256">
        <v>39454.699999999997</v>
      </c>
      <c r="H256">
        <v>39454.699999999997</v>
      </c>
      <c r="J256" s="5">
        <f t="shared" si="11"/>
        <v>7.6037146679618598E-6</v>
      </c>
      <c r="K256" s="5">
        <f t="shared" si="11"/>
        <v>0</v>
      </c>
    </row>
    <row r="257" spans="3:11" x14ac:dyDescent="0.2">
      <c r="C257" t="s">
        <v>1376</v>
      </c>
      <c r="D257" t="b">
        <f t="shared" ca="1" si="12"/>
        <v>1</v>
      </c>
      <c r="E257" s="5">
        <f t="shared" si="13"/>
        <v>0</v>
      </c>
      <c r="F257">
        <v>10862.1</v>
      </c>
      <c r="G257">
        <v>10862.1</v>
      </c>
      <c r="H257">
        <v>10862.1</v>
      </c>
      <c r="J257" s="5">
        <f t="shared" si="11"/>
        <v>0</v>
      </c>
      <c r="K257" s="5">
        <f t="shared" si="11"/>
        <v>0</v>
      </c>
    </row>
    <row r="258" spans="3:11" x14ac:dyDescent="0.2">
      <c r="C258" t="s">
        <v>1375</v>
      </c>
      <c r="D258" t="b">
        <f t="shared" ca="1" si="12"/>
        <v>1</v>
      </c>
      <c r="E258" s="5">
        <f t="shared" si="13"/>
        <v>1.3343898964132732E-5</v>
      </c>
      <c r="F258">
        <v>97422.8</v>
      </c>
      <c r="G258">
        <v>97424.1</v>
      </c>
      <c r="H258">
        <v>97424.1</v>
      </c>
      <c r="J258" s="5">
        <f t="shared" si="11"/>
        <v>1.3343898964132732E-5</v>
      </c>
      <c r="K258" s="5">
        <f t="shared" si="11"/>
        <v>0</v>
      </c>
    </row>
    <row r="259" spans="3:11" x14ac:dyDescent="0.2">
      <c r="C259" t="s">
        <v>1374</v>
      </c>
      <c r="D259" t="b">
        <f t="shared" ca="1" si="12"/>
        <v>1</v>
      </c>
      <c r="E259" s="5">
        <f t="shared" si="13"/>
        <v>1.8168769701759644E-5</v>
      </c>
      <c r="F259">
        <v>55039.5</v>
      </c>
      <c r="G259">
        <v>55040.5</v>
      </c>
      <c r="H259">
        <v>55040.5</v>
      </c>
      <c r="J259" s="5">
        <f t="shared" si="11"/>
        <v>1.8168769701759644E-5</v>
      </c>
      <c r="K259" s="5">
        <f t="shared" si="11"/>
        <v>0</v>
      </c>
    </row>
    <row r="260" spans="3:11" x14ac:dyDescent="0.2">
      <c r="C260" t="s">
        <v>1373</v>
      </c>
      <c r="D260" t="b">
        <f t="shared" ca="1" si="12"/>
        <v>1</v>
      </c>
      <c r="E260" s="5">
        <f t="shared" si="13"/>
        <v>4.7188397316181044E-6</v>
      </c>
      <c r="F260">
        <v>42383.3</v>
      </c>
      <c r="G260">
        <v>42383.5</v>
      </c>
      <c r="H260">
        <v>42383.5</v>
      </c>
      <c r="J260" s="5">
        <f t="shared" si="11"/>
        <v>4.7188397316181044E-6</v>
      </c>
      <c r="K260" s="5">
        <f t="shared" si="11"/>
        <v>0</v>
      </c>
    </row>
    <row r="261" spans="3:11" x14ac:dyDescent="0.2">
      <c r="C261" t="s">
        <v>1372</v>
      </c>
      <c r="D261" t="b">
        <f t="shared" ca="1" si="12"/>
        <v>1</v>
      </c>
      <c r="E261" s="5">
        <f t="shared" si="13"/>
        <v>0</v>
      </c>
      <c r="F261">
        <v>3.4073099999999998</v>
      </c>
      <c r="G261">
        <v>3.4073099999999998</v>
      </c>
      <c r="H261">
        <v>3.4073099999999998</v>
      </c>
      <c r="J261" s="5">
        <f t="shared" si="11"/>
        <v>0</v>
      </c>
      <c r="K261" s="5">
        <f t="shared" si="11"/>
        <v>0</v>
      </c>
    </row>
    <row r="262" spans="3:11" x14ac:dyDescent="0.2">
      <c r="C262" t="s">
        <v>1371</v>
      </c>
      <c r="D262" t="b">
        <f t="shared" ca="1" si="12"/>
        <v>1</v>
      </c>
      <c r="E262" s="5">
        <f t="shared" si="13"/>
        <v>0</v>
      </c>
      <c r="F262">
        <v>24.0992</v>
      </c>
      <c r="G262">
        <v>24.0992</v>
      </c>
      <c r="H262">
        <v>24.0992</v>
      </c>
      <c r="J262" s="5">
        <f t="shared" si="11"/>
        <v>0</v>
      </c>
      <c r="K262" s="5">
        <f t="shared" si="11"/>
        <v>0</v>
      </c>
    </row>
    <row r="263" spans="3:11" x14ac:dyDescent="0.2">
      <c r="C263" t="s">
        <v>1370</v>
      </c>
      <c r="D263" t="b">
        <f t="shared" ca="1" si="12"/>
        <v>1</v>
      </c>
      <c r="E263" s="5">
        <f t="shared" si="13"/>
        <v>0</v>
      </c>
      <c r="F263">
        <v>1.1140300000000001E-2</v>
      </c>
      <c r="G263">
        <v>1.1140300000000001E-2</v>
      </c>
      <c r="H263">
        <v>1.1140300000000001E-2</v>
      </c>
      <c r="J263" s="5">
        <f t="shared" ref="J263:K326" si="14">ABS(F263-G263)/ABS(F263)</f>
        <v>0</v>
      </c>
      <c r="K263" s="5">
        <f t="shared" si="14"/>
        <v>0</v>
      </c>
    </row>
    <row r="264" spans="3:11" x14ac:dyDescent="0.2">
      <c r="C264" t="s">
        <v>1369</v>
      </c>
      <c r="D264" t="b">
        <f t="shared" ca="1" si="12"/>
        <v>1</v>
      </c>
      <c r="E264" s="5">
        <f t="shared" si="13"/>
        <v>3.4563565855109413E-6</v>
      </c>
      <c r="F264">
        <v>57.864400000000003</v>
      </c>
      <c r="G264">
        <v>57.864199999999997</v>
      </c>
      <c r="H264">
        <v>57.864199999999997</v>
      </c>
      <c r="J264" s="5">
        <f t="shared" si="14"/>
        <v>3.4563565855109413E-6</v>
      </c>
      <c r="K264" s="5">
        <f t="shared" si="14"/>
        <v>0</v>
      </c>
    </row>
    <row r="265" spans="3:11" x14ac:dyDescent="0.2">
      <c r="C265" t="s">
        <v>1368</v>
      </c>
      <c r="D265" t="b">
        <f t="shared" ca="1" si="12"/>
        <v>1</v>
      </c>
      <c r="E265" s="5">
        <f t="shared" si="13"/>
        <v>7.6140392731037725E-6</v>
      </c>
      <c r="F265">
        <v>39400.9</v>
      </c>
      <c r="G265">
        <v>39401.199999999997</v>
      </c>
      <c r="H265">
        <v>39401.199999999997</v>
      </c>
      <c r="J265" s="5">
        <f t="shared" si="14"/>
        <v>7.6140392731037725E-6</v>
      </c>
      <c r="K265" s="5">
        <f t="shared" si="14"/>
        <v>0</v>
      </c>
    </row>
    <row r="266" spans="3:11" x14ac:dyDescent="0.2">
      <c r="C266" t="s">
        <v>1367</v>
      </c>
      <c r="D266" t="b">
        <f t="shared" ca="1" si="12"/>
        <v>1</v>
      </c>
      <c r="E266" s="5">
        <f t="shared" si="13"/>
        <v>0</v>
      </c>
      <c r="F266">
        <v>10862.1</v>
      </c>
      <c r="G266">
        <v>10862.1</v>
      </c>
      <c r="H266">
        <v>10862.1</v>
      </c>
      <c r="J266" s="5">
        <f t="shared" si="14"/>
        <v>0</v>
      </c>
      <c r="K266" s="5">
        <f t="shared" si="14"/>
        <v>0</v>
      </c>
    </row>
    <row r="267" spans="3:11" x14ac:dyDescent="0.2">
      <c r="C267" t="s">
        <v>1366</v>
      </c>
      <c r="D267" t="b">
        <f t="shared" ca="1" si="12"/>
        <v>1</v>
      </c>
      <c r="E267" s="5">
        <f t="shared" si="13"/>
        <v>1.1278638770893121E-5</v>
      </c>
      <c r="F267">
        <v>97529.5</v>
      </c>
      <c r="G267">
        <v>97530.6</v>
      </c>
      <c r="H267">
        <v>97530.6</v>
      </c>
      <c r="J267" s="5">
        <f t="shared" si="14"/>
        <v>1.1278638770893121E-5</v>
      </c>
      <c r="K267" s="5">
        <f t="shared" si="14"/>
        <v>0</v>
      </c>
    </row>
    <row r="268" spans="3:11" x14ac:dyDescent="0.2">
      <c r="C268" t="s">
        <v>1365</v>
      </c>
      <c r="D268" t="b">
        <f t="shared" ca="1" si="12"/>
        <v>1</v>
      </c>
      <c r="E268" s="5">
        <f t="shared" si="13"/>
        <v>1.1348879136129247E-5</v>
      </c>
      <c r="F268">
        <v>61680.1</v>
      </c>
      <c r="G268">
        <v>61680.800000000003</v>
      </c>
      <c r="H268">
        <v>61680.800000000003</v>
      </c>
      <c r="J268" s="5">
        <f t="shared" si="14"/>
        <v>1.1348879136129247E-5</v>
      </c>
      <c r="K268" s="5">
        <f t="shared" si="14"/>
        <v>0</v>
      </c>
    </row>
    <row r="269" spans="3:11" x14ac:dyDescent="0.2">
      <c r="C269" t="s">
        <v>1364</v>
      </c>
      <c r="D269" t="b">
        <f t="shared" ca="1" si="12"/>
        <v>1</v>
      </c>
      <c r="E269" s="5">
        <f t="shared" si="13"/>
        <v>1.1157787857020067E-5</v>
      </c>
      <c r="F269">
        <v>35849.4</v>
      </c>
      <c r="G269">
        <v>35849.800000000003</v>
      </c>
      <c r="H269">
        <v>35849.800000000003</v>
      </c>
      <c r="J269" s="5">
        <f t="shared" si="14"/>
        <v>1.1157787857020067E-5</v>
      </c>
      <c r="K269" s="5">
        <f t="shared" si="14"/>
        <v>0</v>
      </c>
    </row>
    <row r="270" spans="3:11" x14ac:dyDescent="0.2">
      <c r="C270" t="s">
        <v>1363</v>
      </c>
      <c r="D270" t="b">
        <f t="shared" ca="1" si="12"/>
        <v>1</v>
      </c>
      <c r="E270" s="5">
        <f t="shared" si="13"/>
        <v>0</v>
      </c>
      <c r="F270">
        <v>3.41743</v>
      </c>
      <c r="G270">
        <v>3.41743</v>
      </c>
      <c r="H270">
        <v>3.41743</v>
      </c>
      <c r="J270" s="5">
        <f t="shared" si="14"/>
        <v>0</v>
      </c>
      <c r="K270" s="5">
        <f t="shared" si="14"/>
        <v>0</v>
      </c>
    </row>
    <row r="271" spans="3:11" x14ac:dyDescent="0.2">
      <c r="C271" t="s">
        <v>1362</v>
      </c>
      <c r="D271" t="b">
        <f t="shared" ca="1" si="12"/>
        <v>1</v>
      </c>
      <c r="E271" s="5">
        <f t="shared" si="13"/>
        <v>0</v>
      </c>
      <c r="F271">
        <v>24.237400000000001</v>
      </c>
      <c r="G271">
        <v>24.237400000000001</v>
      </c>
      <c r="H271">
        <v>24.237400000000001</v>
      </c>
      <c r="J271" s="5">
        <f t="shared" si="14"/>
        <v>0</v>
      </c>
      <c r="K271" s="5">
        <f t="shared" si="14"/>
        <v>0</v>
      </c>
    </row>
    <row r="272" spans="3:11" x14ac:dyDescent="0.2">
      <c r="C272" t="s">
        <v>1361</v>
      </c>
      <c r="D272" t="b">
        <f t="shared" ca="1" si="12"/>
        <v>1</v>
      </c>
      <c r="E272" s="5">
        <f t="shared" si="13"/>
        <v>0</v>
      </c>
      <c r="F272">
        <v>1.00249E-2</v>
      </c>
      <c r="G272">
        <v>1.00249E-2</v>
      </c>
      <c r="H272">
        <v>1.00249E-2</v>
      </c>
      <c r="J272" s="5">
        <f t="shared" si="14"/>
        <v>0</v>
      </c>
      <c r="K272" s="5">
        <f t="shared" si="14"/>
        <v>0</v>
      </c>
    </row>
    <row r="273" spans="3:11" x14ac:dyDescent="0.2">
      <c r="C273" t="s">
        <v>1360</v>
      </c>
      <c r="D273" t="b">
        <f t="shared" ca="1" si="12"/>
        <v>1</v>
      </c>
      <c r="E273" s="5">
        <f t="shared" si="13"/>
        <v>1.9464720195293365E-6</v>
      </c>
      <c r="F273">
        <v>51.375</v>
      </c>
      <c r="G273">
        <v>51.374899999999997</v>
      </c>
      <c r="H273">
        <v>51.374899999999997</v>
      </c>
      <c r="J273" s="5">
        <f t="shared" si="14"/>
        <v>1.9464720195293365E-6</v>
      </c>
      <c r="K273" s="5">
        <f t="shared" si="14"/>
        <v>0</v>
      </c>
    </row>
    <row r="274" spans="3:11" x14ac:dyDescent="0.2">
      <c r="C274" t="s">
        <v>1359</v>
      </c>
      <c r="D274" t="b">
        <f t="shared" ref="D274:D337" ca="1" si="15">IF(CELL("format",F274)="G",IF(ABS(F274-G274) &lt;= ABS(F274*B$3),TRUE,FALSE),IF(F274=G274,TRUE,FALSE))</f>
        <v>1</v>
      </c>
      <c r="E274" s="5">
        <f t="shared" ref="E274:E337" si="16">ABS(F274-G274)/ABS(F274)</f>
        <v>7.4042446065170776E-6</v>
      </c>
      <c r="F274">
        <v>40517.300000000003</v>
      </c>
      <c r="G274">
        <v>40517.599999999999</v>
      </c>
      <c r="H274">
        <v>40517.599999999999</v>
      </c>
      <c r="J274" s="5">
        <f t="shared" si="14"/>
        <v>7.4042446065170776E-6</v>
      </c>
      <c r="K274" s="5">
        <f t="shared" si="14"/>
        <v>0</v>
      </c>
    </row>
    <row r="275" spans="3:11" x14ac:dyDescent="0.2">
      <c r="C275" t="s">
        <v>1358</v>
      </c>
      <c r="D275" t="b">
        <f t="shared" ca="1" si="15"/>
        <v>1</v>
      </c>
      <c r="E275" s="5">
        <f t="shared" si="16"/>
        <v>0</v>
      </c>
      <c r="F275">
        <v>10862.1</v>
      </c>
      <c r="G275">
        <v>10862.1</v>
      </c>
      <c r="H275">
        <v>10862.1</v>
      </c>
      <c r="J275" s="5">
        <f t="shared" si="14"/>
        <v>0</v>
      </c>
      <c r="K275" s="5">
        <f t="shared" si="14"/>
        <v>0</v>
      </c>
    </row>
    <row r="276" spans="3:11" x14ac:dyDescent="0.2">
      <c r="C276" t="s">
        <v>1357</v>
      </c>
      <c r="D276" t="b">
        <f t="shared" ca="1" si="15"/>
        <v>1</v>
      </c>
      <c r="E276" s="5">
        <f t="shared" si="16"/>
        <v>9.6147374695933931E-6</v>
      </c>
      <c r="F276">
        <v>104007</v>
      </c>
      <c r="G276">
        <v>104008</v>
      </c>
      <c r="H276">
        <v>104008</v>
      </c>
      <c r="J276" s="5">
        <f t="shared" si="14"/>
        <v>9.6147374695933931E-6</v>
      </c>
      <c r="K276" s="5">
        <f t="shared" si="14"/>
        <v>0</v>
      </c>
    </row>
    <row r="277" spans="3:11" x14ac:dyDescent="0.2">
      <c r="C277" t="s">
        <v>1356</v>
      </c>
      <c r="D277" t="b">
        <f t="shared" ca="1" si="15"/>
        <v>1</v>
      </c>
      <c r="E277" s="5">
        <f t="shared" si="16"/>
        <v>9.5272272275220126E-6</v>
      </c>
      <c r="F277">
        <v>62977.4</v>
      </c>
      <c r="G277">
        <v>62978</v>
      </c>
      <c r="H277">
        <v>62978</v>
      </c>
      <c r="J277" s="5">
        <f t="shared" si="14"/>
        <v>9.5272272275220126E-6</v>
      </c>
      <c r="K277" s="5">
        <f t="shared" si="14"/>
        <v>0</v>
      </c>
    </row>
    <row r="278" spans="3:11" x14ac:dyDescent="0.2">
      <c r="C278" t="s">
        <v>1355</v>
      </c>
      <c r="D278" t="b">
        <f t="shared" ca="1" si="15"/>
        <v>1</v>
      </c>
      <c r="E278" s="5">
        <f t="shared" si="16"/>
        <v>1.2186324019732096E-5</v>
      </c>
      <c r="F278">
        <v>41029.599999999999</v>
      </c>
      <c r="G278">
        <v>41030.1</v>
      </c>
      <c r="H278">
        <v>41030.1</v>
      </c>
      <c r="J278" s="5">
        <f t="shared" si="14"/>
        <v>1.2186324019732096E-5</v>
      </c>
      <c r="K278" s="5">
        <f t="shared" si="14"/>
        <v>0</v>
      </c>
    </row>
    <row r="279" spans="3:11" x14ac:dyDescent="0.2">
      <c r="C279" t="s">
        <v>1354</v>
      </c>
      <c r="D279" t="b">
        <f t="shared" ca="1" si="15"/>
        <v>1</v>
      </c>
      <c r="E279" s="5">
        <f t="shared" si="16"/>
        <v>0</v>
      </c>
      <c r="F279">
        <v>3.5072100000000002</v>
      </c>
      <c r="G279">
        <v>3.5072100000000002</v>
      </c>
      <c r="H279">
        <v>3.5072100000000002</v>
      </c>
      <c r="J279" s="5">
        <f t="shared" si="14"/>
        <v>0</v>
      </c>
      <c r="K279" s="5">
        <f t="shared" si="14"/>
        <v>0</v>
      </c>
    </row>
    <row r="280" spans="3:11" x14ac:dyDescent="0.2">
      <c r="C280" t="s">
        <v>1353</v>
      </c>
      <c r="D280" t="b">
        <f t="shared" ca="1" si="15"/>
        <v>1</v>
      </c>
      <c r="E280" s="5">
        <f t="shared" si="16"/>
        <v>0</v>
      </c>
      <c r="F280">
        <v>24.3005</v>
      </c>
      <c r="G280">
        <v>24.3005</v>
      </c>
      <c r="H280">
        <v>24.3005</v>
      </c>
      <c r="J280" s="5">
        <f t="shared" si="14"/>
        <v>0</v>
      </c>
      <c r="K280" s="5">
        <f t="shared" si="14"/>
        <v>0</v>
      </c>
    </row>
    <row r="281" spans="3:11" x14ac:dyDescent="0.2">
      <c r="C281" t="s">
        <v>1352</v>
      </c>
      <c r="D281" t="b">
        <f t="shared" ca="1" si="15"/>
        <v>1</v>
      </c>
      <c r="E281" s="5">
        <f t="shared" si="16"/>
        <v>2.0272112566866269E-6</v>
      </c>
      <c r="F281">
        <v>9.8657699999999994E-3</v>
      </c>
      <c r="G281">
        <v>9.8657499999999995E-3</v>
      </c>
      <c r="H281">
        <v>9.8657499999999995E-3</v>
      </c>
      <c r="J281" s="5">
        <f t="shared" si="14"/>
        <v>2.0272112566866269E-6</v>
      </c>
      <c r="K281" s="5">
        <f t="shared" si="14"/>
        <v>0</v>
      </c>
    </row>
    <row r="282" spans="3:11" x14ac:dyDescent="0.2">
      <c r="C282" t="s">
        <v>1351</v>
      </c>
      <c r="D282" t="b">
        <f t="shared" ca="1" si="15"/>
        <v>1</v>
      </c>
      <c r="E282" s="5">
        <f t="shared" si="16"/>
        <v>3.9592513847389441E-6</v>
      </c>
      <c r="F282">
        <v>50.514600000000002</v>
      </c>
      <c r="G282">
        <v>50.514400000000002</v>
      </c>
      <c r="H282">
        <v>50.514400000000002</v>
      </c>
      <c r="J282" s="5">
        <f t="shared" si="14"/>
        <v>3.9592513847389441E-6</v>
      </c>
      <c r="K282" s="5">
        <f t="shared" si="14"/>
        <v>0</v>
      </c>
    </row>
    <row r="283" spans="3:11" x14ac:dyDescent="0.2">
      <c r="C283" t="s">
        <v>1350</v>
      </c>
      <c r="D283" t="b">
        <f t="shared" ca="1" si="15"/>
        <v>1</v>
      </c>
      <c r="E283" s="5">
        <f t="shared" si="16"/>
        <v>7.4798418261693336E-6</v>
      </c>
      <c r="F283">
        <v>40107.800000000003</v>
      </c>
      <c r="G283">
        <v>40108.1</v>
      </c>
      <c r="H283">
        <v>40108.1</v>
      </c>
      <c r="J283" s="5">
        <f t="shared" si="14"/>
        <v>7.4798418261693336E-6</v>
      </c>
      <c r="K283" s="5">
        <f t="shared" si="14"/>
        <v>0</v>
      </c>
    </row>
    <row r="284" spans="3:11" x14ac:dyDescent="0.2">
      <c r="C284" t="s">
        <v>1349</v>
      </c>
      <c r="D284" t="b">
        <f t="shared" ca="1" si="15"/>
        <v>1</v>
      </c>
      <c r="E284" s="5">
        <f t="shared" si="16"/>
        <v>0</v>
      </c>
      <c r="F284">
        <v>10862.1</v>
      </c>
      <c r="G284">
        <v>10862.1</v>
      </c>
      <c r="H284">
        <v>10862.1</v>
      </c>
      <c r="J284" s="5">
        <f t="shared" si="14"/>
        <v>0</v>
      </c>
      <c r="K284" s="5">
        <f t="shared" si="14"/>
        <v>0</v>
      </c>
    </row>
    <row r="285" spans="3:11" x14ac:dyDescent="0.2">
      <c r="C285" t="s">
        <v>1348</v>
      </c>
      <c r="D285" t="b">
        <f t="shared" ca="1" si="15"/>
        <v>1</v>
      </c>
      <c r="E285" s="5">
        <f t="shared" si="16"/>
        <v>9.8743001589762321E-6</v>
      </c>
      <c r="F285">
        <v>101273</v>
      </c>
      <c r="G285">
        <v>101274</v>
      </c>
      <c r="H285">
        <v>101274</v>
      </c>
      <c r="J285" s="5">
        <f t="shared" si="14"/>
        <v>9.8743001589762321E-6</v>
      </c>
      <c r="K285" s="5">
        <f t="shared" si="14"/>
        <v>0</v>
      </c>
    </row>
    <row r="286" spans="3:11" x14ac:dyDescent="0.2">
      <c r="C286" t="s">
        <v>1347</v>
      </c>
      <c r="D286" t="b">
        <f t="shared" ca="1" si="15"/>
        <v>1</v>
      </c>
      <c r="E286" s="5">
        <f t="shared" si="16"/>
        <v>1.1233863357775527E-5</v>
      </c>
      <c r="F286">
        <v>62311.6</v>
      </c>
      <c r="G286">
        <v>62312.3</v>
      </c>
      <c r="H286">
        <v>62312.3</v>
      </c>
      <c r="J286" s="5">
        <f t="shared" si="14"/>
        <v>1.1233863357775527E-5</v>
      </c>
      <c r="K286" s="5">
        <f t="shared" si="14"/>
        <v>0</v>
      </c>
    </row>
    <row r="287" spans="3:11" x14ac:dyDescent="0.2">
      <c r="C287" t="s">
        <v>1346</v>
      </c>
      <c r="D287" t="b">
        <f t="shared" ca="1" si="15"/>
        <v>1</v>
      </c>
      <c r="E287" s="5">
        <f t="shared" si="16"/>
        <v>1.026667693338095E-5</v>
      </c>
      <c r="F287">
        <v>38961</v>
      </c>
      <c r="G287">
        <v>38961.4</v>
      </c>
      <c r="H287">
        <v>38961.4</v>
      </c>
      <c r="J287" s="5">
        <f t="shared" si="14"/>
        <v>1.026667693338095E-5</v>
      </c>
      <c r="K287" s="5">
        <f t="shared" si="14"/>
        <v>0</v>
      </c>
    </row>
    <row r="288" spans="3:11" x14ac:dyDescent="0.2">
      <c r="C288" t="s">
        <v>1345</v>
      </c>
      <c r="D288" t="b">
        <f t="shared" ca="1" si="15"/>
        <v>1</v>
      </c>
      <c r="E288" s="5">
        <f t="shared" si="16"/>
        <v>0</v>
      </c>
      <c r="F288">
        <v>3.4628199999999998</v>
      </c>
      <c r="G288">
        <v>3.4628199999999998</v>
      </c>
      <c r="H288">
        <v>3.4628199999999998</v>
      </c>
      <c r="J288" s="5">
        <f t="shared" si="14"/>
        <v>0</v>
      </c>
      <c r="K288" s="5">
        <f t="shared" si="14"/>
        <v>0</v>
      </c>
    </row>
    <row r="289" spans="3:11" x14ac:dyDescent="0.2">
      <c r="C289" t="s">
        <v>1344</v>
      </c>
      <c r="D289" t="b">
        <f t="shared" ca="1" si="15"/>
        <v>1</v>
      </c>
      <c r="E289" s="5">
        <f t="shared" si="16"/>
        <v>0</v>
      </c>
      <c r="F289">
        <v>24.315100000000001</v>
      </c>
      <c r="G289">
        <v>24.315100000000001</v>
      </c>
      <c r="H289">
        <v>24.315100000000001</v>
      </c>
      <c r="J289" s="5">
        <f t="shared" si="14"/>
        <v>0</v>
      </c>
      <c r="K289" s="5">
        <f t="shared" si="14"/>
        <v>0</v>
      </c>
    </row>
    <row r="290" spans="3:11" x14ac:dyDescent="0.2">
      <c r="C290" t="s">
        <v>1343</v>
      </c>
      <c r="D290" t="b">
        <f t="shared" ca="1" si="15"/>
        <v>1</v>
      </c>
      <c r="E290" s="5">
        <f t="shared" si="16"/>
        <v>2.0225105423241905E-6</v>
      </c>
      <c r="F290">
        <v>9.8887000000000003E-3</v>
      </c>
      <c r="G290">
        <v>9.8886800000000004E-3</v>
      </c>
      <c r="H290">
        <v>9.8886800000000004E-3</v>
      </c>
      <c r="J290" s="5">
        <f t="shared" si="14"/>
        <v>2.0225105423241905E-6</v>
      </c>
      <c r="K290" s="5">
        <f t="shared" si="14"/>
        <v>0</v>
      </c>
    </row>
    <row r="291" spans="3:11" x14ac:dyDescent="0.2">
      <c r="C291" t="s">
        <v>1342</v>
      </c>
      <c r="D291" t="b">
        <f t="shared" ca="1" si="15"/>
        <v>1</v>
      </c>
      <c r="E291" s="5">
        <f t="shared" si="16"/>
        <v>1.9776681709380522E-6</v>
      </c>
      <c r="F291">
        <v>50.564599999999999</v>
      </c>
      <c r="G291">
        <v>50.564500000000002</v>
      </c>
      <c r="H291">
        <v>50.564500000000002</v>
      </c>
      <c r="J291" s="5">
        <f t="shared" si="14"/>
        <v>1.9776681709380522E-6</v>
      </c>
      <c r="K291" s="5">
        <f t="shared" si="14"/>
        <v>0</v>
      </c>
    </row>
    <row r="292" spans="3:11" x14ac:dyDescent="0.2">
      <c r="C292" t="s">
        <v>1341</v>
      </c>
      <c r="D292" t="b">
        <f t="shared" ca="1" si="15"/>
        <v>1</v>
      </c>
      <c r="E292" s="5">
        <f t="shared" si="16"/>
        <v>9.5486359774432692E-6</v>
      </c>
      <c r="F292">
        <v>31418.1</v>
      </c>
      <c r="G292">
        <v>31418.400000000001</v>
      </c>
      <c r="H292">
        <v>31418.400000000001</v>
      </c>
      <c r="J292" s="5">
        <f t="shared" si="14"/>
        <v>9.5486359774432692E-6</v>
      </c>
      <c r="K292" s="5">
        <f t="shared" si="14"/>
        <v>0</v>
      </c>
    </row>
    <row r="293" spans="3:11" x14ac:dyDescent="0.2">
      <c r="C293" t="s">
        <v>1340</v>
      </c>
      <c r="D293" t="b">
        <f t="shared" ca="1" si="15"/>
        <v>1</v>
      </c>
      <c r="E293" s="5">
        <f t="shared" si="16"/>
        <v>0</v>
      </c>
      <c r="F293">
        <v>10862.1</v>
      </c>
      <c r="G293">
        <v>10862.1</v>
      </c>
      <c r="H293">
        <v>10862.1</v>
      </c>
      <c r="J293" s="5">
        <f t="shared" si="14"/>
        <v>0</v>
      </c>
      <c r="K293" s="5">
        <f t="shared" si="14"/>
        <v>0</v>
      </c>
    </row>
    <row r="294" spans="3:11" x14ac:dyDescent="0.2">
      <c r="C294" t="s">
        <v>1339</v>
      </c>
      <c r="D294" t="b">
        <f t="shared" ca="1" si="15"/>
        <v>1</v>
      </c>
      <c r="E294" s="5">
        <f t="shared" si="16"/>
        <v>1.7980625875575413E-5</v>
      </c>
      <c r="F294">
        <v>66738.5</v>
      </c>
      <c r="G294">
        <v>66739.7</v>
      </c>
      <c r="H294">
        <v>66739.7</v>
      </c>
      <c r="J294" s="5">
        <f t="shared" si="14"/>
        <v>1.7980625875575413E-5</v>
      </c>
      <c r="K294" s="5">
        <f t="shared" si="14"/>
        <v>0</v>
      </c>
    </row>
    <row r="295" spans="3:11" x14ac:dyDescent="0.2">
      <c r="C295" t="s">
        <v>1338</v>
      </c>
      <c r="D295" t="b">
        <f t="shared" ca="1" si="15"/>
        <v>1</v>
      </c>
      <c r="E295" s="5">
        <f t="shared" si="16"/>
        <v>2.0691852789882512E-5</v>
      </c>
      <c r="F295">
        <v>48328.2</v>
      </c>
      <c r="G295">
        <v>48329.2</v>
      </c>
      <c r="H295">
        <v>48329.2</v>
      </c>
      <c r="J295" s="5">
        <f t="shared" si="14"/>
        <v>2.0691852789882512E-5</v>
      </c>
      <c r="K295" s="5">
        <f t="shared" si="14"/>
        <v>0</v>
      </c>
    </row>
    <row r="296" spans="3:11" x14ac:dyDescent="0.2">
      <c r="C296" t="s">
        <v>1337</v>
      </c>
      <c r="D296" t="b">
        <f t="shared" ca="1" si="15"/>
        <v>1</v>
      </c>
      <c r="E296" s="5">
        <f t="shared" si="16"/>
        <v>1.086348402800213E-5</v>
      </c>
      <c r="F296">
        <v>18410.3</v>
      </c>
      <c r="G296">
        <v>18410.5</v>
      </c>
      <c r="H296">
        <v>18410.5</v>
      </c>
      <c r="J296" s="5">
        <f t="shared" si="14"/>
        <v>1.086348402800213E-5</v>
      </c>
      <c r="K296" s="5">
        <f t="shared" si="14"/>
        <v>0</v>
      </c>
    </row>
    <row r="297" spans="3:11" x14ac:dyDescent="0.2">
      <c r="C297" t="s">
        <v>1336</v>
      </c>
      <c r="D297" t="b">
        <f t="shared" ca="1" si="15"/>
        <v>1</v>
      </c>
      <c r="E297" s="5">
        <f t="shared" si="16"/>
        <v>3.0800789732450519E-6</v>
      </c>
      <c r="F297">
        <v>3.2466699999999999</v>
      </c>
      <c r="G297">
        <v>3.24668</v>
      </c>
      <c r="H297">
        <v>3.24668</v>
      </c>
      <c r="J297" s="5">
        <f t="shared" si="14"/>
        <v>3.0800789732450519E-6</v>
      </c>
      <c r="K297" s="5">
        <f t="shared" si="14"/>
        <v>0</v>
      </c>
    </row>
    <row r="298" spans="3:11" x14ac:dyDescent="0.2">
      <c r="C298" t="s">
        <v>1335</v>
      </c>
      <c r="D298" t="b">
        <f t="shared" ca="1" si="15"/>
        <v>1</v>
      </c>
      <c r="E298" s="5">
        <f t="shared" si="16"/>
        <v>3.8112806283950675E-6</v>
      </c>
      <c r="F298">
        <v>26.2379</v>
      </c>
      <c r="G298">
        <v>26.238</v>
      </c>
      <c r="H298">
        <v>26.238</v>
      </c>
      <c r="J298" s="5">
        <f t="shared" si="14"/>
        <v>3.8112806283950675E-6</v>
      </c>
      <c r="K298" s="5">
        <f t="shared" si="14"/>
        <v>0</v>
      </c>
    </row>
    <row r="299" spans="3:11" x14ac:dyDescent="0.2">
      <c r="C299" t="s">
        <v>1334</v>
      </c>
      <c r="D299" t="b">
        <f t="shared" ca="1" si="15"/>
        <v>1</v>
      </c>
      <c r="E299" s="5">
        <f t="shared" si="16"/>
        <v>2.0456486496040363E-6</v>
      </c>
      <c r="F299">
        <v>9.7768500000000001E-3</v>
      </c>
      <c r="G299">
        <v>9.7768300000000002E-3</v>
      </c>
      <c r="H299">
        <v>9.7768300000000002E-3</v>
      </c>
      <c r="J299" s="5">
        <f t="shared" si="14"/>
        <v>2.0456486496040363E-6</v>
      </c>
      <c r="K299" s="5">
        <f t="shared" si="14"/>
        <v>0</v>
      </c>
    </row>
    <row r="300" spans="3:11" x14ac:dyDescent="0.2">
      <c r="C300" t="s">
        <v>1333</v>
      </c>
      <c r="D300" t="b">
        <f t="shared" ca="1" si="15"/>
        <v>1</v>
      </c>
      <c r="E300" s="5">
        <f t="shared" si="16"/>
        <v>2.2469284488850663E-6</v>
      </c>
      <c r="F300">
        <v>44.505200000000002</v>
      </c>
      <c r="G300">
        <v>44.505099999999999</v>
      </c>
      <c r="H300">
        <v>44.505099999999999</v>
      </c>
      <c r="J300" s="5">
        <f t="shared" si="14"/>
        <v>2.2469284488850663E-6</v>
      </c>
      <c r="K300" s="5">
        <f t="shared" si="14"/>
        <v>0</v>
      </c>
    </row>
    <row r="301" spans="3:11" x14ac:dyDescent="0.2">
      <c r="C301" t="s">
        <v>1332</v>
      </c>
      <c r="D301" t="b">
        <f t="shared" ca="1" si="15"/>
        <v>1</v>
      </c>
      <c r="E301" s="5">
        <f t="shared" si="16"/>
        <v>1.8193197199438342E-6</v>
      </c>
      <c r="F301">
        <v>54965.599999999999</v>
      </c>
      <c r="G301">
        <v>54965.7</v>
      </c>
      <c r="H301">
        <v>54965.7</v>
      </c>
      <c r="J301" s="5">
        <f t="shared" si="14"/>
        <v>1.8193197199438342E-6</v>
      </c>
      <c r="K301" s="5">
        <f t="shared" si="14"/>
        <v>0</v>
      </c>
    </row>
    <row r="302" spans="3:11" x14ac:dyDescent="0.2">
      <c r="C302" t="s">
        <v>1331</v>
      </c>
      <c r="D302" t="b">
        <f t="shared" ca="1" si="15"/>
        <v>1</v>
      </c>
      <c r="E302" s="5">
        <f t="shared" si="16"/>
        <v>0</v>
      </c>
      <c r="F302">
        <v>10862.1</v>
      </c>
      <c r="G302">
        <v>10862.1</v>
      </c>
      <c r="H302">
        <v>10862.1</v>
      </c>
      <c r="J302" s="5">
        <f t="shared" si="14"/>
        <v>0</v>
      </c>
      <c r="K302" s="5">
        <f t="shared" si="14"/>
        <v>0</v>
      </c>
    </row>
    <row r="303" spans="3:11" x14ac:dyDescent="0.2">
      <c r="C303" t="s">
        <v>1330</v>
      </c>
      <c r="D303" t="b">
        <f t="shared" ca="1" si="15"/>
        <v>1</v>
      </c>
      <c r="E303" s="5">
        <f t="shared" si="16"/>
        <v>6.1611257608990311E-6</v>
      </c>
      <c r="F303">
        <v>162308</v>
      </c>
      <c r="G303">
        <v>162309</v>
      </c>
      <c r="H303">
        <v>162309</v>
      </c>
      <c r="J303" s="5">
        <f t="shared" si="14"/>
        <v>6.1611257608990311E-6</v>
      </c>
      <c r="K303" s="5">
        <f t="shared" si="14"/>
        <v>0</v>
      </c>
    </row>
    <row r="304" spans="3:11" x14ac:dyDescent="0.2">
      <c r="C304" t="s">
        <v>1329</v>
      </c>
      <c r="D304" t="b">
        <f t="shared" ca="1" si="15"/>
        <v>1</v>
      </c>
      <c r="E304" s="5">
        <f t="shared" si="16"/>
        <v>7.4280408542246984E-6</v>
      </c>
      <c r="F304">
        <v>134625</v>
      </c>
      <c r="G304">
        <v>134626</v>
      </c>
      <c r="H304">
        <v>134626</v>
      </c>
      <c r="J304" s="5">
        <f t="shared" si="14"/>
        <v>7.4280408542246984E-6</v>
      </c>
      <c r="K304" s="5">
        <f t="shared" si="14"/>
        <v>0</v>
      </c>
    </row>
    <row r="305" spans="3:11" x14ac:dyDescent="0.2">
      <c r="C305" t="s">
        <v>1328</v>
      </c>
      <c r="D305" t="b">
        <f t="shared" ca="1" si="15"/>
        <v>1</v>
      </c>
      <c r="E305" s="5">
        <f t="shared" si="16"/>
        <v>7.2245722150440016E-6</v>
      </c>
      <c r="F305">
        <v>27683.3</v>
      </c>
      <c r="G305">
        <v>27683.1</v>
      </c>
      <c r="H305">
        <v>27683.1</v>
      </c>
      <c r="J305" s="5">
        <f t="shared" si="14"/>
        <v>7.2245722150440016E-6</v>
      </c>
      <c r="K305" s="5">
        <f t="shared" si="14"/>
        <v>0</v>
      </c>
    </row>
    <row r="306" spans="3:11" x14ac:dyDescent="0.2">
      <c r="C306" t="s">
        <v>1327</v>
      </c>
      <c r="D306" t="b">
        <f t="shared" ca="1" si="15"/>
        <v>1</v>
      </c>
      <c r="E306" s="5">
        <f t="shared" si="16"/>
        <v>2.7172657785008607E-6</v>
      </c>
      <c r="F306">
        <v>3.6801699999999999</v>
      </c>
      <c r="G306">
        <v>3.68018</v>
      </c>
      <c r="H306">
        <v>3.68018</v>
      </c>
      <c r="J306" s="5">
        <f t="shared" si="14"/>
        <v>2.7172657785008607E-6</v>
      </c>
      <c r="K306" s="5">
        <f t="shared" si="14"/>
        <v>0</v>
      </c>
    </row>
    <row r="307" spans="3:11" x14ac:dyDescent="0.2">
      <c r="C307" t="s">
        <v>1326</v>
      </c>
      <c r="D307" t="b">
        <f t="shared" ca="1" si="15"/>
        <v>1</v>
      </c>
      <c r="E307" s="5">
        <f t="shared" si="16"/>
        <v>3.9279920497349364E-6</v>
      </c>
      <c r="F307">
        <v>25.458300000000001</v>
      </c>
      <c r="G307">
        <v>25.458400000000001</v>
      </c>
      <c r="H307">
        <v>25.458400000000001</v>
      </c>
      <c r="J307" s="5">
        <f t="shared" si="14"/>
        <v>3.9279920497349364E-6</v>
      </c>
      <c r="K307" s="5">
        <f t="shared" si="14"/>
        <v>0</v>
      </c>
    </row>
    <row r="308" spans="3:11" x14ac:dyDescent="0.2">
      <c r="C308" t="s">
        <v>1325</v>
      </c>
      <c r="D308" t="b">
        <f t="shared" ca="1" si="15"/>
        <v>1</v>
      </c>
      <c r="E308" s="5">
        <f t="shared" si="16"/>
        <v>2.3303043260796272E-6</v>
      </c>
      <c r="F308">
        <v>8.5825699999999994E-3</v>
      </c>
      <c r="G308">
        <v>8.5825899999999993E-3</v>
      </c>
      <c r="H308">
        <v>8.5825899999999993E-3</v>
      </c>
      <c r="J308" s="5">
        <f t="shared" si="14"/>
        <v>2.3303043260796272E-6</v>
      </c>
      <c r="K308" s="5">
        <f t="shared" si="14"/>
        <v>0</v>
      </c>
    </row>
    <row r="309" spans="3:11" x14ac:dyDescent="0.2">
      <c r="C309" t="s">
        <v>1324</v>
      </c>
      <c r="D309" t="b">
        <f t="shared" ca="1" si="15"/>
        <v>1</v>
      </c>
      <c r="E309" s="5">
        <f t="shared" si="16"/>
        <v>2.4275969217151999E-6</v>
      </c>
      <c r="F309">
        <v>41.192999999999998</v>
      </c>
      <c r="G309">
        <v>41.192900000000002</v>
      </c>
      <c r="H309">
        <v>41.192900000000002</v>
      </c>
      <c r="J309" s="5">
        <f t="shared" si="14"/>
        <v>2.4275969217151999E-6</v>
      </c>
      <c r="K309" s="5">
        <f t="shared" si="14"/>
        <v>0</v>
      </c>
    </row>
    <row r="310" spans="3:11" x14ac:dyDescent="0.2">
      <c r="C310" t="s">
        <v>1323</v>
      </c>
      <c r="D310" t="b">
        <f t="shared" ca="1" si="15"/>
        <v>1</v>
      </c>
      <c r="E310" s="5">
        <f t="shared" si="16"/>
        <v>9.7382678218180175E-6</v>
      </c>
      <c r="F310">
        <v>30806.3</v>
      </c>
      <c r="G310">
        <v>30806.6</v>
      </c>
      <c r="H310">
        <v>30806.6</v>
      </c>
      <c r="J310" s="5">
        <f t="shared" si="14"/>
        <v>9.7382678218180175E-6</v>
      </c>
      <c r="K310" s="5">
        <f t="shared" si="14"/>
        <v>0</v>
      </c>
    </row>
    <row r="311" spans="3:11" x14ac:dyDescent="0.2">
      <c r="C311" t="s">
        <v>1322</v>
      </c>
      <c r="D311" t="b">
        <f t="shared" ca="1" si="15"/>
        <v>1</v>
      </c>
      <c r="E311" s="5">
        <f t="shared" si="16"/>
        <v>0</v>
      </c>
      <c r="F311">
        <v>10862.1</v>
      </c>
      <c r="G311">
        <v>10862.1</v>
      </c>
      <c r="H311">
        <v>10862.1</v>
      </c>
      <c r="J311" s="5">
        <f t="shared" si="14"/>
        <v>0</v>
      </c>
      <c r="K311" s="5">
        <f t="shared" si="14"/>
        <v>0</v>
      </c>
    </row>
    <row r="312" spans="3:11" x14ac:dyDescent="0.2">
      <c r="C312" t="s">
        <v>1321</v>
      </c>
      <c r="D312" t="b">
        <f t="shared" ca="1" si="15"/>
        <v>1</v>
      </c>
      <c r="E312" s="5">
        <f t="shared" si="16"/>
        <v>1.8682625780732756E-5</v>
      </c>
      <c r="F312">
        <v>64230.8</v>
      </c>
      <c r="G312">
        <v>64232</v>
      </c>
      <c r="H312">
        <v>64232</v>
      </c>
      <c r="J312" s="5">
        <f t="shared" si="14"/>
        <v>1.8682625780732756E-5</v>
      </c>
      <c r="K312" s="5">
        <f t="shared" si="14"/>
        <v>0</v>
      </c>
    </row>
    <row r="313" spans="3:11" x14ac:dyDescent="0.2">
      <c r="C313" t="s">
        <v>1320</v>
      </c>
      <c r="D313" t="b">
        <f t="shared" ca="1" si="15"/>
        <v>1</v>
      </c>
      <c r="E313" s="5">
        <f t="shared" si="16"/>
        <v>1.91026984948419E-5</v>
      </c>
      <c r="F313">
        <v>41878.9</v>
      </c>
      <c r="G313">
        <v>41879.699999999997</v>
      </c>
      <c r="H313">
        <v>41879.699999999997</v>
      </c>
      <c r="J313" s="5">
        <f t="shared" si="14"/>
        <v>1.91026984948419E-5</v>
      </c>
      <c r="K313" s="5">
        <f t="shared" si="14"/>
        <v>0</v>
      </c>
    </row>
    <row r="314" spans="3:11" x14ac:dyDescent="0.2">
      <c r="C314" t="s">
        <v>1319</v>
      </c>
      <c r="D314" t="b">
        <f t="shared" ca="1" si="15"/>
        <v>1</v>
      </c>
      <c r="E314" s="5">
        <f t="shared" si="16"/>
        <v>1.7895570398839348E-5</v>
      </c>
      <c r="F314">
        <v>22351.9</v>
      </c>
      <c r="G314">
        <v>22352.3</v>
      </c>
      <c r="H314">
        <v>22352.3</v>
      </c>
      <c r="J314" s="5">
        <f t="shared" si="14"/>
        <v>1.7895570398839348E-5</v>
      </c>
      <c r="K314" s="5">
        <f t="shared" si="14"/>
        <v>0</v>
      </c>
    </row>
    <row r="315" spans="3:11" x14ac:dyDescent="0.2">
      <c r="C315" t="s">
        <v>1318</v>
      </c>
      <c r="D315" t="b">
        <f t="shared" ca="1" si="15"/>
        <v>1</v>
      </c>
      <c r="E315" s="5">
        <f t="shared" si="16"/>
        <v>0</v>
      </c>
      <c r="F315">
        <v>3.2205300000000001</v>
      </c>
      <c r="G315">
        <v>3.2205300000000001</v>
      </c>
      <c r="H315">
        <v>3.2205300000000001</v>
      </c>
      <c r="J315" s="5">
        <f t="shared" si="14"/>
        <v>0</v>
      </c>
      <c r="K315" s="5">
        <f t="shared" si="14"/>
        <v>0</v>
      </c>
    </row>
    <row r="316" spans="3:11" x14ac:dyDescent="0.2">
      <c r="C316" t="s">
        <v>1317</v>
      </c>
      <c r="D316" t="b">
        <f t="shared" ca="1" si="15"/>
        <v>1</v>
      </c>
      <c r="E316" s="5">
        <f t="shared" si="16"/>
        <v>0</v>
      </c>
      <c r="F316">
        <v>23.174399999999999</v>
      </c>
      <c r="G316">
        <v>23.174399999999999</v>
      </c>
      <c r="H316">
        <v>23.174399999999999</v>
      </c>
      <c r="J316" s="5">
        <f t="shared" si="14"/>
        <v>0</v>
      </c>
      <c r="K316" s="5">
        <f t="shared" si="14"/>
        <v>0</v>
      </c>
    </row>
    <row r="317" spans="3:11" x14ac:dyDescent="0.2">
      <c r="C317" t="s">
        <v>1316</v>
      </c>
      <c r="D317" t="b">
        <f t="shared" ca="1" si="15"/>
        <v>1</v>
      </c>
      <c r="E317" s="5">
        <f t="shared" si="16"/>
        <v>2.049564621223162E-6</v>
      </c>
      <c r="F317">
        <v>9.75817E-3</v>
      </c>
      <c r="G317">
        <v>9.7581500000000002E-3</v>
      </c>
      <c r="H317">
        <v>9.7581500000000002E-3</v>
      </c>
      <c r="J317" s="5">
        <f t="shared" si="14"/>
        <v>2.049564621223162E-6</v>
      </c>
      <c r="K317" s="5">
        <f t="shared" si="14"/>
        <v>0</v>
      </c>
    </row>
    <row r="318" spans="3:11" x14ac:dyDescent="0.2">
      <c r="C318" t="s">
        <v>1315</v>
      </c>
      <c r="D318" t="b">
        <f t="shared" ca="1" si="15"/>
        <v>1</v>
      </c>
      <c r="E318" s="5">
        <f t="shared" si="16"/>
        <v>3.7283661553746985E-6</v>
      </c>
      <c r="F318">
        <v>53.642800000000001</v>
      </c>
      <c r="G318">
        <v>53.642600000000002</v>
      </c>
      <c r="H318">
        <v>53.642600000000002</v>
      </c>
      <c r="J318" s="5">
        <f t="shared" si="14"/>
        <v>3.7283661553746985E-6</v>
      </c>
      <c r="K318" s="5">
        <f t="shared" si="14"/>
        <v>0</v>
      </c>
    </row>
    <row r="319" spans="3:11" x14ac:dyDescent="0.2">
      <c r="C319" t="s">
        <v>1314</v>
      </c>
      <c r="D319" t="b">
        <f t="shared" ca="1" si="15"/>
        <v>1</v>
      </c>
      <c r="E319" s="5">
        <f t="shared" si="16"/>
        <v>9.7382678218180175E-6</v>
      </c>
      <c r="F319">
        <v>30806.3</v>
      </c>
      <c r="G319">
        <v>30806.6</v>
      </c>
      <c r="H319">
        <v>30806.6</v>
      </c>
      <c r="J319" s="5">
        <f t="shared" si="14"/>
        <v>9.7382678218180175E-6</v>
      </c>
      <c r="K319" s="5">
        <f t="shared" si="14"/>
        <v>0</v>
      </c>
    </row>
    <row r="320" spans="3:11" x14ac:dyDescent="0.2">
      <c r="C320" t="s">
        <v>1313</v>
      </c>
      <c r="D320" t="b">
        <f t="shared" ca="1" si="15"/>
        <v>1</v>
      </c>
      <c r="E320" s="5">
        <f t="shared" si="16"/>
        <v>0</v>
      </c>
      <c r="F320">
        <v>10862.1</v>
      </c>
      <c r="G320">
        <v>10862.1</v>
      </c>
      <c r="H320">
        <v>10862.1</v>
      </c>
      <c r="J320" s="5">
        <f t="shared" si="14"/>
        <v>0</v>
      </c>
      <c r="K320" s="5">
        <f t="shared" si="14"/>
        <v>0</v>
      </c>
    </row>
    <row r="321" spans="3:11" x14ac:dyDescent="0.2">
      <c r="C321" t="s">
        <v>1312</v>
      </c>
      <c r="D321" t="b">
        <f t="shared" ca="1" si="15"/>
        <v>1</v>
      </c>
      <c r="E321" s="5">
        <f t="shared" si="16"/>
        <v>1.8682625780732756E-5</v>
      </c>
      <c r="F321">
        <v>64230.8</v>
      </c>
      <c r="G321">
        <v>64232</v>
      </c>
      <c r="H321">
        <v>64232</v>
      </c>
      <c r="J321" s="5">
        <f t="shared" si="14"/>
        <v>1.8682625780732756E-5</v>
      </c>
      <c r="K321" s="5">
        <f t="shared" si="14"/>
        <v>0</v>
      </c>
    </row>
    <row r="322" spans="3:11" x14ac:dyDescent="0.2">
      <c r="C322" t="s">
        <v>1311</v>
      </c>
      <c r="D322" t="b">
        <f t="shared" ca="1" si="15"/>
        <v>1</v>
      </c>
      <c r="E322" s="5">
        <f t="shared" si="16"/>
        <v>1.91026984948419E-5</v>
      </c>
      <c r="F322">
        <v>41878.9</v>
      </c>
      <c r="G322">
        <v>41879.699999999997</v>
      </c>
      <c r="H322">
        <v>41879.699999999997</v>
      </c>
      <c r="J322" s="5">
        <f t="shared" si="14"/>
        <v>1.91026984948419E-5</v>
      </c>
      <c r="K322" s="5">
        <f t="shared" si="14"/>
        <v>0</v>
      </c>
    </row>
    <row r="323" spans="3:11" x14ac:dyDescent="0.2">
      <c r="C323" t="s">
        <v>1310</v>
      </c>
      <c r="D323" t="b">
        <f t="shared" ca="1" si="15"/>
        <v>1</v>
      </c>
      <c r="E323" s="5">
        <f t="shared" si="16"/>
        <v>1.7895570398839348E-5</v>
      </c>
      <c r="F323">
        <v>22351.9</v>
      </c>
      <c r="G323">
        <v>22352.3</v>
      </c>
      <c r="H323">
        <v>22352.3</v>
      </c>
      <c r="J323" s="5">
        <f t="shared" si="14"/>
        <v>1.7895570398839348E-5</v>
      </c>
      <c r="K323" s="5">
        <f t="shared" si="14"/>
        <v>0</v>
      </c>
    </row>
    <row r="324" spans="3:11" x14ac:dyDescent="0.2">
      <c r="C324" t="s">
        <v>1309</v>
      </c>
      <c r="D324" t="b">
        <f t="shared" ca="1" si="15"/>
        <v>1</v>
      </c>
      <c r="E324" s="5">
        <f t="shared" si="16"/>
        <v>0</v>
      </c>
      <c r="F324">
        <v>3.2205300000000001</v>
      </c>
      <c r="G324">
        <v>3.2205300000000001</v>
      </c>
      <c r="H324">
        <v>3.2205300000000001</v>
      </c>
      <c r="J324" s="5">
        <f t="shared" si="14"/>
        <v>0</v>
      </c>
      <c r="K324" s="5">
        <f t="shared" si="14"/>
        <v>0</v>
      </c>
    </row>
    <row r="325" spans="3:11" x14ac:dyDescent="0.2">
      <c r="C325" t="s">
        <v>1308</v>
      </c>
      <c r="D325" t="b">
        <f t="shared" ca="1" si="15"/>
        <v>1</v>
      </c>
      <c r="E325" s="5">
        <f t="shared" si="16"/>
        <v>0</v>
      </c>
      <c r="F325">
        <v>23.174399999999999</v>
      </c>
      <c r="G325">
        <v>23.174399999999999</v>
      </c>
      <c r="H325">
        <v>23.174399999999999</v>
      </c>
      <c r="J325" s="5">
        <f t="shared" si="14"/>
        <v>0</v>
      </c>
      <c r="K325" s="5">
        <f t="shared" si="14"/>
        <v>0</v>
      </c>
    </row>
    <row r="326" spans="3:11" x14ac:dyDescent="0.2">
      <c r="C326" t="s">
        <v>1307</v>
      </c>
      <c r="D326" t="b">
        <f t="shared" ca="1" si="15"/>
        <v>1</v>
      </c>
      <c r="E326" s="5">
        <f t="shared" si="16"/>
        <v>2.049564621223162E-6</v>
      </c>
      <c r="F326">
        <v>9.75817E-3</v>
      </c>
      <c r="G326">
        <v>9.7581500000000002E-3</v>
      </c>
      <c r="H326">
        <v>9.7581500000000002E-3</v>
      </c>
      <c r="J326" s="5">
        <f t="shared" si="14"/>
        <v>2.049564621223162E-6</v>
      </c>
      <c r="K326" s="5">
        <f t="shared" si="14"/>
        <v>0</v>
      </c>
    </row>
    <row r="327" spans="3:11" x14ac:dyDescent="0.2">
      <c r="C327" t="s">
        <v>1306</v>
      </c>
      <c r="D327" t="b">
        <f t="shared" ca="1" si="15"/>
        <v>1</v>
      </c>
      <c r="E327" s="5">
        <f t="shared" si="16"/>
        <v>3.7283661553746985E-6</v>
      </c>
      <c r="F327">
        <v>53.642800000000001</v>
      </c>
      <c r="G327">
        <v>53.642600000000002</v>
      </c>
      <c r="H327">
        <v>53.642600000000002</v>
      </c>
      <c r="J327" s="5">
        <f t="shared" ref="J327:K390" si="17">ABS(F327-G327)/ABS(F327)</f>
        <v>3.7283661553746985E-6</v>
      </c>
      <c r="K327" s="5">
        <f t="shared" si="17"/>
        <v>0</v>
      </c>
    </row>
    <row r="328" spans="3:11" x14ac:dyDescent="0.2">
      <c r="C328" t="s">
        <v>1305</v>
      </c>
      <c r="D328" t="b">
        <f t="shared" ca="1" si="15"/>
        <v>1</v>
      </c>
      <c r="E328" s="5">
        <f t="shared" si="16"/>
        <v>9.0967530654734078E-6</v>
      </c>
      <c r="F328">
        <v>32978.800000000003</v>
      </c>
      <c r="G328">
        <v>32979.1</v>
      </c>
      <c r="H328">
        <v>32979.1</v>
      </c>
      <c r="J328" s="5">
        <f t="shared" si="17"/>
        <v>9.0967530654734078E-6</v>
      </c>
      <c r="K328" s="5">
        <f t="shared" si="17"/>
        <v>0</v>
      </c>
    </row>
    <row r="329" spans="3:11" x14ac:dyDescent="0.2">
      <c r="C329" t="s">
        <v>1304</v>
      </c>
      <c r="D329" t="b">
        <f t="shared" ca="1" si="15"/>
        <v>1</v>
      </c>
      <c r="E329" s="5">
        <f t="shared" si="16"/>
        <v>0</v>
      </c>
      <c r="F329">
        <v>10862.1</v>
      </c>
      <c r="G329">
        <v>10862.1</v>
      </c>
      <c r="H329">
        <v>10862.1</v>
      </c>
      <c r="J329" s="5">
        <f t="shared" si="17"/>
        <v>0</v>
      </c>
      <c r="K329" s="5">
        <f t="shared" si="17"/>
        <v>0</v>
      </c>
    </row>
    <row r="330" spans="3:11" x14ac:dyDescent="0.2">
      <c r="C330" t="s">
        <v>1303</v>
      </c>
      <c r="D330" t="b">
        <f t="shared" ca="1" si="15"/>
        <v>1</v>
      </c>
      <c r="E330" s="5">
        <f t="shared" si="16"/>
        <v>1.5437599817994469E-5</v>
      </c>
      <c r="F330">
        <v>71254.600000000006</v>
      </c>
      <c r="G330">
        <v>71255.7</v>
      </c>
      <c r="H330">
        <v>71255.7</v>
      </c>
      <c r="J330" s="5">
        <f t="shared" si="17"/>
        <v>1.5437599817994469E-5</v>
      </c>
      <c r="K330" s="5">
        <f t="shared" si="17"/>
        <v>0</v>
      </c>
    </row>
    <row r="331" spans="3:11" x14ac:dyDescent="0.2">
      <c r="C331" t="s">
        <v>1302</v>
      </c>
      <c r="D331" t="b">
        <f t="shared" ca="1" si="15"/>
        <v>1</v>
      </c>
      <c r="E331" s="5">
        <f t="shared" si="16"/>
        <v>1.8240852212497401E-5</v>
      </c>
      <c r="F331">
        <v>49339.8</v>
      </c>
      <c r="G331">
        <v>49340.7</v>
      </c>
      <c r="H331">
        <v>49340.7</v>
      </c>
      <c r="J331" s="5">
        <f t="shared" si="17"/>
        <v>1.8240852212497401E-5</v>
      </c>
      <c r="K331" s="5">
        <f t="shared" si="17"/>
        <v>0</v>
      </c>
    </row>
    <row r="332" spans="3:11" x14ac:dyDescent="0.2">
      <c r="C332" t="s">
        <v>1301</v>
      </c>
      <c r="D332" t="b">
        <f t="shared" ca="1" si="15"/>
        <v>1</v>
      </c>
      <c r="E332" s="5">
        <f t="shared" si="16"/>
        <v>9.1262525781995549E-6</v>
      </c>
      <c r="F332">
        <v>21914.799999999999</v>
      </c>
      <c r="G332">
        <v>21915</v>
      </c>
      <c r="H332">
        <v>21915</v>
      </c>
      <c r="J332" s="5">
        <f t="shared" si="17"/>
        <v>9.1262525781995549E-6</v>
      </c>
      <c r="K332" s="5">
        <f t="shared" si="17"/>
        <v>0</v>
      </c>
    </row>
    <row r="333" spans="3:11" x14ac:dyDescent="0.2">
      <c r="C333" t="s">
        <v>1300</v>
      </c>
      <c r="D333" t="b">
        <f t="shared" ca="1" si="15"/>
        <v>1</v>
      </c>
      <c r="E333" s="5">
        <f t="shared" si="16"/>
        <v>3.1038935239190451E-6</v>
      </c>
      <c r="F333">
        <v>3.2217600000000002</v>
      </c>
      <c r="G333">
        <v>3.2217699999999998</v>
      </c>
      <c r="H333">
        <v>3.2217699999999998</v>
      </c>
      <c r="J333" s="5">
        <f t="shared" si="17"/>
        <v>3.1038935239190451E-6</v>
      </c>
      <c r="K333" s="5">
        <f t="shared" si="17"/>
        <v>0</v>
      </c>
    </row>
    <row r="334" spans="3:11" x14ac:dyDescent="0.2">
      <c r="C334" t="s">
        <v>1299</v>
      </c>
      <c r="D334" t="b">
        <f t="shared" ca="1" si="15"/>
        <v>1</v>
      </c>
      <c r="E334" s="5">
        <f t="shared" si="16"/>
        <v>0</v>
      </c>
      <c r="F334">
        <v>23.2471</v>
      </c>
      <c r="G334">
        <v>23.2471</v>
      </c>
      <c r="H334">
        <v>23.2471</v>
      </c>
      <c r="J334" s="5">
        <f t="shared" si="17"/>
        <v>0</v>
      </c>
      <c r="K334" s="5">
        <f t="shared" si="17"/>
        <v>0</v>
      </c>
    </row>
    <row r="335" spans="3:11" x14ac:dyDescent="0.2">
      <c r="C335" t="s">
        <v>1298</v>
      </c>
      <c r="D335" t="b">
        <f t="shared" ca="1" si="15"/>
        <v>1</v>
      </c>
      <c r="E335" s="5">
        <f t="shared" si="16"/>
        <v>2.1440156770298979E-6</v>
      </c>
      <c r="F335">
        <v>9.3282899999999995E-3</v>
      </c>
      <c r="G335">
        <v>9.3282699999999996E-3</v>
      </c>
      <c r="H335">
        <v>9.3282699999999996E-3</v>
      </c>
      <c r="J335" s="5">
        <f t="shared" si="17"/>
        <v>2.1440156770298979E-6</v>
      </c>
      <c r="K335" s="5">
        <f t="shared" si="17"/>
        <v>0</v>
      </c>
    </row>
    <row r="336" spans="3:11" x14ac:dyDescent="0.2">
      <c r="C336" t="s">
        <v>1297</v>
      </c>
      <c r="D336" t="b">
        <f t="shared" ca="1" si="15"/>
        <v>1</v>
      </c>
      <c r="E336" s="5">
        <f t="shared" si="16"/>
        <v>1.9517145813244269E-6</v>
      </c>
      <c r="F336">
        <v>51.237000000000002</v>
      </c>
      <c r="G336">
        <v>51.236899999999999</v>
      </c>
      <c r="H336">
        <v>51.236899999999999</v>
      </c>
      <c r="J336" s="5">
        <f t="shared" si="17"/>
        <v>1.9517145813244269E-6</v>
      </c>
      <c r="K336" s="5">
        <f t="shared" si="17"/>
        <v>0</v>
      </c>
    </row>
    <row r="337" spans="3:11" x14ac:dyDescent="0.2">
      <c r="C337" t="s">
        <v>1296</v>
      </c>
      <c r="D337" t="b">
        <f t="shared" ca="1" si="15"/>
        <v>1</v>
      </c>
      <c r="E337" s="5">
        <f t="shared" si="16"/>
        <v>9.3325369569368877E-6</v>
      </c>
      <c r="F337">
        <v>32145.599999999999</v>
      </c>
      <c r="G337">
        <v>32145.9</v>
      </c>
      <c r="H337">
        <v>32145.9</v>
      </c>
      <c r="J337" s="5">
        <f t="shared" si="17"/>
        <v>9.3325369569368877E-6</v>
      </c>
      <c r="K337" s="5">
        <f t="shared" si="17"/>
        <v>0</v>
      </c>
    </row>
    <row r="338" spans="3:11" x14ac:dyDescent="0.2">
      <c r="C338" t="s">
        <v>1295</v>
      </c>
      <c r="D338" t="b">
        <f t="shared" ref="D338:D401" ca="1" si="18">IF(CELL("format",F338)="G",IF(ABS(F338-G338) &lt;= ABS(F338*B$3),TRUE,FALSE),IF(F338=G338,TRUE,FALSE))</f>
        <v>1</v>
      </c>
      <c r="E338" s="5">
        <f t="shared" ref="E338:E401" si="19">ABS(F338-G338)/ABS(F338)</f>
        <v>0</v>
      </c>
      <c r="F338">
        <v>10862.1</v>
      </c>
      <c r="G338">
        <v>10862.1</v>
      </c>
      <c r="H338">
        <v>10862.1</v>
      </c>
      <c r="J338" s="5">
        <f t="shared" si="17"/>
        <v>0</v>
      </c>
      <c r="K338" s="5">
        <f t="shared" si="17"/>
        <v>0</v>
      </c>
    </row>
    <row r="339" spans="3:11" x14ac:dyDescent="0.2">
      <c r="C339" t="s">
        <v>1294</v>
      </c>
      <c r="D339" t="b">
        <f t="shared" ca="1" si="18"/>
        <v>1</v>
      </c>
      <c r="E339" s="5">
        <f t="shared" si="19"/>
        <v>1.6059847752515831E-5</v>
      </c>
      <c r="F339">
        <v>68493.8</v>
      </c>
      <c r="G339">
        <v>68494.899999999994</v>
      </c>
      <c r="H339">
        <v>68494.899999999994</v>
      </c>
      <c r="J339" s="5">
        <f t="shared" si="17"/>
        <v>1.6059847752515831E-5</v>
      </c>
      <c r="K339" s="5">
        <f t="shared" si="17"/>
        <v>0</v>
      </c>
    </row>
    <row r="340" spans="3:11" x14ac:dyDescent="0.2">
      <c r="C340" t="s">
        <v>1293</v>
      </c>
      <c r="D340" t="b">
        <f t="shared" ca="1" si="18"/>
        <v>1</v>
      </c>
      <c r="E340" s="5">
        <f t="shared" si="19"/>
        <v>1.9162635415987924E-5</v>
      </c>
      <c r="F340">
        <v>46966.400000000001</v>
      </c>
      <c r="G340">
        <v>46967.3</v>
      </c>
      <c r="H340">
        <v>46967.3</v>
      </c>
      <c r="J340" s="5">
        <f t="shared" si="17"/>
        <v>1.9162635415987924E-5</v>
      </c>
      <c r="K340" s="5">
        <f t="shared" si="17"/>
        <v>0</v>
      </c>
    </row>
    <row r="341" spans="3:11" x14ac:dyDescent="0.2">
      <c r="C341" t="s">
        <v>1292</v>
      </c>
      <c r="D341" t="b">
        <f t="shared" ca="1" si="18"/>
        <v>1</v>
      </c>
      <c r="E341" s="5">
        <f t="shared" si="19"/>
        <v>9.2904856135478317E-6</v>
      </c>
      <c r="F341">
        <v>21527.4</v>
      </c>
      <c r="G341">
        <v>21527.599999999999</v>
      </c>
      <c r="H341">
        <v>21527.599999999999</v>
      </c>
      <c r="J341" s="5">
        <f t="shared" si="17"/>
        <v>9.2904856135478317E-6</v>
      </c>
      <c r="K341" s="5">
        <f t="shared" si="17"/>
        <v>0</v>
      </c>
    </row>
    <row r="342" spans="3:11" x14ac:dyDescent="0.2">
      <c r="C342" t="s">
        <v>1291</v>
      </c>
      <c r="D342" t="b">
        <f t="shared" ca="1" si="18"/>
        <v>1</v>
      </c>
      <c r="E342" s="5">
        <f t="shared" si="19"/>
        <v>0</v>
      </c>
      <c r="F342">
        <v>3.2181600000000001</v>
      </c>
      <c r="G342">
        <v>3.2181600000000001</v>
      </c>
      <c r="H342">
        <v>3.2181600000000001</v>
      </c>
      <c r="J342" s="5">
        <f t="shared" si="17"/>
        <v>0</v>
      </c>
      <c r="K342" s="5">
        <f t="shared" si="17"/>
        <v>0</v>
      </c>
    </row>
    <row r="343" spans="3:11" x14ac:dyDescent="0.2">
      <c r="C343" t="s">
        <v>1290</v>
      </c>
      <c r="D343" t="b">
        <f t="shared" ca="1" si="18"/>
        <v>1</v>
      </c>
      <c r="E343" s="5">
        <f t="shared" si="19"/>
        <v>0</v>
      </c>
      <c r="F343">
        <v>23.204799999999999</v>
      </c>
      <c r="G343">
        <v>23.204799999999999</v>
      </c>
      <c r="H343">
        <v>23.204799999999999</v>
      </c>
      <c r="J343" s="5">
        <f t="shared" si="17"/>
        <v>0</v>
      </c>
      <c r="K343" s="5">
        <f t="shared" si="17"/>
        <v>0</v>
      </c>
    </row>
    <row r="344" spans="3:11" x14ac:dyDescent="0.2">
      <c r="C344" t="s">
        <v>1289</v>
      </c>
      <c r="D344" t="b">
        <f t="shared" ca="1" si="18"/>
        <v>1</v>
      </c>
      <c r="E344" s="5">
        <f t="shared" si="19"/>
        <v>2.1368480209455151E-6</v>
      </c>
      <c r="F344">
        <v>9.3595799999999993E-3</v>
      </c>
      <c r="G344">
        <v>9.3595599999999994E-3</v>
      </c>
      <c r="H344">
        <v>9.3595599999999994E-3</v>
      </c>
      <c r="J344" s="5">
        <f t="shared" si="17"/>
        <v>2.1368480209455151E-6</v>
      </c>
      <c r="K344" s="5">
        <f t="shared" si="17"/>
        <v>0</v>
      </c>
    </row>
    <row r="345" spans="3:11" x14ac:dyDescent="0.2">
      <c r="C345" t="s">
        <v>1288</v>
      </c>
      <c r="D345" t="b">
        <f t="shared" ca="1" si="18"/>
        <v>1</v>
      </c>
      <c r="E345" s="5">
        <f t="shared" si="19"/>
        <v>1.9402104739587713E-6</v>
      </c>
      <c r="F345">
        <v>51.540799999999997</v>
      </c>
      <c r="G345">
        <v>51.540700000000001</v>
      </c>
      <c r="H345">
        <v>51.540700000000001</v>
      </c>
      <c r="J345" s="5">
        <f t="shared" si="17"/>
        <v>1.9402104739587713E-6</v>
      </c>
      <c r="K345" s="5">
        <f t="shared" si="17"/>
        <v>0</v>
      </c>
    </row>
    <row r="346" spans="3:11" x14ac:dyDescent="0.2">
      <c r="C346" t="s">
        <v>1287</v>
      </c>
      <c r="D346" t="b">
        <f t="shared" ca="1" si="18"/>
        <v>1</v>
      </c>
      <c r="E346" s="5">
        <f t="shared" si="19"/>
        <v>9.0072778803963923E-6</v>
      </c>
      <c r="F346">
        <v>33306.400000000001</v>
      </c>
      <c r="G346">
        <v>33306.699999999997</v>
      </c>
      <c r="H346">
        <v>33306.699999999997</v>
      </c>
      <c r="J346" s="5">
        <f t="shared" si="17"/>
        <v>9.0072778803963923E-6</v>
      </c>
      <c r="K346" s="5">
        <f t="shared" si="17"/>
        <v>0</v>
      </c>
    </row>
    <row r="347" spans="3:11" x14ac:dyDescent="0.2">
      <c r="C347" t="s">
        <v>1286</v>
      </c>
      <c r="D347" t="b">
        <f t="shared" ca="1" si="18"/>
        <v>1</v>
      </c>
      <c r="E347" s="5">
        <f t="shared" si="19"/>
        <v>0</v>
      </c>
      <c r="F347">
        <v>10862.1</v>
      </c>
      <c r="G347">
        <v>10862.1</v>
      </c>
      <c r="H347">
        <v>10862.1</v>
      </c>
      <c r="J347" s="5">
        <f t="shared" si="17"/>
        <v>0</v>
      </c>
      <c r="K347" s="5">
        <f t="shared" si="17"/>
        <v>0</v>
      </c>
    </row>
    <row r="348" spans="3:11" x14ac:dyDescent="0.2">
      <c r="C348" t="s">
        <v>1285</v>
      </c>
      <c r="D348" t="b">
        <f t="shared" ca="1" si="18"/>
        <v>1</v>
      </c>
      <c r="E348" s="5">
        <f t="shared" si="19"/>
        <v>1.5185169335224605E-5</v>
      </c>
      <c r="F348">
        <v>72439.100000000006</v>
      </c>
      <c r="G348">
        <v>72440.2</v>
      </c>
      <c r="H348">
        <v>72440.2</v>
      </c>
      <c r="J348" s="5">
        <f t="shared" si="17"/>
        <v>1.5185169335224605E-5</v>
      </c>
      <c r="K348" s="5">
        <f t="shared" si="17"/>
        <v>0</v>
      </c>
    </row>
    <row r="349" spans="3:11" x14ac:dyDescent="0.2">
      <c r="C349" t="s">
        <v>1284</v>
      </c>
      <c r="D349" t="b">
        <f t="shared" ca="1" si="18"/>
        <v>1</v>
      </c>
      <c r="E349" s="5">
        <f t="shared" si="19"/>
        <v>2.002018034178452E-5</v>
      </c>
      <c r="F349">
        <v>49949.599999999999</v>
      </c>
      <c r="G349">
        <v>49950.6</v>
      </c>
      <c r="H349">
        <v>49950.6</v>
      </c>
      <c r="J349" s="5">
        <f t="shared" si="17"/>
        <v>2.002018034178452E-5</v>
      </c>
      <c r="K349" s="5">
        <f t="shared" si="17"/>
        <v>0</v>
      </c>
    </row>
    <row r="350" spans="3:11" x14ac:dyDescent="0.2">
      <c r="C350" t="s">
        <v>1283</v>
      </c>
      <c r="D350" t="b">
        <f t="shared" ca="1" si="18"/>
        <v>1</v>
      </c>
      <c r="E350" s="5">
        <f t="shared" si="19"/>
        <v>4.4465194868069457E-6</v>
      </c>
      <c r="F350">
        <v>22489.5</v>
      </c>
      <c r="G350">
        <v>22489.599999999999</v>
      </c>
      <c r="H350">
        <v>22489.599999999999</v>
      </c>
      <c r="J350" s="5">
        <f t="shared" si="17"/>
        <v>4.4465194868069457E-6</v>
      </c>
      <c r="K350" s="5">
        <f t="shared" si="17"/>
        <v>0</v>
      </c>
    </row>
    <row r="351" spans="3:11" x14ac:dyDescent="0.2">
      <c r="C351" t="s">
        <v>1282</v>
      </c>
      <c r="D351" t="b">
        <f t="shared" ca="1" si="18"/>
        <v>1</v>
      </c>
      <c r="E351" s="5">
        <f t="shared" si="19"/>
        <v>3.0983733540094537E-6</v>
      </c>
      <c r="F351">
        <v>3.2275</v>
      </c>
      <c r="G351">
        <v>3.2275100000000001</v>
      </c>
      <c r="H351">
        <v>3.2275100000000001</v>
      </c>
      <c r="J351" s="5">
        <f t="shared" si="17"/>
        <v>3.0983733540094537E-6</v>
      </c>
      <c r="K351" s="5">
        <f t="shared" si="17"/>
        <v>0</v>
      </c>
    </row>
    <row r="352" spans="3:11" x14ac:dyDescent="0.2">
      <c r="C352" t="s">
        <v>1281</v>
      </c>
      <c r="D352" t="b">
        <f t="shared" ca="1" si="18"/>
        <v>1</v>
      </c>
      <c r="E352" s="5">
        <f t="shared" si="19"/>
        <v>4.2800340690612146E-6</v>
      </c>
      <c r="F352">
        <v>23.3643</v>
      </c>
      <c r="G352">
        <v>23.3644</v>
      </c>
      <c r="H352">
        <v>23.3644</v>
      </c>
      <c r="J352" s="5">
        <f t="shared" si="17"/>
        <v>4.2800340690612146E-6</v>
      </c>
      <c r="K352" s="5">
        <f t="shared" si="17"/>
        <v>0</v>
      </c>
    </row>
    <row r="353" spans="3:11" x14ac:dyDescent="0.2">
      <c r="C353" t="s">
        <v>1280</v>
      </c>
      <c r="D353" t="b">
        <f t="shared" ca="1" si="18"/>
        <v>1</v>
      </c>
      <c r="E353" s="5">
        <f t="shared" si="19"/>
        <v>2.1720078148712186E-6</v>
      </c>
      <c r="F353">
        <v>9.2080700000000005E-3</v>
      </c>
      <c r="G353">
        <v>9.2080500000000006E-3</v>
      </c>
      <c r="H353">
        <v>9.2080500000000006E-3</v>
      </c>
      <c r="J353" s="5">
        <f t="shared" si="17"/>
        <v>2.1720078148712186E-6</v>
      </c>
      <c r="K353" s="5">
        <f t="shared" si="17"/>
        <v>0</v>
      </c>
    </row>
    <row r="354" spans="3:11" x14ac:dyDescent="0.2">
      <c r="C354" t="s">
        <v>1279</v>
      </c>
      <c r="D354" t="b">
        <f t="shared" ca="1" si="18"/>
        <v>1</v>
      </c>
      <c r="E354" s="5">
        <f t="shared" si="19"/>
        <v>1.9947935886578875E-6</v>
      </c>
      <c r="F354">
        <v>50.130499999999998</v>
      </c>
      <c r="G354">
        <v>50.130400000000002</v>
      </c>
      <c r="H354">
        <v>50.130400000000002</v>
      </c>
      <c r="J354" s="5">
        <f t="shared" si="17"/>
        <v>1.9947935886578875E-6</v>
      </c>
      <c r="K354" s="5">
        <f t="shared" si="17"/>
        <v>0</v>
      </c>
    </row>
    <row r="355" spans="3:11" x14ac:dyDescent="0.2">
      <c r="C355" t="s">
        <v>1278</v>
      </c>
      <c r="D355" t="b">
        <f t="shared" ca="1" si="18"/>
        <v>1</v>
      </c>
      <c r="E355" s="5">
        <f t="shared" si="19"/>
        <v>1.2997534800867907E-5</v>
      </c>
      <c r="F355">
        <v>23081.3</v>
      </c>
      <c r="G355">
        <v>23081.599999999999</v>
      </c>
      <c r="H355">
        <v>23081.599999999999</v>
      </c>
      <c r="J355" s="5">
        <f t="shared" si="17"/>
        <v>1.2997534800867907E-5</v>
      </c>
      <c r="K355" s="5">
        <f t="shared" si="17"/>
        <v>0</v>
      </c>
    </row>
    <row r="356" spans="3:11" x14ac:dyDescent="0.2">
      <c r="C356" t="s">
        <v>1277</v>
      </c>
      <c r="D356" t="b">
        <f t="shared" ca="1" si="18"/>
        <v>1</v>
      </c>
      <c r="E356" s="5">
        <f t="shared" si="19"/>
        <v>1.1399908800805627E-5</v>
      </c>
      <c r="F356">
        <v>2631.6</v>
      </c>
      <c r="G356">
        <v>2631.63</v>
      </c>
      <c r="H356">
        <v>2631.63</v>
      </c>
      <c r="J356" s="5">
        <f t="shared" si="17"/>
        <v>1.1399908800805627E-5</v>
      </c>
      <c r="K356" s="5">
        <f t="shared" si="17"/>
        <v>0</v>
      </c>
    </row>
    <row r="357" spans="3:11" x14ac:dyDescent="0.2">
      <c r="C357" t="s">
        <v>1276</v>
      </c>
      <c r="D357" t="b">
        <f t="shared" ca="1" si="18"/>
        <v>1</v>
      </c>
      <c r="E357" s="5">
        <f t="shared" si="19"/>
        <v>1.3721687584528327E-5</v>
      </c>
      <c r="F357">
        <v>65589.600000000006</v>
      </c>
      <c r="G357">
        <v>65590.5</v>
      </c>
      <c r="H357">
        <v>65590.5</v>
      </c>
      <c r="J357" s="5">
        <f t="shared" si="17"/>
        <v>1.3721687584528327E-5</v>
      </c>
      <c r="K357" s="5">
        <f t="shared" si="17"/>
        <v>0</v>
      </c>
    </row>
    <row r="358" spans="3:11" x14ac:dyDescent="0.2">
      <c r="C358" t="s">
        <v>1275</v>
      </c>
      <c r="D358" t="b">
        <f t="shared" ca="1" si="18"/>
        <v>1</v>
      </c>
      <c r="E358" s="5">
        <f t="shared" si="19"/>
        <v>2.3227283189117487E-5</v>
      </c>
      <c r="F358">
        <v>47358.1</v>
      </c>
      <c r="G358">
        <v>47359.199999999997</v>
      </c>
      <c r="H358">
        <v>47359.199999999997</v>
      </c>
      <c r="J358" s="5">
        <f t="shared" si="17"/>
        <v>2.3227283189117487E-5</v>
      </c>
      <c r="K358" s="5">
        <f t="shared" si="17"/>
        <v>0</v>
      </c>
    </row>
    <row r="359" spans="3:11" x14ac:dyDescent="0.2">
      <c r="C359" t="s">
        <v>1274</v>
      </c>
      <c r="D359" t="b">
        <f t="shared" ca="1" si="18"/>
        <v>1</v>
      </c>
      <c r="E359" s="5">
        <f t="shared" si="19"/>
        <v>1.0970024408344217E-5</v>
      </c>
      <c r="F359">
        <v>18231.5</v>
      </c>
      <c r="G359">
        <v>18231.3</v>
      </c>
      <c r="H359">
        <v>18231.3</v>
      </c>
      <c r="J359" s="5">
        <f t="shared" si="17"/>
        <v>1.0970024408344217E-5</v>
      </c>
      <c r="K359" s="5">
        <f t="shared" si="17"/>
        <v>0</v>
      </c>
    </row>
    <row r="360" spans="3:11" x14ac:dyDescent="0.2">
      <c r="C360" t="s">
        <v>1273</v>
      </c>
      <c r="D360" t="b">
        <f t="shared" ca="1" si="18"/>
        <v>1</v>
      </c>
      <c r="E360" s="5">
        <f t="shared" si="19"/>
        <v>0</v>
      </c>
      <c r="F360">
        <v>3.2073700000000001</v>
      </c>
      <c r="G360">
        <v>3.2073700000000001</v>
      </c>
      <c r="H360">
        <v>3.2073700000000001</v>
      </c>
      <c r="J360" s="5">
        <f t="shared" si="17"/>
        <v>0</v>
      </c>
      <c r="K360" s="5">
        <f t="shared" si="17"/>
        <v>0</v>
      </c>
    </row>
    <row r="361" spans="3:11" x14ac:dyDescent="0.2">
      <c r="C361" t="s">
        <v>1272</v>
      </c>
      <c r="D361" t="b">
        <f t="shared" ca="1" si="18"/>
        <v>0</v>
      </c>
      <c r="E361" s="5">
        <f t="shared" si="19"/>
        <v>4.4512708133597352E-4</v>
      </c>
      <c r="F361">
        <v>20.4436</v>
      </c>
      <c r="G361">
        <v>20.4527</v>
      </c>
      <c r="H361">
        <v>20.4527</v>
      </c>
      <c r="J361" s="5">
        <f t="shared" si="17"/>
        <v>4.4512708133597352E-4</v>
      </c>
      <c r="K361" s="5">
        <f t="shared" si="17"/>
        <v>0</v>
      </c>
    </row>
    <row r="362" spans="3:11" x14ac:dyDescent="0.2">
      <c r="C362" t="s">
        <v>1271</v>
      </c>
      <c r="D362" t="b">
        <f t="shared" ca="1" si="18"/>
        <v>1</v>
      </c>
      <c r="E362" s="5">
        <f t="shared" si="19"/>
        <v>8.7715931954415478E-5</v>
      </c>
      <c r="F362">
        <v>9.1203499999999993E-3</v>
      </c>
      <c r="G362">
        <v>9.1211499999999997E-3</v>
      </c>
      <c r="H362">
        <v>9.1211499999999997E-3</v>
      </c>
      <c r="J362" s="5">
        <f t="shared" si="17"/>
        <v>8.7715931954415478E-5</v>
      </c>
      <c r="K362" s="5">
        <f t="shared" si="17"/>
        <v>0</v>
      </c>
    </row>
    <row r="363" spans="3:11" x14ac:dyDescent="0.2">
      <c r="C363" t="s">
        <v>1270</v>
      </c>
      <c r="D363" t="b">
        <f t="shared" ca="1" si="18"/>
        <v>0</v>
      </c>
      <c r="E363" s="5">
        <f t="shared" si="19"/>
        <v>4.1605197876056225E-4</v>
      </c>
      <c r="F363">
        <v>57.685099999999998</v>
      </c>
      <c r="G363">
        <v>57.661099999999998</v>
      </c>
      <c r="H363">
        <v>57.661099999999998</v>
      </c>
      <c r="J363" s="5">
        <f t="shared" si="17"/>
        <v>4.1605197876056225E-4</v>
      </c>
      <c r="K363" s="5">
        <f t="shared" si="17"/>
        <v>0</v>
      </c>
    </row>
    <row r="364" spans="3:11" x14ac:dyDescent="0.2">
      <c r="C364" t="s">
        <v>1269</v>
      </c>
      <c r="D364" t="b">
        <f t="shared" ca="1" si="18"/>
        <v>1</v>
      </c>
      <c r="E364" s="5">
        <f t="shared" si="19"/>
        <v>7.7477337878952353E-6</v>
      </c>
      <c r="F364">
        <v>25814</v>
      </c>
      <c r="G364">
        <v>25814.2</v>
      </c>
      <c r="H364">
        <v>25814.2</v>
      </c>
      <c r="J364" s="5">
        <f t="shared" si="17"/>
        <v>7.7477337878952353E-6</v>
      </c>
      <c r="K364" s="5">
        <f t="shared" si="17"/>
        <v>0</v>
      </c>
    </row>
    <row r="365" spans="3:11" x14ac:dyDescent="0.2">
      <c r="C365" t="s">
        <v>1268</v>
      </c>
      <c r="D365" t="b">
        <f t="shared" ca="1" si="18"/>
        <v>1</v>
      </c>
      <c r="E365" s="5">
        <f t="shared" si="19"/>
        <v>1.273524383215064E-5</v>
      </c>
      <c r="F365">
        <v>3140.89</v>
      </c>
      <c r="G365">
        <v>3140.93</v>
      </c>
      <c r="H365">
        <v>3140.93</v>
      </c>
      <c r="J365" s="5">
        <f t="shared" si="17"/>
        <v>1.273524383215064E-5</v>
      </c>
      <c r="K365" s="5">
        <f t="shared" si="17"/>
        <v>0</v>
      </c>
    </row>
    <row r="366" spans="3:11" x14ac:dyDescent="0.2">
      <c r="C366" t="s">
        <v>1267</v>
      </c>
      <c r="D366" t="b">
        <f t="shared" ca="1" si="18"/>
        <v>1</v>
      </c>
      <c r="E366" s="5">
        <f t="shared" si="19"/>
        <v>1.2082328989780018E-5</v>
      </c>
      <c r="F366">
        <v>66212.399999999994</v>
      </c>
      <c r="G366">
        <v>66213.2</v>
      </c>
      <c r="H366">
        <v>66213.2</v>
      </c>
      <c r="J366" s="5">
        <f t="shared" si="17"/>
        <v>1.2082328989780018E-5</v>
      </c>
      <c r="K366" s="5">
        <f t="shared" si="17"/>
        <v>0</v>
      </c>
    </row>
    <row r="367" spans="3:11" x14ac:dyDescent="0.2">
      <c r="C367" t="s">
        <v>1266</v>
      </c>
      <c r="D367" t="b">
        <f t="shared" ca="1" si="18"/>
        <v>1</v>
      </c>
      <c r="E367" s="5">
        <f t="shared" si="19"/>
        <v>1.8756408439580508E-5</v>
      </c>
      <c r="F367">
        <v>47983.6</v>
      </c>
      <c r="G367">
        <v>47984.5</v>
      </c>
      <c r="H367">
        <v>47984.5</v>
      </c>
      <c r="J367" s="5">
        <f t="shared" si="17"/>
        <v>1.8756408439580508E-5</v>
      </c>
      <c r="K367" s="5">
        <f t="shared" si="17"/>
        <v>0</v>
      </c>
    </row>
    <row r="368" spans="3:11" x14ac:dyDescent="0.2">
      <c r="C368" t="s">
        <v>1265</v>
      </c>
      <c r="D368" t="b">
        <f t="shared" ca="1" si="18"/>
        <v>1</v>
      </c>
      <c r="E368" s="5">
        <f t="shared" si="19"/>
        <v>0</v>
      </c>
      <c r="F368">
        <v>18228.8</v>
      </c>
      <c r="G368">
        <v>18228.8</v>
      </c>
      <c r="H368">
        <v>18228.8</v>
      </c>
      <c r="J368" s="5">
        <f t="shared" si="17"/>
        <v>0</v>
      </c>
      <c r="K368" s="5">
        <f t="shared" si="17"/>
        <v>0</v>
      </c>
    </row>
    <row r="369" spans="3:11" x14ac:dyDescent="0.2">
      <c r="C369" t="s">
        <v>1264</v>
      </c>
      <c r="D369" t="b">
        <f t="shared" ca="1" si="18"/>
        <v>1</v>
      </c>
      <c r="E369" s="5">
        <f t="shared" si="19"/>
        <v>3.4242939960557003E-6</v>
      </c>
      <c r="F369">
        <v>2.9203100000000002</v>
      </c>
      <c r="G369">
        <v>2.9203199999999998</v>
      </c>
      <c r="H369">
        <v>2.9203199999999998</v>
      </c>
      <c r="J369" s="5">
        <f t="shared" si="17"/>
        <v>3.4242939960557003E-6</v>
      </c>
      <c r="K369" s="5">
        <f t="shared" si="17"/>
        <v>0</v>
      </c>
    </row>
    <row r="370" spans="3:11" x14ac:dyDescent="0.2">
      <c r="C370" t="s">
        <v>1263</v>
      </c>
      <c r="D370" t="b">
        <f t="shared" ca="1" si="18"/>
        <v>0</v>
      </c>
      <c r="E370" s="5">
        <f t="shared" si="19"/>
        <v>6.1494311776160435E-4</v>
      </c>
      <c r="F370">
        <v>13.659800000000001</v>
      </c>
      <c r="G370">
        <v>13.668200000000001</v>
      </c>
      <c r="H370">
        <v>13.668200000000001</v>
      </c>
      <c r="J370" s="5">
        <f t="shared" si="17"/>
        <v>6.1494311776160435E-4</v>
      </c>
      <c r="K370" s="5">
        <f t="shared" si="17"/>
        <v>0</v>
      </c>
    </row>
    <row r="371" spans="3:11" x14ac:dyDescent="0.2">
      <c r="C371" t="s">
        <v>1262</v>
      </c>
      <c r="D371" t="b">
        <f t="shared" ca="1" si="18"/>
        <v>0</v>
      </c>
      <c r="E371" s="5">
        <f t="shared" si="19"/>
        <v>1.3170003067437838E-4</v>
      </c>
      <c r="F371">
        <v>5.9984799999999996E-3</v>
      </c>
      <c r="G371">
        <v>5.99769E-3</v>
      </c>
      <c r="H371">
        <v>5.99769E-3</v>
      </c>
      <c r="J371" s="5">
        <f t="shared" si="17"/>
        <v>1.3170003067437838E-4</v>
      </c>
      <c r="K371" s="5">
        <f t="shared" si="17"/>
        <v>0</v>
      </c>
    </row>
    <row r="372" spans="3:11" x14ac:dyDescent="0.2">
      <c r="C372" t="s">
        <v>1261</v>
      </c>
      <c r="D372" t="b">
        <f t="shared" ca="1" si="18"/>
        <v>0</v>
      </c>
      <c r="E372" s="5">
        <f t="shared" si="19"/>
        <v>5.5909133639314517E-4</v>
      </c>
      <c r="F372">
        <v>60.634099999999997</v>
      </c>
      <c r="G372">
        <v>60.600200000000001</v>
      </c>
      <c r="H372">
        <v>60.600200000000001</v>
      </c>
      <c r="J372" s="5">
        <f t="shared" si="17"/>
        <v>5.5909133639314517E-4</v>
      </c>
      <c r="K372" s="5">
        <f t="shared" si="17"/>
        <v>0</v>
      </c>
    </row>
    <row r="373" spans="3:11" x14ac:dyDescent="0.2">
      <c r="C373" t="s">
        <v>1260</v>
      </c>
      <c r="D373" t="b">
        <f t="shared" ca="1" si="18"/>
        <v>1</v>
      </c>
      <c r="E373" s="5">
        <f t="shared" si="19"/>
        <v>1.2300728203079792E-5</v>
      </c>
      <c r="F373">
        <v>24388.799999999999</v>
      </c>
      <c r="G373">
        <v>24389.1</v>
      </c>
      <c r="H373">
        <v>24389.1</v>
      </c>
      <c r="J373" s="5">
        <f t="shared" si="17"/>
        <v>1.2300728203079792E-5</v>
      </c>
      <c r="K373" s="5">
        <f t="shared" si="17"/>
        <v>0</v>
      </c>
    </row>
    <row r="374" spans="3:11" x14ac:dyDescent="0.2">
      <c r="C374" t="s">
        <v>1259</v>
      </c>
      <c r="D374" t="b">
        <f t="shared" ca="1" si="18"/>
        <v>1</v>
      </c>
      <c r="E374" s="5">
        <f t="shared" si="19"/>
        <v>1.3891397057789469E-5</v>
      </c>
      <c r="F374">
        <v>2879.48</v>
      </c>
      <c r="G374">
        <v>2879.52</v>
      </c>
      <c r="H374">
        <v>2879.52</v>
      </c>
      <c r="J374" s="5">
        <f t="shared" si="17"/>
        <v>1.3891397057789469E-5</v>
      </c>
      <c r="K374" s="5">
        <f t="shared" si="17"/>
        <v>0</v>
      </c>
    </row>
    <row r="375" spans="3:11" x14ac:dyDescent="0.2">
      <c r="C375" t="s">
        <v>1258</v>
      </c>
      <c r="D375" t="b">
        <f t="shared" ca="1" si="18"/>
        <v>1</v>
      </c>
      <c r="E375" s="5">
        <f t="shared" si="19"/>
        <v>1.5175980671871015E-5</v>
      </c>
      <c r="F375">
        <v>65893.600000000006</v>
      </c>
      <c r="G375">
        <v>65894.600000000006</v>
      </c>
      <c r="H375">
        <v>65894.600000000006</v>
      </c>
      <c r="J375" s="5">
        <f t="shared" si="17"/>
        <v>1.5175980671871015E-5</v>
      </c>
      <c r="K375" s="5">
        <f t="shared" si="17"/>
        <v>0</v>
      </c>
    </row>
    <row r="376" spans="3:11" x14ac:dyDescent="0.2">
      <c r="C376" t="s">
        <v>1257</v>
      </c>
      <c r="D376" t="b">
        <f t="shared" ca="1" si="18"/>
        <v>1</v>
      </c>
      <c r="E376" s="5">
        <f t="shared" si="19"/>
        <v>2.3078456261049749E-5</v>
      </c>
      <c r="F376">
        <v>47663.5</v>
      </c>
      <c r="G376">
        <v>47664.6</v>
      </c>
      <c r="H376">
        <v>47664.6</v>
      </c>
      <c r="J376" s="5">
        <f t="shared" si="17"/>
        <v>2.3078456261049749E-5</v>
      </c>
      <c r="K376" s="5">
        <f t="shared" si="17"/>
        <v>0</v>
      </c>
    </row>
    <row r="377" spans="3:11" x14ac:dyDescent="0.2">
      <c r="C377" t="s">
        <v>1256</v>
      </c>
      <c r="D377" t="b">
        <f t="shared" ca="1" si="18"/>
        <v>1</v>
      </c>
      <c r="E377" s="5">
        <f t="shared" si="19"/>
        <v>5.4854334314427685E-6</v>
      </c>
      <c r="F377">
        <v>18230.099999999999</v>
      </c>
      <c r="G377">
        <v>18230</v>
      </c>
      <c r="H377">
        <v>18230</v>
      </c>
      <c r="J377" s="5">
        <f t="shared" si="17"/>
        <v>5.4854334314427685E-6</v>
      </c>
      <c r="K377" s="5">
        <f t="shared" si="17"/>
        <v>0</v>
      </c>
    </row>
    <row r="378" spans="3:11" x14ac:dyDescent="0.2">
      <c r="C378" t="s">
        <v>1255</v>
      </c>
      <c r="D378" t="b">
        <f t="shared" ca="1" si="18"/>
        <v>1</v>
      </c>
      <c r="E378" s="5">
        <f t="shared" si="19"/>
        <v>0</v>
      </c>
      <c r="F378">
        <v>3.0634899999999998</v>
      </c>
      <c r="G378">
        <v>3.0634899999999998</v>
      </c>
      <c r="H378">
        <v>3.0634899999999998</v>
      </c>
      <c r="J378" s="5">
        <f t="shared" si="17"/>
        <v>0</v>
      </c>
      <c r="K378" s="5">
        <f t="shared" si="17"/>
        <v>0</v>
      </c>
    </row>
    <row r="379" spans="3:11" x14ac:dyDescent="0.2">
      <c r="C379" t="s">
        <v>1254</v>
      </c>
      <c r="D379" t="b">
        <f t="shared" ca="1" si="18"/>
        <v>0</v>
      </c>
      <c r="E379" s="5">
        <f t="shared" si="19"/>
        <v>5.3309588110205029E-4</v>
      </c>
      <c r="F379">
        <v>17.0701</v>
      </c>
      <c r="G379">
        <v>17.0792</v>
      </c>
      <c r="H379">
        <v>17.0792</v>
      </c>
      <c r="J379" s="5">
        <f t="shared" si="17"/>
        <v>5.3309588110205029E-4</v>
      </c>
      <c r="K379" s="5">
        <f t="shared" si="17"/>
        <v>0</v>
      </c>
    </row>
    <row r="380" spans="3:11" x14ac:dyDescent="0.2">
      <c r="C380" t="s">
        <v>1253</v>
      </c>
      <c r="D380" t="b">
        <f t="shared" ca="1" si="18"/>
        <v>1</v>
      </c>
      <c r="E380" s="5">
        <f t="shared" si="19"/>
        <v>6.7027273397147403E-6</v>
      </c>
      <c r="F380">
        <v>7.45965E-3</v>
      </c>
      <c r="G380">
        <v>7.4596000000000003E-3</v>
      </c>
      <c r="H380">
        <v>7.4596000000000003E-3</v>
      </c>
      <c r="J380" s="5">
        <f t="shared" si="17"/>
        <v>6.7027273397147403E-6</v>
      </c>
      <c r="K380" s="5">
        <f t="shared" si="17"/>
        <v>0</v>
      </c>
    </row>
    <row r="381" spans="3:11" x14ac:dyDescent="0.2">
      <c r="C381" t="s">
        <v>1252</v>
      </c>
      <c r="D381" t="b">
        <f t="shared" ca="1" si="18"/>
        <v>0</v>
      </c>
      <c r="E381" s="5">
        <f t="shared" si="19"/>
        <v>5.0990957940027376E-4</v>
      </c>
      <c r="F381">
        <v>59.4223</v>
      </c>
      <c r="G381">
        <v>59.392000000000003</v>
      </c>
      <c r="H381">
        <v>59.392000000000003</v>
      </c>
      <c r="J381" s="5">
        <f t="shared" si="17"/>
        <v>5.0990957940027376E-4</v>
      </c>
      <c r="K381" s="5">
        <f t="shared" si="17"/>
        <v>0</v>
      </c>
    </row>
    <row r="382" spans="3:11" x14ac:dyDescent="0.2">
      <c r="C382" t="s">
        <v>1251</v>
      </c>
      <c r="D382" t="b">
        <f t="shared" ca="1" si="18"/>
        <v>1</v>
      </c>
      <c r="E382" s="5">
        <f t="shared" si="19"/>
        <v>1.442938978107116E-5</v>
      </c>
      <c r="F382">
        <v>20790.900000000001</v>
      </c>
      <c r="G382">
        <v>20791.2</v>
      </c>
      <c r="H382">
        <v>20791.2</v>
      </c>
      <c r="J382" s="5">
        <f t="shared" si="17"/>
        <v>1.442938978107116E-5</v>
      </c>
      <c r="K382" s="5">
        <f t="shared" si="17"/>
        <v>0</v>
      </c>
    </row>
    <row r="383" spans="3:11" x14ac:dyDescent="0.2">
      <c r="C383" t="s">
        <v>1250</v>
      </c>
      <c r="D383" t="b">
        <f t="shared" ca="1" si="18"/>
        <v>1</v>
      </c>
      <c r="E383" s="5">
        <f t="shared" si="19"/>
        <v>1.8230709630355783E-5</v>
      </c>
      <c r="F383">
        <v>2194.1</v>
      </c>
      <c r="G383">
        <v>2194.14</v>
      </c>
      <c r="H383">
        <v>2194.14</v>
      </c>
      <c r="J383" s="5">
        <f t="shared" si="17"/>
        <v>1.8230709630355783E-5</v>
      </c>
      <c r="K383" s="5">
        <f t="shared" si="17"/>
        <v>0</v>
      </c>
    </row>
    <row r="384" spans="3:11" x14ac:dyDescent="0.2">
      <c r="C384" t="s">
        <v>1249</v>
      </c>
      <c r="D384" t="b">
        <f t="shared" ca="1" si="18"/>
        <v>1</v>
      </c>
      <c r="E384" s="5">
        <f t="shared" si="19"/>
        <v>1.6915712082255645E-5</v>
      </c>
      <c r="F384">
        <v>65028.3</v>
      </c>
      <c r="G384">
        <v>65029.4</v>
      </c>
      <c r="H384">
        <v>65029.4</v>
      </c>
      <c r="J384" s="5">
        <f t="shared" si="17"/>
        <v>1.6915712082255645E-5</v>
      </c>
      <c r="K384" s="5">
        <f t="shared" si="17"/>
        <v>0</v>
      </c>
    </row>
    <row r="385" spans="3:11" x14ac:dyDescent="0.2">
      <c r="C385" t="s">
        <v>1248</v>
      </c>
      <c r="D385" t="b">
        <f t="shared" ca="1" si="18"/>
        <v>1</v>
      </c>
      <c r="E385" s="5">
        <f t="shared" si="19"/>
        <v>2.3505579369762953E-5</v>
      </c>
      <c r="F385">
        <v>46797.4</v>
      </c>
      <c r="G385">
        <v>46798.5</v>
      </c>
      <c r="H385">
        <v>46798.5</v>
      </c>
      <c r="J385" s="5">
        <f t="shared" si="17"/>
        <v>2.3505579369762953E-5</v>
      </c>
      <c r="K385" s="5">
        <f t="shared" si="17"/>
        <v>0</v>
      </c>
    </row>
    <row r="386" spans="3:11" x14ac:dyDescent="0.2">
      <c r="C386" t="s">
        <v>1247</v>
      </c>
      <c r="D386" t="b">
        <f t="shared" ca="1" si="18"/>
        <v>1</v>
      </c>
      <c r="E386" s="5">
        <f t="shared" si="19"/>
        <v>0</v>
      </c>
      <c r="F386">
        <v>18230.8</v>
      </c>
      <c r="G386">
        <v>18230.8</v>
      </c>
      <c r="H386">
        <v>18230.8</v>
      </c>
      <c r="J386" s="5">
        <f t="shared" si="17"/>
        <v>0</v>
      </c>
      <c r="K386" s="5">
        <f t="shared" si="17"/>
        <v>0</v>
      </c>
    </row>
    <row r="387" spans="3:11" x14ac:dyDescent="0.2">
      <c r="C387" t="s">
        <v>1246</v>
      </c>
      <c r="D387" t="b">
        <f t="shared" ca="1" si="18"/>
        <v>1</v>
      </c>
      <c r="E387" s="5">
        <f t="shared" si="19"/>
        <v>0</v>
      </c>
      <c r="F387">
        <v>3.49675</v>
      </c>
      <c r="G387">
        <v>3.49675</v>
      </c>
      <c r="H387">
        <v>3.49675</v>
      </c>
      <c r="J387" s="5">
        <f t="shared" si="17"/>
        <v>0</v>
      </c>
      <c r="K387" s="5">
        <f t="shared" si="17"/>
        <v>0</v>
      </c>
    </row>
    <row r="388" spans="3:11" x14ac:dyDescent="0.2">
      <c r="C388" t="s">
        <v>1245</v>
      </c>
      <c r="D388" t="b">
        <f t="shared" ca="1" si="18"/>
        <v>0</v>
      </c>
      <c r="E388" s="5">
        <f t="shared" si="19"/>
        <v>3.4963619433880764E-4</v>
      </c>
      <c r="F388">
        <v>27.171099999999999</v>
      </c>
      <c r="G388">
        <v>27.180599999999998</v>
      </c>
      <c r="H388">
        <v>27.180599999999998</v>
      </c>
      <c r="J388" s="5">
        <f t="shared" si="17"/>
        <v>3.4963619433880764E-4</v>
      </c>
      <c r="K388" s="5">
        <f t="shared" si="17"/>
        <v>0</v>
      </c>
    </row>
    <row r="389" spans="3:11" x14ac:dyDescent="0.2">
      <c r="C389" t="s">
        <v>1244</v>
      </c>
      <c r="D389" t="b">
        <f t="shared" ca="1" si="18"/>
        <v>0</v>
      </c>
      <c r="E389" s="5">
        <f t="shared" si="19"/>
        <v>1.2756250562778105E-4</v>
      </c>
      <c r="F389">
        <v>1.33268E-2</v>
      </c>
      <c r="G389">
        <v>1.33285E-2</v>
      </c>
      <c r="H389">
        <v>1.33285E-2</v>
      </c>
      <c r="J389" s="5">
        <f t="shared" si="17"/>
        <v>1.2756250562778105E-4</v>
      </c>
      <c r="K389" s="5">
        <f t="shared" si="17"/>
        <v>0</v>
      </c>
    </row>
    <row r="390" spans="3:11" x14ac:dyDescent="0.2">
      <c r="C390" t="s">
        <v>1243</v>
      </c>
      <c r="D390" t="b">
        <f t="shared" ca="1" si="18"/>
        <v>0</v>
      </c>
      <c r="E390" s="5">
        <f t="shared" si="19"/>
        <v>3.8904465222590145E-4</v>
      </c>
      <c r="F390">
        <v>53.464300000000001</v>
      </c>
      <c r="G390">
        <v>53.4435</v>
      </c>
      <c r="H390">
        <v>53.4435</v>
      </c>
      <c r="J390" s="5">
        <f t="shared" si="17"/>
        <v>3.8904465222590145E-4</v>
      </c>
      <c r="K390" s="5">
        <f t="shared" si="17"/>
        <v>0</v>
      </c>
    </row>
    <row r="391" spans="3:11" x14ac:dyDescent="0.2">
      <c r="C391" t="s">
        <v>1242</v>
      </c>
      <c r="D391" t="b">
        <f t="shared" ca="1" si="18"/>
        <v>1</v>
      </c>
      <c r="E391" s="5">
        <f t="shared" si="19"/>
        <v>2.7769601172987955E-5</v>
      </c>
      <c r="F391">
        <v>18005.3</v>
      </c>
      <c r="G391">
        <v>18005.8</v>
      </c>
      <c r="H391">
        <v>18005.8</v>
      </c>
      <c r="J391" s="5">
        <f t="shared" ref="J391:K454" si="20">ABS(F391-G391)/ABS(F391)</f>
        <v>2.7769601172987955E-5</v>
      </c>
      <c r="K391" s="5">
        <f t="shared" si="20"/>
        <v>0</v>
      </c>
    </row>
    <row r="392" spans="3:11" x14ac:dyDescent="0.2">
      <c r="C392" t="s">
        <v>1241</v>
      </c>
      <c r="D392" t="b">
        <f t="shared" ca="1" si="18"/>
        <v>1</v>
      </c>
      <c r="E392" s="5">
        <f t="shared" si="19"/>
        <v>2.3542484767883881E-5</v>
      </c>
      <c r="F392">
        <v>2123.8200000000002</v>
      </c>
      <c r="G392">
        <v>2123.87</v>
      </c>
      <c r="H392">
        <v>2123.87</v>
      </c>
      <c r="J392" s="5">
        <f t="shared" si="20"/>
        <v>2.3542484767883881E-5</v>
      </c>
      <c r="K392" s="5">
        <f t="shared" si="20"/>
        <v>0</v>
      </c>
    </row>
    <row r="393" spans="3:11" x14ac:dyDescent="0.2">
      <c r="C393" t="s">
        <v>1240</v>
      </c>
      <c r="D393" t="b">
        <f t="shared" ca="1" si="18"/>
        <v>1</v>
      </c>
      <c r="E393" s="5">
        <f t="shared" si="19"/>
        <v>3.1921481667493076E-5</v>
      </c>
      <c r="F393">
        <v>46990.3</v>
      </c>
      <c r="G393">
        <v>46991.8</v>
      </c>
      <c r="H393">
        <v>46991.8</v>
      </c>
      <c r="J393" s="5">
        <f t="shared" si="20"/>
        <v>3.1921481667493076E-5</v>
      </c>
      <c r="K393" s="5">
        <f t="shared" si="20"/>
        <v>0</v>
      </c>
    </row>
    <row r="394" spans="3:11" x14ac:dyDescent="0.2">
      <c r="C394" t="s">
        <v>1239</v>
      </c>
      <c r="D394" t="b">
        <f t="shared" ca="1" si="18"/>
        <v>1</v>
      </c>
      <c r="E394" s="5">
        <f t="shared" si="19"/>
        <v>3.1921685464992548E-5</v>
      </c>
      <c r="F394">
        <v>46990</v>
      </c>
      <c r="G394">
        <v>46991.5</v>
      </c>
      <c r="H394">
        <v>46991.5</v>
      </c>
      <c r="J394" s="5">
        <f t="shared" si="20"/>
        <v>3.1921685464992548E-5</v>
      </c>
      <c r="K394" s="5">
        <f t="shared" si="20"/>
        <v>0</v>
      </c>
    </row>
    <row r="395" spans="3:11" x14ac:dyDescent="0.2">
      <c r="C395" t="s">
        <v>1238</v>
      </c>
      <c r="D395" t="b">
        <f t="shared" ca="1" si="18"/>
        <v>0</v>
      </c>
      <c r="E395" s="5">
        <f t="shared" si="19"/>
        <v>6.7869030055521237E-2</v>
      </c>
      <c r="F395">
        <v>0.28061399999999997</v>
      </c>
      <c r="G395">
        <v>0.29965900000000001</v>
      </c>
      <c r="H395">
        <v>0.29965900000000001</v>
      </c>
      <c r="J395" s="5">
        <f t="shared" si="20"/>
        <v>6.7869030055521237E-2</v>
      </c>
      <c r="K395" s="5">
        <f t="shared" si="20"/>
        <v>0</v>
      </c>
    </row>
    <row r="396" spans="3:11" x14ac:dyDescent="0.2">
      <c r="C396" t="s">
        <v>1237</v>
      </c>
      <c r="D396" t="b">
        <f t="shared" ca="1" si="18"/>
        <v>1</v>
      </c>
      <c r="E396" s="5">
        <f t="shared" si="19"/>
        <v>6.7594970933104416E-6</v>
      </c>
      <c r="F396">
        <v>2.9588000000000001</v>
      </c>
      <c r="G396">
        <v>2.9588199999999998</v>
      </c>
      <c r="H396">
        <v>2.9588199999999998</v>
      </c>
      <c r="J396" s="5">
        <f t="shared" si="20"/>
        <v>6.7594970933104416E-6</v>
      </c>
      <c r="K396" s="5">
        <f t="shared" si="20"/>
        <v>0</v>
      </c>
    </row>
    <row r="397" spans="3:11" x14ac:dyDescent="0.2">
      <c r="C397" t="s">
        <v>1236</v>
      </c>
      <c r="D397" t="b">
        <f t="shared" ca="1" si="18"/>
        <v>0</v>
      </c>
      <c r="E397" s="5">
        <f t="shared" si="19"/>
        <v>4.129380787206453E-4</v>
      </c>
      <c r="F397">
        <v>20.584199999999999</v>
      </c>
      <c r="G397">
        <v>20.592700000000001</v>
      </c>
      <c r="H397">
        <v>20.592700000000001</v>
      </c>
      <c r="J397" s="5">
        <f t="shared" si="20"/>
        <v>4.129380787206453E-4</v>
      </c>
      <c r="K397" s="5">
        <f t="shared" si="20"/>
        <v>0</v>
      </c>
    </row>
    <row r="398" spans="3:11" x14ac:dyDescent="0.2">
      <c r="C398" t="s">
        <v>1235</v>
      </c>
      <c r="D398" t="b">
        <f t="shared" ca="1" si="18"/>
        <v>0</v>
      </c>
      <c r="E398" s="5">
        <f t="shared" si="19"/>
        <v>3.3298530663425515E-4</v>
      </c>
      <c r="F398">
        <v>6.4267100000000004E-3</v>
      </c>
      <c r="G398">
        <v>6.4288499999999998E-3</v>
      </c>
      <c r="H398">
        <v>6.4288499999999998E-3</v>
      </c>
      <c r="J398" s="5">
        <f t="shared" si="20"/>
        <v>3.3298530663425515E-4</v>
      </c>
      <c r="K398" s="5">
        <f t="shared" si="20"/>
        <v>0</v>
      </c>
    </row>
    <row r="399" spans="3:11" x14ac:dyDescent="0.2">
      <c r="C399" t="s">
        <v>1234</v>
      </c>
      <c r="D399" t="b">
        <f t="shared" ca="1" si="18"/>
        <v>0</v>
      </c>
      <c r="E399" s="5">
        <f t="shared" si="19"/>
        <v>3.7056015991255404E-4</v>
      </c>
      <c r="F399">
        <v>47.2258</v>
      </c>
      <c r="G399">
        <v>47.208300000000001</v>
      </c>
      <c r="H399">
        <v>47.208300000000001</v>
      </c>
      <c r="J399" s="5">
        <f t="shared" si="20"/>
        <v>3.7056015991255404E-4</v>
      </c>
      <c r="K399" s="5">
        <f t="shared" si="20"/>
        <v>0</v>
      </c>
    </row>
    <row r="400" spans="3:11" x14ac:dyDescent="0.2">
      <c r="C400" t="s">
        <v>1233</v>
      </c>
      <c r="D400" t="b">
        <f t="shared" ca="1" si="18"/>
        <v>1</v>
      </c>
      <c r="E400" s="5">
        <f t="shared" si="19"/>
        <v>1.9870247285299755E-5</v>
      </c>
      <c r="F400">
        <v>20130.599999999999</v>
      </c>
      <c r="G400">
        <v>20131</v>
      </c>
      <c r="H400">
        <v>20131</v>
      </c>
      <c r="J400" s="5">
        <f t="shared" si="20"/>
        <v>1.9870247285299755E-5</v>
      </c>
      <c r="K400" s="5">
        <f t="shared" si="20"/>
        <v>0</v>
      </c>
    </row>
    <row r="401" spans="3:11" x14ac:dyDescent="0.2">
      <c r="C401" t="s">
        <v>1232</v>
      </c>
      <c r="D401" t="b">
        <f t="shared" ca="1" si="18"/>
        <v>1</v>
      </c>
      <c r="E401" s="5">
        <f t="shared" si="19"/>
        <v>2.0039437613295725E-5</v>
      </c>
      <c r="F401">
        <v>2495.08</v>
      </c>
      <c r="G401">
        <v>2495.13</v>
      </c>
      <c r="H401">
        <v>2495.13</v>
      </c>
      <c r="J401" s="5">
        <f t="shared" si="20"/>
        <v>2.0039437613295725E-5</v>
      </c>
      <c r="K401" s="5">
        <f t="shared" si="20"/>
        <v>0</v>
      </c>
    </row>
    <row r="402" spans="3:11" x14ac:dyDescent="0.2">
      <c r="C402" t="s">
        <v>1231</v>
      </c>
      <c r="D402" t="b">
        <f t="shared" ref="D402:D465" ca="1" si="21">IF(CELL("format",F402)="G",IF(ABS(F402-G402) &lt;= ABS(F402*B$3),TRUE,FALSE),IF(F402=G402,TRUE,FALSE))</f>
        <v>1</v>
      </c>
      <c r="E402" s="5">
        <f t="shared" ref="E402:E465" si="22">ABS(F402-G402)/ABS(F402)</f>
        <v>2.3166088216586517E-5</v>
      </c>
      <c r="F402">
        <v>47483.199999999997</v>
      </c>
      <c r="G402">
        <v>47484.3</v>
      </c>
      <c r="H402">
        <v>47484.3</v>
      </c>
      <c r="J402" s="5">
        <f t="shared" si="20"/>
        <v>2.3166088216586517E-5</v>
      </c>
      <c r="K402" s="5">
        <f t="shared" si="20"/>
        <v>0</v>
      </c>
    </row>
    <row r="403" spans="3:11" x14ac:dyDescent="0.2">
      <c r="C403" t="s">
        <v>1230</v>
      </c>
      <c r="D403" t="b">
        <f t="shared" ca="1" si="21"/>
        <v>1</v>
      </c>
      <c r="E403" s="5">
        <f t="shared" si="22"/>
        <v>2.1064028326905292E-5</v>
      </c>
      <c r="F403">
        <v>47474.3</v>
      </c>
      <c r="G403">
        <v>47475.3</v>
      </c>
      <c r="H403">
        <v>47475.3</v>
      </c>
      <c r="J403" s="5">
        <f t="shared" si="20"/>
        <v>2.1064028326905292E-5</v>
      </c>
      <c r="K403" s="5">
        <f t="shared" si="20"/>
        <v>0</v>
      </c>
    </row>
    <row r="404" spans="3:11" x14ac:dyDescent="0.2">
      <c r="C404" t="s">
        <v>1229</v>
      </c>
      <c r="D404" t="b">
        <f t="shared" ca="1" si="21"/>
        <v>0</v>
      </c>
      <c r="E404" s="5">
        <f t="shared" si="22"/>
        <v>1.2306943883459906E-3</v>
      </c>
      <c r="F404">
        <v>8.9624199999999998</v>
      </c>
      <c r="G404">
        <v>8.9734499999999997</v>
      </c>
      <c r="H404">
        <v>8.9734499999999997</v>
      </c>
      <c r="J404" s="5">
        <f t="shared" si="20"/>
        <v>1.2306943883459906E-3</v>
      </c>
      <c r="K404" s="5">
        <f t="shared" si="20"/>
        <v>0</v>
      </c>
    </row>
    <row r="405" spans="3:11" x14ac:dyDescent="0.2">
      <c r="C405" t="s">
        <v>1228</v>
      </c>
      <c r="D405" t="b">
        <f t="shared" ca="1" si="21"/>
        <v>1</v>
      </c>
      <c r="E405" s="5">
        <f t="shared" si="22"/>
        <v>3.7140618094409637E-6</v>
      </c>
      <c r="F405">
        <v>2.6924700000000001</v>
      </c>
      <c r="G405">
        <v>2.6924800000000002</v>
      </c>
      <c r="H405">
        <v>2.6924800000000002</v>
      </c>
      <c r="J405" s="5">
        <f t="shared" si="20"/>
        <v>3.7140618094409637E-6</v>
      </c>
      <c r="K405" s="5">
        <f t="shared" si="20"/>
        <v>0</v>
      </c>
    </row>
    <row r="406" spans="3:11" x14ac:dyDescent="0.2">
      <c r="C406" t="s">
        <v>1227</v>
      </c>
      <c r="D406" t="b">
        <f t="shared" ca="1" si="21"/>
        <v>0</v>
      </c>
      <c r="E406" s="5">
        <f t="shared" si="22"/>
        <v>5.5831490410771813E-4</v>
      </c>
      <c r="F406">
        <v>13.791499999999999</v>
      </c>
      <c r="G406">
        <v>13.799200000000001</v>
      </c>
      <c r="H406">
        <v>13.799200000000001</v>
      </c>
      <c r="J406" s="5">
        <f t="shared" si="20"/>
        <v>5.5831490410771813E-4</v>
      </c>
      <c r="K406" s="5">
        <f t="shared" si="20"/>
        <v>0</v>
      </c>
    </row>
    <row r="407" spans="3:11" x14ac:dyDescent="0.2">
      <c r="C407" t="s">
        <v>1226</v>
      </c>
      <c r="D407" t="b">
        <f t="shared" ca="1" si="21"/>
        <v>0</v>
      </c>
      <c r="E407" s="5">
        <f t="shared" si="22"/>
        <v>4.5745654162844686E-4</v>
      </c>
      <c r="F407">
        <v>4.30642E-3</v>
      </c>
      <c r="G407">
        <v>4.3083899999999996E-3</v>
      </c>
      <c r="H407">
        <v>4.3083899999999996E-3</v>
      </c>
      <c r="J407" s="5">
        <f t="shared" si="20"/>
        <v>4.5745654162844686E-4</v>
      </c>
      <c r="K407" s="5">
        <f t="shared" si="20"/>
        <v>0</v>
      </c>
    </row>
    <row r="408" spans="3:11" x14ac:dyDescent="0.2">
      <c r="C408" t="s">
        <v>1225</v>
      </c>
      <c r="D408" t="b">
        <f t="shared" ca="1" si="21"/>
        <v>0</v>
      </c>
      <c r="E408" s="5">
        <f t="shared" si="22"/>
        <v>2.8330463965825015E-4</v>
      </c>
      <c r="F408">
        <v>45.887</v>
      </c>
      <c r="G408">
        <v>45.874000000000002</v>
      </c>
      <c r="H408">
        <v>45.874000000000002</v>
      </c>
      <c r="J408" s="5">
        <f t="shared" si="20"/>
        <v>2.8330463965825015E-4</v>
      </c>
      <c r="K408" s="5">
        <f t="shared" si="20"/>
        <v>0</v>
      </c>
    </row>
    <row r="409" spans="3:11" x14ac:dyDescent="0.2">
      <c r="C409" t="s">
        <v>1224</v>
      </c>
      <c r="D409" t="b">
        <f t="shared" ca="1" si="21"/>
        <v>1</v>
      </c>
      <c r="E409" s="5">
        <f t="shared" si="22"/>
        <v>6.0200709164353962E-5</v>
      </c>
      <c r="F409">
        <v>16611.099999999999</v>
      </c>
      <c r="G409">
        <v>16610.099999999999</v>
      </c>
      <c r="H409">
        <v>16610.099999999999</v>
      </c>
      <c r="J409" s="5">
        <f t="shared" si="20"/>
        <v>6.0200709164353962E-5</v>
      </c>
      <c r="K409" s="5">
        <f t="shared" si="20"/>
        <v>0</v>
      </c>
    </row>
    <row r="410" spans="3:11" x14ac:dyDescent="0.2">
      <c r="C410" t="s">
        <v>1223</v>
      </c>
      <c r="D410" t="b">
        <f t="shared" ca="1" si="21"/>
        <v>0</v>
      </c>
      <c r="E410" s="5">
        <f t="shared" si="22"/>
        <v>1.1256190904999698E-4</v>
      </c>
      <c r="F410">
        <v>1865.64</v>
      </c>
      <c r="G410">
        <v>1865.43</v>
      </c>
      <c r="H410">
        <v>1865.43</v>
      </c>
      <c r="J410" s="5">
        <f t="shared" si="20"/>
        <v>1.1256190904999698E-4</v>
      </c>
      <c r="K410" s="5">
        <f t="shared" si="20"/>
        <v>0</v>
      </c>
    </row>
    <row r="411" spans="3:11" x14ac:dyDescent="0.2">
      <c r="C411" t="s">
        <v>1222</v>
      </c>
      <c r="D411" t="b">
        <f t="shared" ca="1" si="21"/>
        <v>1</v>
      </c>
      <c r="E411" s="5">
        <f t="shared" si="22"/>
        <v>2.358708028411326E-5</v>
      </c>
      <c r="F411">
        <v>46635.7</v>
      </c>
      <c r="G411">
        <v>46636.800000000003</v>
      </c>
      <c r="H411">
        <v>46636.800000000003</v>
      </c>
      <c r="J411" s="5">
        <f t="shared" si="20"/>
        <v>2.358708028411326E-5</v>
      </c>
      <c r="K411" s="5">
        <f t="shared" si="20"/>
        <v>0</v>
      </c>
    </row>
    <row r="412" spans="3:11" x14ac:dyDescent="0.2">
      <c r="C412" t="s">
        <v>1221</v>
      </c>
      <c r="D412" t="b">
        <f t="shared" ca="1" si="21"/>
        <v>1</v>
      </c>
      <c r="E412" s="5">
        <f t="shared" si="22"/>
        <v>2.358708028411326E-5</v>
      </c>
      <c r="F412">
        <v>46635.7</v>
      </c>
      <c r="G412">
        <v>46636.800000000003</v>
      </c>
      <c r="H412">
        <v>46636.800000000003</v>
      </c>
      <c r="J412" s="5">
        <f t="shared" si="20"/>
        <v>2.358708028411326E-5</v>
      </c>
      <c r="K412" s="5">
        <f t="shared" si="20"/>
        <v>0</v>
      </c>
    </row>
    <row r="413" spans="3:11" x14ac:dyDescent="0.2">
      <c r="C413" t="s">
        <v>1220</v>
      </c>
      <c r="D413" t="b">
        <f t="shared" ca="1" si="21"/>
        <v>0</v>
      </c>
      <c r="E413" s="5">
        <f t="shared" si="22"/>
        <v>1.4263068365564968</v>
      </c>
      <c r="F413" s="2">
        <v>-1.5461000000000001E-13</v>
      </c>
      <c r="G413" s="2">
        <v>6.59113E-14</v>
      </c>
      <c r="H413" s="2">
        <v>1.32088E-13</v>
      </c>
      <c r="I413" s="2"/>
      <c r="J413" s="5">
        <f t="shared" si="20"/>
        <v>1.4263068365564968</v>
      </c>
      <c r="K413" s="5">
        <f t="shared" si="20"/>
        <v>1.0040266236593727</v>
      </c>
    </row>
    <row r="414" spans="3:11" x14ac:dyDescent="0.2">
      <c r="C414" t="s">
        <v>1219</v>
      </c>
      <c r="D414" t="b">
        <f t="shared" ca="1" si="21"/>
        <v>1</v>
      </c>
      <c r="E414" s="5">
        <f t="shared" si="22"/>
        <v>7.2722213790575967E-5</v>
      </c>
      <c r="F414">
        <v>3.1627200000000002</v>
      </c>
      <c r="G414">
        <v>3.1629499999999999</v>
      </c>
      <c r="H414">
        <v>3.1629499999999999</v>
      </c>
      <c r="J414" s="5">
        <f t="shared" si="20"/>
        <v>7.2722213790575967E-5</v>
      </c>
      <c r="K414" s="5">
        <f t="shared" si="20"/>
        <v>0</v>
      </c>
    </row>
    <row r="415" spans="3:11" x14ac:dyDescent="0.2">
      <c r="C415" t="s">
        <v>1218</v>
      </c>
      <c r="D415" t="b">
        <f t="shared" ca="1" si="21"/>
        <v>0</v>
      </c>
      <c r="E415" s="5">
        <f t="shared" si="22"/>
        <v>3.2953996221276346E-4</v>
      </c>
      <c r="F415">
        <v>27.3108</v>
      </c>
      <c r="G415">
        <v>27.319800000000001</v>
      </c>
      <c r="H415">
        <v>27.319800000000001</v>
      </c>
      <c r="J415" s="5">
        <f t="shared" si="20"/>
        <v>3.2953996221276346E-4</v>
      </c>
      <c r="K415" s="5">
        <f t="shared" si="20"/>
        <v>0</v>
      </c>
    </row>
    <row r="416" spans="3:11" x14ac:dyDescent="0.2">
      <c r="C416" t="s">
        <v>1217</v>
      </c>
      <c r="D416" t="b">
        <f t="shared" ca="1" si="21"/>
        <v>0</v>
      </c>
      <c r="E416" s="5">
        <f t="shared" si="22"/>
        <v>1.7830604800455783E-3</v>
      </c>
      <c r="F416">
        <v>6.7356100000000004E-3</v>
      </c>
      <c r="G416">
        <v>6.7476200000000002E-3</v>
      </c>
      <c r="H416">
        <v>6.7476200000000002E-3</v>
      </c>
      <c r="J416" s="5">
        <f t="shared" si="20"/>
        <v>1.7830604800455783E-3</v>
      </c>
      <c r="K416" s="5">
        <f t="shared" si="20"/>
        <v>0</v>
      </c>
    </row>
    <row r="417" spans="3:11" x14ac:dyDescent="0.2">
      <c r="C417" t="s">
        <v>1216</v>
      </c>
      <c r="D417" t="b">
        <f t="shared" ca="1" si="21"/>
        <v>0</v>
      </c>
      <c r="E417" s="5">
        <f t="shared" si="22"/>
        <v>5.7484508960586856E-4</v>
      </c>
      <c r="F417">
        <v>38.619100000000003</v>
      </c>
      <c r="G417">
        <v>38.641300000000001</v>
      </c>
      <c r="H417">
        <v>38.641300000000001</v>
      </c>
      <c r="J417" s="5">
        <f t="shared" si="20"/>
        <v>5.7484508960586856E-4</v>
      </c>
      <c r="K417" s="5">
        <f t="shared" si="20"/>
        <v>0</v>
      </c>
    </row>
    <row r="418" spans="3:11" x14ac:dyDescent="0.2">
      <c r="C418" t="s">
        <v>1215</v>
      </c>
      <c r="D418" t="b">
        <f t="shared" ca="1" si="21"/>
        <v>1</v>
      </c>
      <c r="E418" s="5">
        <f t="shared" si="22"/>
        <v>1.6634506620493292E-5</v>
      </c>
      <c r="F418">
        <v>18034.8</v>
      </c>
      <c r="G418">
        <v>18035.099999999999</v>
      </c>
      <c r="H418">
        <v>18035.099999999999</v>
      </c>
      <c r="J418" s="5">
        <f t="shared" si="20"/>
        <v>1.6634506620493292E-5</v>
      </c>
      <c r="K418" s="5">
        <f t="shared" si="20"/>
        <v>0</v>
      </c>
    </row>
    <row r="419" spans="3:11" x14ac:dyDescent="0.2">
      <c r="C419" t="s">
        <v>1214</v>
      </c>
      <c r="D419" t="b">
        <f t="shared" ca="1" si="21"/>
        <v>1</v>
      </c>
      <c r="E419" s="5">
        <f t="shared" si="22"/>
        <v>1.9689302801769882E-5</v>
      </c>
      <c r="F419">
        <v>2031.56</v>
      </c>
      <c r="G419">
        <v>2031.6</v>
      </c>
      <c r="H419">
        <v>2031.6</v>
      </c>
      <c r="J419" s="5">
        <f t="shared" si="20"/>
        <v>1.9689302801769882E-5</v>
      </c>
      <c r="K419" s="5">
        <f t="shared" si="20"/>
        <v>0</v>
      </c>
    </row>
    <row r="420" spans="3:11" x14ac:dyDescent="0.2">
      <c r="C420" t="s">
        <v>1213</v>
      </c>
      <c r="D420" t="b">
        <f t="shared" ca="1" si="21"/>
        <v>1</v>
      </c>
      <c r="E420" s="5">
        <f t="shared" si="22"/>
        <v>1.7872959007404472E-5</v>
      </c>
      <c r="F420">
        <v>50355.4</v>
      </c>
      <c r="G420">
        <v>50356.3</v>
      </c>
      <c r="H420">
        <v>50356.3</v>
      </c>
      <c r="J420" s="5">
        <f t="shared" si="20"/>
        <v>1.7872959007404472E-5</v>
      </c>
      <c r="K420" s="5">
        <f t="shared" si="20"/>
        <v>0</v>
      </c>
    </row>
    <row r="421" spans="3:11" x14ac:dyDescent="0.2">
      <c r="C421" t="s">
        <v>1212</v>
      </c>
      <c r="D421" t="b">
        <f t="shared" ca="1" si="21"/>
        <v>1</v>
      </c>
      <c r="E421" s="5">
        <f t="shared" si="22"/>
        <v>2.4748731627544106E-5</v>
      </c>
      <c r="F421">
        <v>36365.5</v>
      </c>
      <c r="G421">
        <v>36366.400000000001</v>
      </c>
      <c r="H421">
        <v>36366.400000000001</v>
      </c>
      <c r="J421" s="5">
        <f t="shared" si="20"/>
        <v>2.4748731627544106E-5</v>
      </c>
      <c r="K421" s="5">
        <f t="shared" si="20"/>
        <v>0</v>
      </c>
    </row>
    <row r="422" spans="3:11" x14ac:dyDescent="0.2">
      <c r="C422" t="s">
        <v>1211</v>
      </c>
      <c r="D422" t="b">
        <f t="shared" ca="1" si="21"/>
        <v>1</v>
      </c>
      <c r="E422" s="5">
        <f t="shared" si="22"/>
        <v>0</v>
      </c>
      <c r="F422">
        <v>13989.9</v>
      </c>
      <c r="G422">
        <v>13989.9</v>
      </c>
      <c r="H422">
        <v>13989.9</v>
      </c>
      <c r="J422" s="5">
        <f t="shared" si="20"/>
        <v>0</v>
      </c>
      <c r="K422" s="5">
        <f t="shared" si="20"/>
        <v>0</v>
      </c>
    </row>
    <row r="423" spans="3:11" x14ac:dyDescent="0.2">
      <c r="C423" t="s">
        <v>1210</v>
      </c>
      <c r="D423" t="b">
        <f t="shared" ca="1" si="21"/>
        <v>1</v>
      </c>
      <c r="E423" s="5">
        <f t="shared" si="22"/>
        <v>3.1780637329109194E-6</v>
      </c>
      <c r="F423">
        <v>3.1465700000000001</v>
      </c>
      <c r="G423">
        <v>3.1465800000000002</v>
      </c>
      <c r="H423">
        <v>3.1465800000000002</v>
      </c>
      <c r="J423" s="5">
        <f t="shared" si="20"/>
        <v>3.1780637329109194E-6</v>
      </c>
      <c r="K423" s="5">
        <f t="shared" si="20"/>
        <v>0</v>
      </c>
    </row>
    <row r="424" spans="3:11" x14ac:dyDescent="0.2">
      <c r="C424" t="s">
        <v>1209</v>
      </c>
      <c r="D424" t="b">
        <f t="shared" ca="1" si="21"/>
        <v>1</v>
      </c>
      <c r="E424" s="5">
        <f t="shared" si="22"/>
        <v>0</v>
      </c>
      <c r="F424">
        <v>25.000299999999999</v>
      </c>
      <c r="G424">
        <v>25.000299999999999</v>
      </c>
      <c r="H424">
        <v>25.000299999999999</v>
      </c>
      <c r="J424" s="5">
        <f t="shared" si="20"/>
        <v>0</v>
      </c>
      <c r="K424" s="5">
        <f t="shared" si="20"/>
        <v>0</v>
      </c>
    </row>
    <row r="425" spans="3:11" x14ac:dyDescent="0.2">
      <c r="C425" t="s">
        <v>1208</v>
      </c>
      <c r="D425" t="b">
        <f t="shared" ca="1" si="21"/>
        <v>1</v>
      </c>
      <c r="E425" s="5">
        <f t="shared" si="22"/>
        <v>9.1283352654434199E-6</v>
      </c>
      <c r="F425">
        <v>1.09549E-2</v>
      </c>
      <c r="G425">
        <v>1.0954800000000001E-2</v>
      </c>
      <c r="H425">
        <v>1.0954800000000001E-2</v>
      </c>
      <c r="J425" s="5">
        <f t="shared" si="20"/>
        <v>9.1283352654434199E-6</v>
      </c>
      <c r="K425" s="5">
        <f t="shared" si="20"/>
        <v>0</v>
      </c>
    </row>
    <row r="426" spans="3:11" x14ac:dyDescent="0.2">
      <c r="C426" t="s">
        <v>1207</v>
      </c>
      <c r="D426" t="b">
        <f t="shared" ca="1" si="21"/>
        <v>1</v>
      </c>
      <c r="E426" s="5">
        <f t="shared" si="22"/>
        <v>7.2227328292901281E-6</v>
      </c>
      <c r="F426">
        <v>55.380699999999997</v>
      </c>
      <c r="G426">
        <v>55.380299999999998</v>
      </c>
      <c r="H426">
        <v>55.380299999999998</v>
      </c>
      <c r="J426" s="5">
        <f t="shared" si="20"/>
        <v>7.2227328292901281E-6</v>
      </c>
      <c r="K426" s="5">
        <f t="shared" si="20"/>
        <v>0</v>
      </c>
    </row>
    <row r="427" spans="3:11" x14ac:dyDescent="0.2">
      <c r="C427" t="s">
        <v>1206</v>
      </c>
      <c r="D427" t="b">
        <f t="shared" ca="1" si="21"/>
        <v>1</v>
      </c>
      <c r="E427" s="5">
        <f t="shared" si="22"/>
        <v>8.3819486355000786E-6</v>
      </c>
      <c r="F427">
        <v>35791.199999999997</v>
      </c>
      <c r="G427">
        <v>35791.5</v>
      </c>
      <c r="H427">
        <v>35791.5</v>
      </c>
      <c r="J427" s="5">
        <f t="shared" si="20"/>
        <v>8.3819486355000786E-6</v>
      </c>
      <c r="K427" s="5">
        <f t="shared" si="20"/>
        <v>0</v>
      </c>
    </row>
    <row r="428" spans="3:11" x14ac:dyDescent="0.2">
      <c r="C428" t="s">
        <v>1205</v>
      </c>
      <c r="D428" t="b">
        <f t="shared" ca="1" si="21"/>
        <v>1</v>
      </c>
      <c r="E428" s="5">
        <f t="shared" si="22"/>
        <v>7.3784401976795648E-6</v>
      </c>
      <c r="F428">
        <v>4065.9</v>
      </c>
      <c r="G428">
        <v>4065.93</v>
      </c>
      <c r="H428">
        <v>4065.93</v>
      </c>
      <c r="J428" s="5">
        <f t="shared" si="20"/>
        <v>7.3784401976795648E-6</v>
      </c>
      <c r="K428" s="5">
        <f t="shared" si="20"/>
        <v>0</v>
      </c>
    </row>
    <row r="429" spans="3:11" x14ac:dyDescent="0.2">
      <c r="C429" t="s">
        <v>1204</v>
      </c>
      <c r="D429" t="b">
        <f t="shared" ca="1" si="21"/>
        <v>1</v>
      </c>
      <c r="E429" s="5">
        <f t="shared" si="22"/>
        <v>8.8656412075003317E-6</v>
      </c>
      <c r="F429">
        <v>112795</v>
      </c>
      <c r="G429">
        <v>112796</v>
      </c>
      <c r="H429">
        <v>112796</v>
      </c>
      <c r="J429" s="5">
        <f t="shared" si="20"/>
        <v>8.8656412075003317E-6</v>
      </c>
      <c r="K429" s="5">
        <f t="shared" si="20"/>
        <v>0</v>
      </c>
    </row>
    <row r="430" spans="3:11" x14ac:dyDescent="0.2">
      <c r="C430" t="s">
        <v>1203</v>
      </c>
      <c r="D430" t="b">
        <f t="shared" ca="1" si="21"/>
        <v>1</v>
      </c>
      <c r="E430" s="5">
        <f t="shared" si="22"/>
        <v>1.1067986954461126E-5</v>
      </c>
      <c r="F430">
        <v>81315.600000000006</v>
      </c>
      <c r="G430">
        <v>81316.5</v>
      </c>
      <c r="H430">
        <v>81316.5</v>
      </c>
      <c r="J430" s="5">
        <f t="shared" si="20"/>
        <v>1.1067986954461126E-5</v>
      </c>
      <c r="K430" s="5">
        <f t="shared" si="20"/>
        <v>0</v>
      </c>
    </row>
    <row r="431" spans="3:11" x14ac:dyDescent="0.2">
      <c r="C431" t="s">
        <v>1202</v>
      </c>
      <c r="D431" t="b">
        <f t="shared" ca="1" si="21"/>
        <v>1</v>
      </c>
      <c r="E431" s="5">
        <f t="shared" si="22"/>
        <v>0</v>
      </c>
      <c r="F431">
        <v>31479.4</v>
      </c>
      <c r="G431">
        <v>31479.4</v>
      </c>
      <c r="H431">
        <v>31479.4</v>
      </c>
      <c r="J431" s="5">
        <f t="shared" si="20"/>
        <v>0</v>
      </c>
      <c r="K431" s="5">
        <f t="shared" si="20"/>
        <v>0</v>
      </c>
    </row>
    <row r="432" spans="3:11" x14ac:dyDescent="0.2">
      <c r="C432" t="s">
        <v>1201</v>
      </c>
      <c r="D432" t="b">
        <f t="shared" ca="1" si="21"/>
        <v>1</v>
      </c>
      <c r="E432" s="5">
        <f t="shared" si="22"/>
        <v>0</v>
      </c>
      <c r="F432">
        <v>3.5553599999999999</v>
      </c>
      <c r="G432">
        <v>3.5553599999999999</v>
      </c>
      <c r="H432">
        <v>3.5553599999999999</v>
      </c>
      <c r="J432" s="5">
        <f t="shared" si="20"/>
        <v>0</v>
      </c>
      <c r="K432" s="5">
        <f t="shared" si="20"/>
        <v>0</v>
      </c>
    </row>
    <row r="433" spans="3:11" x14ac:dyDescent="0.2">
      <c r="C433" t="s">
        <v>1200</v>
      </c>
      <c r="D433" t="b">
        <f t="shared" ca="1" si="21"/>
        <v>1</v>
      </c>
      <c r="E433" s="5">
        <f t="shared" si="22"/>
        <v>0</v>
      </c>
      <c r="F433">
        <v>25.0001</v>
      </c>
      <c r="G433">
        <v>25.0001</v>
      </c>
      <c r="H433">
        <v>25.0001</v>
      </c>
      <c r="J433" s="5">
        <f t="shared" si="20"/>
        <v>0</v>
      </c>
      <c r="K433" s="5">
        <f t="shared" si="20"/>
        <v>0</v>
      </c>
    </row>
    <row r="434" spans="3:11" x14ac:dyDescent="0.2">
      <c r="C434" t="s">
        <v>1199</v>
      </c>
      <c r="D434" t="b">
        <f t="shared" ca="1" si="21"/>
        <v>1</v>
      </c>
      <c r="E434" s="5">
        <f t="shared" si="22"/>
        <v>9.1117003343452897E-6</v>
      </c>
      <c r="F434">
        <v>1.0974899999999999E-2</v>
      </c>
      <c r="G434">
        <v>1.09748E-2</v>
      </c>
      <c r="H434">
        <v>1.09748E-2</v>
      </c>
      <c r="J434" s="5">
        <f t="shared" si="20"/>
        <v>9.1117003343452897E-6</v>
      </c>
      <c r="K434" s="5">
        <f t="shared" si="20"/>
        <v>0</v>
      </c>
    </row>
    <row r="435" spans="3:11" x14ac:dyDescent="0.2">
      <c r="C435" t="s">
        <v>1198</v>
      </c>
      <c r="D435" t="b">
        <f t="shared" ca="1" si="21"/>
        <v>1</v>
      </c>
      <c r="E435" s="5">
        <f t="shared" si="22"/>
        <v>1.8024318410997655E-6</v>
      </c>
      <c r="F435">
        <v>55.480600000000003</v>
      </c>
      <c r="G435">
        <v>55.480499999999999</v>
      </c>
      <c r="H435">
        <v>55.480499999999999</v>
      </c>
      <c r="J435" s="5">
        <f t="shared" si="20"/>
        <v>1.8024318410997655E-6</v>
      </c>
      <c r="K435" s="5">
        <f t="shared" si="20"/>
        <v>0</v>
      </c>
    </row>
    <row r="436" spans="3:11" x14ac:dyDescent="0.2">
      <c r="C436" t="s">
        <v>1197</v>
      </c>
      <c r="D436" t="b">
        <f t="shared" ca="1" si="21"/>
        <v>1</v>
      </c>
      <c r="E436" s="5">
        <f t="shared" si="22"/>
        <v>0</v>
      </c>
      <c r="F436">
        <v>12008.3</v>
      </c>
      <c r="G436">
        <v>12008.3</v>
      </c>
      <c r="H436">
        <v>12008.3</v>
      </c>
      <c r="J436" s="5">
        <f t="shared" si="20"/>
        <v>0</v>
      </c>
      <c r="K436" s="5">
        <f t="shared" si="20"/>
        <v>0</v>
      </c>
    </row>
    <row r="437" spans="3:11" x14ac:dyDescent="0.2">
      <c r="C437" t="s">
        <v>1196</v>
      </c>
      <c r="D437" t="b">
        <f t="shared" ca="1" si="21"/>
        <v>1</v>
      </c>
      <c r="E437" s="5">
        <f t="shared" si="22"/>
        <v>0</v>
      </c>
      <c r="F437" s="4">
        <v>44762</v>
      </c>
      <c r="G437" s="4">
        <v>44762</v>
      </c>
      <c r="H437" s="4">
        <v>44762</v>
      </c>
      <c r="I437" s="4"/>
      <c r="J437" s="5">
        <f t="shared" si="20"/>
        <v>0</v>
      </c>
      <c r="K437" s="5">
        <f t="shared" si="20"/>
        <v>0</v>
      </c>
    </row>
    <row r="438" spans="3:11" x14ac:dyDescent="0.2">
      <c r="C438" t="s">
        <v>1195</v>
      </c>
      <c r="D438" t="b">
        <f t="shared" ca="1" si="21"/>
        <v>1</v>
      </c>
      <c r="E438" s="5">
        <f t="shared" si="22"/>
        <v>0</v>
      </c>
      <c r="F438">
        <v>15</v>
      </c>
      <c r="G438">
        <v>15</v>
      </c>
      <c r="H438">
        <v>15</v>
      </c>
      <c r="J438" s="5">
        <f t="shared" si="20"/>
        <v>0</v>
      </c>
      <c r="K438" s="5">
        <f t="shared" si="20"/>
        <v>0</v>
      </c>
    </row>
    <row r="439" spans="3:11" x14ac:dyDescent="0.2">
      <c r="C439" t="s">
        <v>1194</v>
      </c>
      <c r="D439" t="b">
        <f t="shared" ca="1" si="21"/>
        <v>1</v>
      </c>
      <c r="E439" s="5">
        <f t="shared" si="22"/>
        <v>0</v>
      </c>
      <c r="F439">
        <v>23460.400000000001</v>
      </c>
      <c r="G439">
        <v>23460.400000000001</v>
      </c>
      <c r="H439">
        <v>23460.400000000001</v>
      </c>
      <c r="J439" s="5">
        <f t="shared" si="20"/>
        <v>0</v>
      </c>
      <c r="K439" s="5">
        <f t="shared" si="20"/>
        <v>0</v>
      </c>
    </row>
    <row r="440" spans="3:11" x14ac:dyDescent="0.2">
      <c r="C440" t="s">
        <v>1193</v>
      </c>
      <c r="D440" t="b">
        <f t="shared" ca="1" si="21"/>
        <v>1</v>
      </c>
      <c r="E440" s="5">
        <f t="shared" si="22"/>
        <v>0</v>
      </c>
      <c r="F440" s="4">
        <v>44762</v>
      </c>
      <c r="G440" s="4">
        <v>44762</v>
      </c>
      <c r="H440" s="4">
        <v>44762</v>
      </c>
      <c r="I440" s="4"/>
      <c r="J440" s="5">
        <f t="shared" si="20"/>
        <v>0</v>
      </c>
      <c r="K440" s="5">
        <f t="shared" si="20"/>
        <v>0</v>
      </c>
    </row>
    <row r="441" spans="3:11" x14ac:dyDescent="0.2">
      <c r="C441" t="s">
        <v>1192</v>
      </c>
      <c r="D441" t="b">
        <f t="shared" ca="1" si="21"/>
        <v>1</v>
      </c>
      <c r="E441" s="5">
        <f t="shared" si="22"/>
        <v>0</v>
      </c>
      <c r="F441">
        <v>15</v>
      </c>
      <c r="G441">
        <v>15</v>
      </c>
      <c r="H441">
        <v>15</v>
      </c>
      <c r="J441" s="5">
        <f t="shared" si="20"/>
        <v>0</v>
      </c>
      <c r="K441" s="5">
        <f t="shared" si="20"/>
        <v>0</v>
      </c>
    </row>
    <row r="442" spans="3:11" x14ac:dyDescent="0.2">
      <c r="C442" t="s">
        <v>1191</v>
      </c>
      <c r="D442" t="b">
        <f t="shared" ca="1" si="21"/>
        <v>1</v>
      </c>
      <c r="E442" s="5">
        <f t="shared" si="22"/>
        <v>0</v>
      </c>
      <c r="F442">
        <v>10627.1</v>
      </c>
      <c r="G442">
        <v>10627.1</v>
      </c>
      <c r="H442">
        <v>10627.1</v>
      </c>
      <c r="J442" s="5">
        <f t="shared" si="20"/>
        <v>0</v>
      </c>
      <c r="K442" s="5">
        <f t="shared" si="20"/>
        <v>0</v>
      </c>
    </row>
    <row r="443" spans="3:11" x14ac:dyDescent="0.2">
      <c r="C443" t="s">
        <v>1190</v>
      </c>
      <c r="D443" t="b">
        <f t="shared" ca="1" si="21"/>
        <v>1</v>
      </c>
      <c r="E443" s="5">
        <f t="shared" si="22"/>
        <v>0</v>
      </c>
      <c r="F443" s="4">
        <v>44752</v>
      </c>
      <c r="G443" s="4">
        <v>44752</v>
      </c>
      <c r="H443" s="4">
        <v>44752</v>
      </c>
      <c r="I443" s="4"/>
      <c r="J443" s="5">
        <f t="shared" si="20"/>
        <v>0</v>
      </c>
      <c r="K443" s="5">
        <f t="shared" si="20"/>
        <v>0</v>
      </c>
    </row>
    <row r="444" spans="3:11" x14ac:dyDescent="0.2">
      <c r="C444" t="s">
        <v>1189</v>
      </c>
      <c r="D444" t="b">
        <f t="shared" ca="1" si="21"/>
        <v>1</v>
      </c>
      <c r="E444" s="5">
        <f t="shared" si="22"/>
        <v>0</v>
      </c>
      <c r="F444">
        <v>13</v>
      </c>
      <c r="G444">
        <v>13</v>
      </c>
      <c r="H444">
        <v>13</v>
      </c>
      <c r="J444" s="5">
        <f t="shared" si="20"/>
        <v>0</v>
      </c>
      <c r="K444" s="5">
        <f t="shared" si="20"/>
        <v>0</v>
      </c>
    </row>
    <row r="445" spans="3:11" x14ac:dyDescent="0.2">
      <c r="C445" t="s">
        <v>1188</v>
      </c>
      <c r="D445" t="b">
        <f t="shared" ca="1" si="21"/>
        <v>1</v>
      </c>
      <c r="E445" s="5">
        <f t="shared" si="22"/>
        <v>0</v>
      </c>
      <c r="F445">
        <v>33102.800000000003</v>
      </c>
      <c r="G445">
        <v>33102.800000000003</v>
      </c>
      <c r="H445">
        <v>33102.800000000003</v>
      </c>
      <c r="J445" s="5">
        <f t="shared" si="20"/>
        <v>0</v>
      </c>
      <c r="K445" s="5">
        <f t="shared" si="20"/>
        <v>0</v>
      </c>
    </row>
    <row r="446" spans="3:11" x14ac:dyDescent="0.2">
      <c r="C446" t="s">
        <v>1187</v>
      </c>
      <c r="D446" t="b">
        <f t="shared" ca="1" si="21"/>
        <v>1</v>
      </c>
      <c r="E446" s="5">
        <f t="shared" si="22"/>
        <v>0</v>
      </c>
      <c r="F446" s="4">
        <v>44762</v>
      </c>
      <c r="G446" s="4">
        <v>44762</v>
      </c>
      <c r="H446" s="4">
        <v>44762</v>
      </c>
      <c r="I446" s="4"/>
      <c r="J446" s="5">
        <f t="shared" si="20"/>
        <v>0</v>
      </c>
      <c r="K446" s="5">
        <f t="shared" si="20"/>
        <v>0</v>
      </c>
    </row>
    <row r="447" spans="3:11" x14ac:dyDescent="0.2">
      <c r="C447" t="s">
        <v>1186</v>
      </c>
      <c r="D447" t="b">
        <f t="shared" ca="1" si="21"/>
        <v>1</v>
      </c>
      <c r="E447" s="5">
        <f t="shared" si="22"/>
        <v>0</v>
      </c>
      <c r="F447">
        <v>15</v>
      </c>
      <c r="G447">
        <v>15</v>
      </c>
      <c r="H447">
        <v>15</v>
      </c>
      <c r="J447" s="5">
        <f t="shared" si="20"/>
        <v>0</v>
      </c>
      <c r="K447" s="5">
        <f t="shared" si="20"/>
        <v>0</v>
      </c>
    </row>
    <row r="448" spans="3:11" x14ac:dyDescent="0.2">
      <c r="C448" t="s">
        <v>1185</v>
      </c>
      <c r="D448" t="b">
        <f t="shared" ca="1" si="21"/>
        <v>1</v>
      </c>
      <c r="E448" s="5">
        <f t="shared" si="22"/>
        <v>0</v>
      </c>
      <c r="F448">
        <v>34.774999999999999</v>
      </c>
      <c r="G448">
        <v>34.774999999999999</v>
      </c>
      <c r="H448">
        <v>34.774999999999999</v>
      </c>
      <c r="J448" s="5">
        <f t="shared" si="20"/>
        <v>0</v>
      </c>
      <c r="K448" s="5">
        <f t="shared" si="20"/>
        <v>0</v>
      </c>
    </row>
    <row r="449" spans="3:11" x14ac:dyDescent="0.2">
      <c r="C449" t="s">
        <v>1184</v>
      </c>
      <c r="D449" t="b">
        <f t="shared" ca="1" si="21"/>
        <v>1</v>
      </c>
      <c r="E449" s="5">
        <f t="shared" si="22"/>
        <v>0</v>
      </c>
      <c r="F449" s="4">
        <v>44762</v>
      </c>
      <c r="G449" s="4">
        <v>44762</v>
      </c>
      <c r="H449" s="4">
        <v>44762</v>
      </c>
      <c r="I449" s="4"/>
      <c r="J449" s="5">
        <f t="shared" si="20"/>
        <v>0</v>
      </c>
      <c r="K449" s="5">
        <f t="shared" si="20"/>
        <v>0</v>
      </c>
    </row>
    <row r="450" spans="3:11" x14ac:dyDescent="0.2">
      <c r="C450" t="s">
        <v>1183</v>
      </c>
      <c r="D450" t="b">
        <f t="shared" ca="1" si="21"/>
        <v>1</v>
      </c>
      <c r="E450" s="5">
        <f t="shared" si="22"/>
        <v>0</v>
      </c>
      <c r="F450">
        <v>15</v>
      </c>
      <c r="G450">
        <v>15</v>
      </c>
      <c r="H450">
        <v>15</v>
      </c>
      <c r="J450" s="5">
        <f t="shared" si="20"/>
        <v>0</v>
      </c>
      <c r="K450" s="5">
        <f t="shared" si="20"/>
        <v>0</v>
      </c>
    </row>
    <row r="451" spans="3:11" x14ac:dyDescent="0.2">
      <c r="C451" t="s">
        <v>1182</v>
      </c>
      <c r="D451" t="b">
        <f t="shared" ca="1" si="21"/>
        <v>1</v>
      </c>
      <c r="E451" s="5">
        <f t="shared" si="22"/>
        <v>0</v>
      </c>
      <c r="F451">
        <v>2.1867899999999999E-2</v>
      </c>
      <c r="G451">
        <v>2.1867899999999999E-2</v>
      </c>
      <c r="H451">
        <v>2.1867899999999999E-2</v>
      </c>
      <c r="J451" s="5">
        <f t="shared" si="20"/>
        <v>0</v>
      </c>
      <c r="K451" s="5">
        <f t="shared" si="20"/>
        <v>0</v>
      </c>
    </row>
    <row r="452" spans="3:11" x14ac:dyDescent="0.2">
      <c r="C452" t="s">
        <v>1181</v>
      </c>
      <c r="D452" t="b">
        <f t="shared" ca="1" si="21"/>
        <v>1</v>
      </c>
      <c r="E452" s="5">
        <f t="shared" si="22"/>
        <v>0</v>
      </c>
      <c r="F452" s="4">
        <v>44836</v>
      </c>
      <c r="G452" s="4">
        <v>44836</v>
      </c>
      <c r="H452" s="4">
        <v>44836</v>
      </c>
      <c r="I452" s="4"/>
      <c r="J452" s="5">
        <f t="shared" si="20"/>
        <v>0</v>
      </c>
      <c r="K452" s="5">
        <f t="shared" si="20"/>
        <v>0</v>
      </c>
    </row>
    <row r="453" spans="3:11" x14ac:dyDescent="0.2">
      <c r="C453" t="s">
        <v>1180</v>
      </c>
      <c r="D453" t="b">
        <f t="shared" ca="1" si="21"/>
        <v>1</v>
      </c>
      <c r="E453" s="5">
        <f t="shared" si="22"/>
        <v>0</v>
      </c>
      <c r="F453">
        <v>9</v>
      </c>
      <c r="G453">
        <v>9</v>
      </c>
      <c r="H453">
        <v>9</v>
      </c>
      <c r="J453" s="5">
        <f t="shared" si="20"/>
        <v>0</v>
      </c>
      <c r="K453" s="5">
        <f t="shared" si="20"/>
        <v>0</v>
      </c>
    </row>
    <row r="454" spans="3:11" x14ac:dyDescent="0.2">
      <c r="C454" t="s">
        <v>1179</v>
      </c>
      <c r="D454" t="b">
        <f t="shared" ca="1" si="21"/>
        <v>1</v>
      </c>
      <c r="E454" s="5">
        <f t="shared" si="22"/>
        <v>0</v>
      </c>
      <c r="F454">
        <v>12572.9</v>
      </c>
      <c r="G454">
        <v>12572.9</v>
      </c>
      <c r="H454">
        <v>12572.9</v>
      </c>
      <c r="J454" s="5">
        <f t="shared" si="20"/>
        <v>0</v>
      </c>
      <c r="K454" s="5">
        <f t="shared" si="20"/>
        <v>0</v>
      </c>
    </row>
    <row r="455" spans="3:11" x14ac:dyDescent="0.2">
      <c r="C455" t="s">
        <v>1178</v>
      </c>
      <c r="D455" t="b">
        <f t="shared" ca="1" si="21"/>
        <v>1</v>
      </c>
      <c r="E455" s="5">
        <f t="shared" si="22"/>
        <v>0</v>
      </c>
      <c r="F455" s="4">
        <v>44762</v>
      </c>
      <c r="G455" s="4">
        <v>44762</v>
      </c>
      <c r="H455" s="4">
        <v>44762</v>
      </c>
      <c r="I455" s="4"/>
      <c r="J455" s="5">
        <f t="shared" ref="J455:K518" si="23">ABS(F455-G455)/ABS(F455)</f>
        <v>0</v>
      </c>
      <c r="K455" s="5">
        <f t="shared" si="23"/>
        <v>0</v>
      </c>
    </row>
    <row r="456" spans="3:11" x14ac:dyDescent="0.2">
      <c r="C456" t="s">
        <v>1177</v>
      </c>
      <c r="D456" t="b">
        <f t="shared" ca="1" si="21"/>
        <v>1</v>
      </c>
      <c r="E456" s="5">
        <f t="shared" si="22"/>
        <v>0</v>
      </c>
      <c r="F456">
        <v>15</v>
      </c>
      <c r="G456">
        <v>15</v>
      </c>
      <c r="H456">
        <v>15</v>
      </c>
      <c r="J456" s="5">
        <f t="shared" si="23"/>
        <v>0</v>
      </c>
      <c r="K456" s="5">
        <f t="shared" si="23"/>
        <v>0</v>
      </c>
    </row>
    <row r="457" spans="3:11" x14ac:dyDescent="0.2">
      <c r="C457" t="s">
        <v>1176</v>
      </c>
      <c r="D457" t="b">
        <f t="shared" ca="1" si="21"/>
        <v>1</v>
      </c>
      <c r="E457" s="5">
        <f t="shared" si="22"/>
        <v>0</v>
      </c>
      <c r="F457">
        <v>23130.2</v>
      </c>
      <c r="G457">
        <v>23130.2</v>
      </c>
      <c r="H457">
        <v>23130.2</v>
      </c>
      <c r="J457" s="5">
        <f t="shared" si="23"/>
        <v>0</v>
      </c>
      <c r="K457" s="5">
        <f t="shared" si="23"/>
        <v>0</v>
      </c>
    </row>
    <row r="458" spans="3:11" x14ac:dyDescent="0.2">
      <c r="C458" t="s">
        <v>1175</v>
      </c>
      <c r="D458" t="b">
        <f t="shared" ca="1" si="21"/>
        <v>1</v>
      </c>
      <c r="E458" s="5">
        <f t="shared" si="22"/>
        <v>0</v>
      </c>
      <c r="F458" s="4">
        <v>44753</v>
      </c>
      <c r="G458" s="4">
        <v>44753</v>
      </c>
      <c r="H458" s="4">
        <v>44753</v>
      </c>
      <c r="I458" s="4"/>
      <c r="J458" s="5">
        <f t="shared" si="23"/>
        <v>0</v>
      </c>
      <c r="K458" s="5">
        <f t="shared" si="23"/>
        <v>0</v>
      </c>
    </row>
    <row r="459" spans="3:11" x14ac:dyDescent="0.2">
      <c r="C459" t="s">
        <v>1174</v>
      </c>
      <c r="D459" t="b">
        <f t="shared" ca="1" si="21"/>
        <v>1</v>
      </c>
      <c r="E459" s="5">
        <f t="shared" si="22"/>
        <v>0</v>
      </c>
      <c r="F459">
        <v>16</v>
      </c>
      <c r="G459">
        <v>16</v>
      </c>
      <c r="H459">
        <v>16</v>
      </c>
      <c r="J459" s="5">
        <f t="shared" si="23"/>
        <v>0</v>
      </c>
      <c r="K459" s="5">
        <f t="shared" si="23"/>
        <v>0</v>
      </c>
    </row>
    <row r="460" spans="3:11" x14ac:dyDescent="0.2">
      <c r="C460" t="s">
        <v>1173</v>
      </c>
      <c r="D460" t="b">
        <f t="shared" ca="1" si="21"/>
        <v>1</v>
      </c>
      <c r="E460" s="5">
        <f t="shared" si="22"/>
        <v>1.2001920307292822E-5</v>
      </c>
      <c r="F460">
        <v>16664</v>
      </c>
      <c r="G460">
        <v>16663.8</v>
      </c>
      <c r="H460">
        <v>16663.8</v>
      </c>
      <c r="J460" s="5">
        <f t="shared" si="23"/>
        <v>1.2001920307292822E-5</v>
      </c>
      <c r="K460" s="5">
        <f t="shared" si="23"/>
        <v>0</v>
      </c>
    </row>
    <row r="461" spans="3:11" x14ac:dyDescent="0.2">
      <c r="C461" t="s">
        <v>1172</v>
      </c>
      <c r="D461" t="b">
        <f t="shared" ca="1" si="21"/>
        <v>1</v>
      </c>
      <c r="E461" s="5">
        <f t="shared" si="22"/>
        <v>0</v>
      </c>
      <c r="F461" s="4">
        <v>44777</v>
      </c>
      <c r="G461" s="4">
        <v>44777</v>
      </c>
      <c r="H461" s="4">
        <v>44777</v>
      </c>
      <c r="I461" s="4"/>
      <c r="J461" s="5">
        <f t="shared" si="23"/>
        <v>0</v>
      </c>
      <c r="K461" s="5">
        <f t="shared" si="23"/>
        <v>0</v>
      </c>
    </row>
    <row r="462" spans="3:11" x14ac:dyDescent="0.2">
      <c r="C462" t="s">
        <v>1171</v>
      </c>
      <c r="D462" t="b">
        <f t="shared" ca="1" si="21"/>
        <v>1</v>
      </c>
      <c r="E462" s="5">
        <f t="shared" si="22"/>
        <v>0</v>
      </c>
      <c r="F462">
        <v>15</v>
      </c>
      <c r="G462">
        <v>15</v>
      </c>
      <c r="H462">
        <v>15</v>
      </c>
      <c r="J462" s="5">
        <f t="shared" si="23"/>
        <v>0</v>
      </c>
      <c r="K462" s="5">
        <f t="shared" si="23"/>
        <v>0</v>
      </c>
    </row>
    <row r="463" spans="3:11" x14ac:dyDescent="0.2">
      <c r="C463" t="s">
        <v>1170</v>
      </c>
      <c r="D463" t="b">
        <f t="shared" ca="1" si="21"/>
        <v>1</v>
      </c>
      <c r="E463" s="5">
        <f t="shared" si="22"/>
        <v>0</v>
      </c>
      <c r="F463">
        <v>37377.4</v>
      </c>
      <c r="G463">
        <v>37377.4</v>
      </c>
      <c r="H463">
        <v>37377.4</v>
      </c>
      <c r="J463" s="5">
        <f t="shared" si="23"/>
        <v>0</v>
      </c>
      <c r="K463" s="5">
        <f t="shared" si="23"/>
        <v>0</v>
      </c>
    </row>
    <row r="464" spans="3:11" x14ac:dyDescent="0.2">
      <c r="C464" t="s">
        <v>1169</v>
      </c>
      <c r="D464" t="b">
        <f t="shared" ca="1" si="21"/>
        <v>1</v>
      </c>
      <c r="E464" s="5">
        <f t="shared" si="22"/>
        <v>0</v>
      </c>
      <c r="F464" s="4">
        <v>44821</v>
      </c>
      <c r="G464" s="4">
        <v>44821</v>
      </c>
      <c r="H464" s="4">
        <v>44821</v>
      </c>
      <c r="I464" s="4"/>
      <c r="J464" s="5">
        <f t="shared" si="23"/>
        <v>0</v>
      </c>
      <c r="K464" s="5">
        <f t="shared" si="23"/>
        <v>0</v>
      </c>
    </row>
    <row r="465" spans="3:11" x14ac:dyDescent="0.2">
      <c r="C465" t="s">
        <v>1168</v>
      </c>
      <c r="D465" t="b">
        <f t="shared" ca="1" si="21"/>
        <v>1</v>
      </c>
      <c r="E465" s="5">
        <f t="shared" si="22"/>
        <v>0</v>
      </c>
      <c r="F465">
        <v>15</v>
      </c>
      <c r="G465">
        <v>15</v>
      </c>
      <c r="H465">
        <v>15</v>
      </c>
      <c r="J465" s="5">
        <f t="shared" si="23"/>
        <v>0</v>
      </c>
      <c r="K465" s="5">
        <f t="shared" si="23"/>
        <v>0</v>
      </c>
    </row>
    <row r="466" spans="3:11" x14ac:dyDescent="0.2">
      <c r="C466" t="s">
        <v>1167</v>
      </c>
      <c r="D466" t="b">
        <f t="shared" ref="D466:D529" ca="1" si="24">IF(CELL("format",F466)="G",IF(ABS(F466-G466) &lt;= ABS(F466*B$3),TRUE,FALSE),IF(F466=G466,TRUE,FALSE))</f>
        <v>1</v>
      </c>
      <c r="E466" s="5">
        <f t="shared" ref="E466:E529" si="25">ABS(F466-G466)/ABS(F466)</f>
        <v>0</v>
      </c>
      <c r="F466">
        <v>12990.4</v>
      </c>
      <c r="G466">
        <v>12990.4</v>
      </c>
      <c r="H466">
        <v>12990.4</v>
      </c>
      <c r="J466" s="5">
        <f t="shared" si="23"/>
        <v>0</v>
      </c>
      <c r="K466" s="5">
        <f t="shared" si="23"/>
        <v>0</v>
      </c>
    </row>
    <row r="467" spans="3:11" x14ac:dyDescent="0.2">
      <c r="C467" t="s">
        <v>1166</v>
      </c>
      <c r="D467" t="b">
        <f t="shared" ca="1" si="24"/>
        <v>1</v>
      </c>
      <c r="E467" s="5">
        <f t="shared" si="25"/>
        <v>0</v>
      </c>
      <c r="F467" s="4">
        <v>44762</v>
      </c>
      <c r="G467" s="4">
        <v>44762</v>
      </c>
      <c r="H467" s="4">
        <v>44762</v>
      </c>
      <c r="I467" s="4"/>
      <c r="J467" s="5">
        <f t="shared" si="23"/>
        <v>0</v>
      </c>
      <c r="K467" s="5">
        <f t="shared" si="23"/>
        <v>0</v>
      </c>
    </row>
    <row r="468" spans="3:11" x14ac:dyDescent="0.2">
      <c r="C468" t="s">
        <v>1165</v>
      </c>
      <c r="D468" t="b">
        <f t="shared" ca="1" si="24"/>
        <v>1</v>
      </c>
      <c r="E468" s="5">
        <f t="shared" si="25"/>
        <v>0</v>
      </c>
      <c r="F468">
        <v>15</v>
      </c>
      <c r="G468">
        <v>15</v>
      </c>
      <c r="H468">
        <v>15</v>
      </c>
      <c r="J468" s="5">
        <f t="shared" si="23"/>
        <v>0</v>
      </c>
      <c r="K468" s="5">
        <f t="shared" si="23"/>
        <v>0</v>
      </c>
    </row>
    <row r="469" spans="3:11" x14ac:dyDescent="0.2">
      <c r="C469" t="s">
        <v>1164</v>
      </c>
      <c r="D469" t="b">
        <f t="shared" ca="1" si="24"/>
        <v>1</v>
      </c>
      <c r="E469" s="5">
        <f t="shared" si="25"/>
        <v>0</v>
      </c>
      <c r="F469">
        <v>31510.9</v>
      </c>
      <c r="G469">
        <v>31510.9</v>
      </c>
      <c r="H469">
        <v>31510.9</v>
      </c>
      <c r="J469" s="5">
        <f t="shared" si="23"/>
        <v>0</v>
      </c>
      <c r="K469" s="5">
        <f t="shared" si="23"/>
        <v>0</v>
      </c>
    </row>
    <row r="470" spans="3:11" x14ac:dyDescent="0.2">
      <c r="C470" t="s">
        <v>1163</v>
      </c>
      <c r="D470" t="b">
        <f t="shared" ca="1" si="24"/>
        <v>1</v>
      </c>
      <c r="E470" s="5">
        <f t="shared" si="25"/>
        <v>0</v>
      </c>
      <c r="F470" s="4">
        <v>44675</v>
      </c>
      <c r="G470" s="4">
        <v>44675</v>
      </c>
      <c r="H470" s="4">
        <v>44675</v>
      </c>
      <c r="I470" s="4"/>
      <c r="J470" s="5">
        <f t="shared" si="23"/>
        <v>0</v>
      </c>
      <c r="K470" s="5">
        <f t="shared" si="23"/>
        <v>0</v>
      </c>
    </row>
    <row r="471" spans="3:11" x14ac:dyDescent="0.2">
      <c r="C471" t="s">
        <v>1162</v>
      </c>
      <c r="D471" t="b">
        <f t="shared" ca="1" si="24"/>
        <v>1</v>
      </c>
      <c r="E471" s="5">
        <f t="shared" si="25"/>
        <v>0</v>
      </c>
      <c r="F471">
        <v>16</v>
      </c>
      <c r="G471">
        <v>16</v>
      </c>
      <c r="H471">
        <v>16</v>
      </c>
      <c r="J471" s="5">
        <f t="shared" si="23"/>
        <v>0</v>
      </c>
      <c r="K471" s="5">
        <f t="shared" si="23"/>
        <v>0</v>
      </c>
    </row>
    <row r="472" spans="3:11" x14ac:dyDescent="0.2">
      <c r="C472" t="s">
        <v>1161</v>
      </c>
      <c r="D472" t="b">
        <f t="shared" ca="1" si="24"/>
        <v>1</v>
      </c>
      <c r="E472" s="5">
        <f t="shared" si="25"/>
        <v>0</v>
      </c>
      <c r="F472">
        <v>22783.200000000001</v>
      </c>
      <c r="G472">
        <v>22783.200000000001</v>
      </c>
      <c r="H472">
        <v>22783.200000000001</v>
      </c>
      <c r="J472" s="5">
        <f t="shared" si="23"/>
        <v>0</v>
      </c>
      <c r="K472" s="5">
        <f t="shared" si="23"/>
        <v>0</v>
      </c>
    </row>
    <row r="473" spans="3:11" x14ac:dyDescent="0.2">
      <c r="C473" t="s">
        <v>1160</v>
      </c>
      <c r="D473" t="b">
        <f t="shared" ca="1" si="24"/>
        <v>1</v>
      </c>
      <c r="E473" s="5">
        <f t="shared" si="25"/>
        <v>0</v>
      </c>
      <c r="F473" s="4">
        <v>44836</v>
      </c>
      <c r="G473" s="4">
        <v>44836</v>
      </c>
      <c r="H473" s="4">
        <v>44836</v>
      </c>
      <c r="I473" s="4"/>
      <c r="J473" s="5">
        <f t="shared" si="23"/>
        <v>0</v>
      </c>
      <c r="K473" s="5">
        <f t="shared" si="23"/>
        <v>0</v>
      </c>
    </row>
    <row r="474" spans="3:11" x14ac:dyDescent="0.2">
      <c r="C474" t="s">
        <v>1159</v>
      </c>
      <c r="D474" t="b">
        <f t="shared" ca="1" si="24"/>
        <v>1</v>
      </c>
      <c r="E474" s="5">
        <f t="shared" si="25"/>
        <v>0</v>
      </c>
      <c r="F474">
        <v>10</v>
      </c>
      <c r="G474">
        <v>10</v>
      </c>
      <c r="H474">
        <v>10</v>
      </c>
      <c r="J474" s="5">
        <f t="shared" si="23"/>
        <v>0</v>
      </c>
      <c r="K474" s="5">
        <f t="shared" si="23"/>
        <v>0</v>
      </c>
    </row>
    <row r="475" spans="3:11" x14ac:dyDescent="0.2">
      <c r="C475" t="s">
        <v>1158</v>
      </c>
      <c r="D475" t="b">
        <f t="shared" ca="1" si="24"/>
        <v>1</v>
      </c>
      <c r="E475" s="5">
        <f t="shared" si="25"/>
        <v>0</v>
      </c>
      <c r="F475">
        <v>40101.199999999997</v>
      </c>
      <c r="G475">
        <v>40101.199999999997</v>
      </c>
      <c r="H475">
        <v>40101.199999999997</v>
      </c>
      <c r="J475" s="5">
        <f t="shared" si="23"/>
        <v>0</v>
      </c>
      <c r="K475" s="5">
        <f t="shared" si="23"/>
        <v>0</v>
      </c>
    </row>
    <row r="476" spans="3:11" x14ac:dyDescent="0.2">
      <c r="C476" t="s">
        <v>1157</v>
      </c>
      <c r="D476" t="b">
        <f t="shared" ca="1" si="24"/>
        <v>1</v>
      </c>
      <c r="E476" s="5">
        <f t="shared" si="25"/>
        <v>0</v>
      </c>
      <c r="F476" s="4">
        <v>44836</v>
      </c>
      <c r="G476" s="4">
        <v>44836</v>
      </c>
      <c r="H476" s="4">
        <v>44836</v>
      </c>
      <c r="I476" s="4"/>
      <c r="J476" s="5">
        <f t="shared" si="23"/>
        <v>0</v>
      </c>
      <c r="K476" s="5">
        <f t="shared" si="23"/>
        <v>0</v>
      </c>
    </row>
    <row r="477" spans="3:11" x14ac:dyDescent="0.2">
      <c r="C477" t="s">
        <v>1156</v>
      </c>
      <c r="D477" t="b">
        <f t="shared" ca="1" si="24"/>
        <v>1</v>
      </c>
      <c r="E477" s="5">
        <f t="shared" si="25"/>
        <v>0</v>
      </c>
      <c r="F477">
        <v>10</v>
      </c>
      <c r="G477">
        <v>10</v>
      </c>
      <c r="H477">
        <v>10</v>
      </c>
      <c r="J477" s="5">
        <f t="shared" si="23"/>
        <v>0</v>
      </c>
      <c r="K477" s="5">
        <f t="shared" si="23"/>
        <v>0</v>
      </c>
    </row>
    <row r="478" spans="3:11" x14ac:dyDescent="0.2">
      <c r="C478" t="s">
        <v>1155</v>
      </c>
      <c r="D478" t="b">
        <f t="shared" ca="1" si="24"/>
        <v>1</v>
      </c>
      <c r="E478" s="5">
        <f t="shared" si="25"/>
        <v>0</v>
      </c>
      <c r="F478">
        <v>13358.2</v>
      </c>
      <c r="G478">
        <v>13358.2</v>
      </c>
      <c r="H478">
        <v>13358.2</v>
      </c>
      <c r="J478" s="5">
        <f t="shared" si="23"/>
        <v>0</v>
      </c>
      <c r="K478" s="5">
        <f t="shared" si="23"/>
        <v>0</v>
      </c>
    </row>
    <row r="479" spans="3:11" x14ac:dyDescent="0.2">
      <c r="C479" t="s">
        <v>1154</v>
      </c>
      <c r="D479" t="b">
        <f t="shared" ca="1" si="24"/>
        <v>1</v>
      </c>
      <c r="E479" s="5">
        <f t="shared" si="25"/>
        <v>0</v>
      </c>
      <c r="F479" s="4">
        <v>44762</v>
      </c>
      <c r="G479" s="4">
        <v>44762</v>
      </c>
      <c r="H479" s="4">
        <v>44762</v>
      </c>
      <c r="I479" s="4"/>
      <c r="J479" s="5">
        <f t="shared" si="23"/>
        <v>0</v>
      </c>
      <c r="K479" s="5">
        <f t="shared" si="23"/>
        <v>0</v>
      </c>
    </row>
    <row r="480" spans="3:11" x14ac:dyDescent="0.2">
      <c r="C480" t="s">
        <v>1153</v>
      </c>
      <c r="D480" t="b">
        <f t="shared" ca="1" si="24"/>
        <v>1</v>
      </c>
      <c r="E480" s="5">
        <f t="shared" si="25"/>
        <v>0</v>
      </c>
      <c r="F480">
        <v>15</v>
      </c>
      <c r="G480">
        <v>15</v>
      </c>
      <c r="H480">
        <v>15</v>
      </c>
      <c r="J480" s="5">
        <f t="shared" si="23"/>
        <v>0</v>
      </c>
      <c r="K480" s="5">
        <f t="shared" si="23"/>
        <v>0</v>
      </c>
    </row>
    <row r="481" spans="3:11" x14ac:dyDescent="0.2">
      <c r="C481" t="s">
        <v>1152</v>
      </c>
      <c r="D481" t="b">
        <f t="shared" ca="1" si="24"/>
        <v>1</v>
      </c>
      <c r="E481" s="5">
        <f t="shared" si="25"/>
        <v>0</v>
      </c>
      <c r="F481">
        <v>34588.6</v>
      </c>
      <c r="G481">
        <v>34588.6</v>
      </c>
      <c r="H481">
        <v>34588.6</v>
      </c>
      <c r="J481" s="5">
        <f t="shared" si="23"/>
        <v>0</v>
      </c>
      <c r="K481" s="5">
        <f t="shared" si="23"/>
        <v>0</v>
      </c>
    </row>
    <row r="482" spans="3:11" x14ac:dyDescent="0.2">
      <c r="C482" t="s">
        <v>1151</v>
      </c>
      <c r="D482" t="b">
        <f t="shared" ca="1" si="24"/>
        <v>1</v>
      </c>
      <c r="E482" s="5">
        <f t="shared" si="25"/>
        <v>0</v>
      </c>
      <c r="F482" s="4">
        <v>44726</v>
      </c>
      <c r="G482" s="4">
        <v>44726</v>
      </c>
      <c r="H482" s="4">
        <v>44726</v>
      </c>
      <c r="I482" s="4"/>
      <c r="J482" s="5">
        <f t="shared" si="23"/>
        <v>0</v>
      </c>
      <c r="K482" s="5">
        <f t="shared" si="23"/>
        <v>0</v>
      </c>
    </row>
    <row r="483" spans="3:11" x14ac:dyDescent="0.2">
      <c r="C483" t="s">
        <v>1150</v>
      </c>
      <c r="D483" t="b">
        <f t="shared" ca="1" si="24"/>
        <v>1</v>
      </c>
      <c r="E483" s="5">
        <f t="shared" si="25"/>
        <v>0</v>
      </c>
      <c r="F483">
        <v>14</v>
      </c>
      <c r="G483">
        <v>14</v>
      </c>
      <c r="H483">
        <v>14</v>
      </c>
      <c r="J483" s="5">
        <f t="shared" si="23"/>
        <v>0</v>
      </c>
      <c r="K483" s="5">
        <f t="shared" si="23"/>
        <v>0</v>
      </c>
    </row>
    <row r="484" spans="3:11" x14ac:dyDescent="0.2">
      <c r="C484" t="s">
        <v>1149</v>
      </c>
      <c r="D484" t="b">
        <f t="shared" ca="1" si="24"/>
        <v>1</v>
      </c>
      <c r="E484" s="5">
        <f t="shared" si="25"/>
        <v>0</v>
      </c>
      <c r="F484">
        <v>27609.7</v>
      </c>
      <c r="G484">
        <v>27609.7</v>
      </c>
      <c r="H484">
        <v>27609.7</v>
      </c>
      <c r="J484" s="5">
        <f t="shared" si="23"/>
        <v>0</v>
      </c>
      <c r="K484" s="5">
        <f t="shared" si="23"/>
        <v>0</v>
      </c>
    </row>
    <row r="485" spans="3:11" x14ac:dyDescent="0.2">
      <c r="C485" t="s">
        <v>1148</v>
      </c>
      <c r="D485" t="b">
        <f t="shared" ca="1" si="24"/>
        <v>1</v>
      </c>
      <c r="E485" s="5">
        <f t="shared" si="25"/>
        <v>0</v>
      </c>
      <c r="F485" s="4">
        <v>44822</v>
      </c>
      <c r="G485" s="4">
        <v>44822</v>
      </c>
      <c r="H485" s="4">
        <v>44822</v>
      </c>
      <c r="I485" s="4"/>
      <c r="J485" s="5">
        <f t="shared" si="23"/>
        <v>0</v>
      </c>
      <c r="K485" s="5">
        <f t="shared" si="23"/>
        <v>0</v>
      </c>
    </row>
    <row r="486" spans="3:11" x14ac:dyDescent="0.2">
      <c r="C486" t="s">
        <v>1147</v>
      </c>
      <c r="D486" t="b">
        <f t="shared" ca="1" si="24"/>
        <v>1</v>
      </c>
      <c r="E486" s="5">
        <f t="shared" si="25"/>
        <v>0</v>
      </c>
      <c r="F486">
        <v>16</v>
      </c>
      <c r="G486">
        <v>16</v>
      </c>
      <c r="H486">
        <v>16</v>
      </c>
      <c r="J486" s="5">
        <f t="shared" si="23"/>
        <v>0</v>
      </c>
      <c r="K486" s="5">
        <f t="shared" si="23"/>
        <v>0</v>
      </c>
    </row>
    <row r="487" spans="3:11" x14ac:dyDescent="0.2">
      <c r="C487" t="s">
        <v>1146</v>
      </c>
      <c r="D487" t="b">
        <f t="shared" ca="1" si="24"/>
        <v>1</v>
      </c>
      <c r="E487" s="5">
        <f t="shared" si="25"/>
        <v>0</v>
      </c>
      <c r="F487">
        <v>43602.8</v>
      </c>
      <c r="G487">
        <v>43602.8</v>
      </c>
      <c r="H487">
        <v>43602.8</v>
      </c>
      <c r="J487" s="5">
        <f t="shared" si="23"/>
        <v>0</v>
      </c>
      <c r="K487" s="5">
        <f t="shared" si="23"/>
        <v>0</v>
      </c>
    </row>
    <row r="488" spans="3:11" x14ac:dyDescent="0.2">
      <c r="C488" t="s">
        <v>1145</v>
      </c>
      <c r="D488" t="b">
        <f t="shared" ca="1" si="24"/>
        <v>1</v>
      </c>
      <c r="E488" s="5">
        <f t="shared" si="25"/>
        <v>0</v>
      </c>
      <c r="F488" s="4">
        <v>44836</v>
      </c>
      <c r="G488" s="4">
        <v>44836</v>
      </c>
      <c r="H488" s="4">
        <v>44836</v>
      </c>
      <c r="I488" s="4"/>
      <c r="J488" s="5">
        <f t="shared" si="23"/>
        <v>0</v>
      </c>
      <c r="K488" s="5">
        <f t="shared" si="23"/>
        <v>0</v>
      </c>
    </row>
    <row r="489" spans="3:11" x14ac:dyDescent="0.2">
      <c r="C489" t="s">
        <v>1144</v>
      </c>
      <c r="D489" t="b">
        <f t="shared" ca="1" si="24"/>
        <v>1</v>
      </c>
      <c r="E489" s="5">
        <f t="shared" si="25"/>
        <v>0</v>
      </c>
      <c r="F489">
        <v>9</v>
      </c>
      <c r="G489">
        <v>9</v>
      </c>
      <c r="H489">
        <v>9</v>
      </c>
      <c r="J489" s="5">
        <f t="shared" si="23"/>
        <v>0</v>
      </c>
      <c r="K489" s="5">
        <f t="shared" si="23"/>
        <v>0</v>
      </c>
    </row>
    <row r="490" spans="3:11" x14ac:dyDescent="0.2">
      <c r="C490" t="s">
        <v>1143</v>
      </c>
      <c r="D490" t="b">
        <f t="shared" ca="1" si="24"/>
        <v>1</v>
      </c>
      <c r="E490" s="5">
        <f t="shared" si="25"/>
        <v>0</v>
      </c>
      <c r="F490">
        <v>13176.7</v>
      </c>
      <c r="G490">
        <v>13176.7</v>
      </c>
      <c r="H490">
        <v>13176.7</v>
      </c>
      <c r="J490" s="5">
        <f t="shared" si="23"/>
        <v>0</v>
      </c>
      <c r="K490" s="5">
        <f t="shared" si="23"/>
        <v>0</v>
      </c>
    </row>
    <row r="491" spans="3:11" x14ac:dyDescent="0.2">
      <c r="C491" t="s">
        <v>1142</v>
      </c>
      <c r="D491" t="b">
        <f t="shared" ca="1" si="24"/>
        <v>1</v>
      </c>
      <c r="E491" s="5">
        <f t="shared" si="25"/>
        <v>0</v>
      </c>
      <c r="F491" s="4">
        <v>44762</v>
      </c>
      <c r="G491" s="4">
        <v>44762</v>
      </c>
      <c r="H491" s="4">
        <v>44762</v>
      </c>
      <c r="I491" s="4"/>
      <c r="J491" s="5">
        <f t="shared" si="23"/>
        <v>0</v>
      </c>
      <c r="K491" s="5">
        <f t="shared" si="23"/>
        <v>0</v>
      </c>
    </row>
    <row r="492" spans="3:11" x14ac:dyDescent="0.2">
      <c r="C492" t="s">
        <v>1141</v>
      </c>
      <c r="D492" t="b">
        <f t="shared" ca="1" si="24"/>
        <v>1</v>
      </c>
      <c r="E492" s="5">
        <f t="shared" si="25"/>
        <v>0</v>
      </c>
      <c r="F492">
        <v>15</v>
      </c>
      <c r="G492">
        <v>15</v>
      </c>
      <c r="H492">
        <v>15</v>
      </c>
      <c r="J492" s="5">
        <f t="shared" si="23"/>
        <v>0</v>
      </c>
      <c r="K492" s="5">
        <f t="shared" si="23"/>
        <v>0</v>
      </c>
    </row>
    <row r="493" spans="3:11" x14ac:dyDescent="0.2">
      <c r="C493" t="s">
        <v>1140</v>
      </c>
      <c r="D493" t="b">
        <f t="shared" ca="1" si="24"/>
        <v>1</v>
      </c>
      <c r="E493" s="5">
        <f t="shared" si="25"/>
        <v>0</v>
      </c>
      <c r="F493">
        <v>32733</v>
      </c>
      <c r="G493">
        <v>32733</v>
      </c>
      <c r="H493">
        <v>32733</v>
      </c>
      <c r="J493" s="5">
        <f t="shared" si="23"/>
        <v>0</v>
      </c>
      <c r="K493" s="5">
        <f t="shared" si="23"/>
        <v>0</v>
      </c>
    </row>
    <row r="494" spans="3:11" x14ac:dyDescent="0.2">
      <c r="C494" t="s">
        <v>1139</v>
      </c>
      <c r="D494" t="b">
        <f t="shared" ca="1" si="24"/>
        <v>1</v>
      </c>
      <c r="E494" s="5">
        <f t="shared" si="25"/>
        <v>0</v>
      </c>
      <c r="F494" s="4">
        <v>44675</v>
      </c>
      <c r="G494" s="4">
        <v>44675</v>
      </c>
      <c r="H494" s="4">
        <v>44675</v>
      </c>
      <c r="I494" s="4"/>
      <c r="J494" s="5">
        <f t="shared" si="23"/>
        <v>0</v>
      </c>
      <c r="K494" s="5">
        <f t="shared" si="23"/>
        <v>0</v>
      </c>
    </row>
    <row r="495" spans="3:11" x14ac:dyDescent="0.2">
      <c r="C495" t="s">
        <v>1138</v>
      </c>
      <c r="D495" t="b">
        <f t="shared" ca="1" si="24"/>
        <v>1</v>
      </c>
      <c r="E495" s="5">
        <f t="shared" si="25"/>
        <v>0</v>
      </c>
      <c r="F495">
        <v>15</v>
      </c>
      <c r="G495">
        <v>15</v>
      </c>
      <c r="H495">
        <v>15</v>
      </c>
      <c r="J495" s="5">
        <f t="shared" si="23"/>
        <v>0</v>
      </c>
      <c r="K495" s="5">
        <f t="shared" si="23"/>
        <v>0</v>
      </c>
    </row>
    <row r="496" spans="3:11" x14ac:dyDescent="0.2">
      <c r="C496" t="s">
        <v>1137</v>
      </c>
      <c r="D496" t="b">
        <f t="shared" ca="1" si="24"/>
        <v>1</v>
      </c>
      <c r="E496" s="5">
        <f t="shared" si="25"/>
        <v>0</v>
      </c>
      <c r="F496">
        <v>24471.4</v>
      </c>
      <c r="G496">
        <v>24471.4</v>
      </c>
      <c r="H496">
        <v>24471.4</v>
      </c>
      <c r="J496" s="5">
        <f t="shared" si="23"/>
        <v>0</v>
      </c>
      <c r="K496" s="5">
        <f t="shared" si="23"/>
        <v>0</v>
      </c>
    </row>
    <row r="497" spans="3:11" x14ac:dyDescent="0.2">
      <c r="C497" t="s">
        <v>1136</v>
      </c>
      <c r="D497" t="b">
        <f t="shared" ca="1" si="24"/>
        <v>1</v>
      </c>
      <c r="E497" s="5">
        <f t="shared" si="25"/>
        <v>0</v>
      </c>
      <c r="F497" s="4">
        <v>44836</v>
      </c>
      <c r="G497" s="4">
        <v>44836</v>
      </c>
      <c r="H497" s="4">
        <v>44836</v>
      </c>
      <c r="I497" s="4"/>
      <c r="J497" s="5">
        <f t="shared" si="23"/>
        <v>0</v>
      </c>
      <c r="K497" s="5">
        <f t="shared" si="23"/>
        <v>0</v>
      </c>
    </row>
    <row r="498" spans="3:11" x14ac:dyDescent="0.2">
      <c r="C498" t="s">
        <v>1135</v>
      </c>
      <c r="D498" t="b">
        <f t="shared" ca="1" si="24"/>
        <v>1</v>
      </c>
      <c r="E498" s="5">
        <f t="shared" si="25"/>
        <v>0</v>
      </c>
      <c r="F498">
        <v>10</v>
      </c>
      <c r="G498">
        <v>10</v>
      </c>
      <c r="H498">
        <v>10</v>
      </c>
      <c r="J498" s="5">
        <f t="shared" si="23"/>
        <v>0</v>
      </c>
      <c r="K498" s="5">
        <f t="shared" si="23"/>
        <v>0</v>
      </c>
    </row>
    <row r="499" spans="3:11" x14ac:dyDescent="0.2">
      <c r="C499" t="s">
        <v>1134</v>
      </c>
      <c r="D499" t="b">
        <f t="shared" ca="1" si="24"/>
        <v>1</v>
      </c>
      <c r="E499" s="5">
        <f t="shared" si="25"/>
        <v>0</v>
      </c>
      <c r="F499">
        <v>41613.199999999997</v>
      </c>
      <c r="G499">
        <v>41613.199999999997</v>
      </c>
      <c r="H499">
        <v>41613.199999999997</v>
      </c>
      <c r="J499" s="5">
        <f t="shared" si="23"/>
        <v>0</v>
      </c>
      <c r="K499" s="5">
        <f t="shared" si="23"/>
        <v>0</v>
      </c>
    </row>
    <row r="500" spans="3:11" x14ac:dyDescent="0.2">
      <c r="C500" t="s">
        <v>1133</v>
      </c>
      <c r="D500" t="b">
        <f t="shared" ca="1" si="24"/>
        <v>1</v>
      </c>
      <c r="E500" s="5">
        <f t="shared" si="25"/>
        <v>0</v>
      </c>
      <c r="F500" s="4">
        <v>44836</v>
      </c>
      <c r="G500" s="4">
        <v>44836</v>
      </c>
      <c r="H500" s="4">
        <v>44836</v>
      </c>
      <c r="I500" s="4"/>
      <c r="J500" s="5">
        <f t="shared" si="23"/>
        <v>0</v>
      </c>
      <c r="K500" s="5">
        <f t="shared" si="23"/>
        <v>0</v>
      </c>
    </row>
    <row r="501" spans="3:11" x14ac:dyDescent="0.2">
      <c r="C501" t="s">
        <v>1132</v>
      </c>
      <c r="D501" t="b">
        <f t="shared" ca="1" si="24"/>
        <v>1</v>
      </c>
      <c r="E501" s="5">
        <f t="shared" si="25"/>
        <v>0</v>
      </c>
      <c r="F501">
        <v>10</v>
      </c>
      <c r="G501">
        <v>10</v>
      </c>
      <c r="H501">
        <v>10</v>
      </c>
      <c r="J501" s="5">
        <f t="shared" si="23"/>
        <v>0</v>
      </c>
      <c r="K501" s="5">
        <f t="shared" si="23"/>
        <v>0</v>
      </c>
    </row>
    <row r="502" spans="3:11" x14ac:dyDescent="0.2">
      <c r="C502" t="s">
        <v>1131</v>
      </c>
      <c r="D502" t="b">
        <f t="shared" ca="1" si="24"/>
        <v>1</v>
      </c>
      <c r="E502" s="5">
        <f t="shared" si="25"/>
        <v>0</v>
      </c>
      <c r="F502">
        <v>12008.3</v>
      </c>
      <c r="G502">
        <v>12008.3</v>
      </c>
      <c r="H502">
        <v>12008.3</v>
      </c>
      <c r="J502" s="5">
        <f t="shared" si="23"/>
        <v>0</v>
      </c>
      <c r="K502" s="5">
        <f t="shared" si="23"/>
        <v>0</v>
      </c>
    </row>
    <row r="503" spans="3:11" x14ac:dyDescent="0.2">
      <c r="C503" t="s">
        <v>1130</v>
      </c>
      <c r="D503" t="b">
        <f t="shared" ca="1" si="24"/>
        <v>1</v>
      </c>
      <c r="E503" s="5">
        <f t="shared" si="25"/>
        <v>0</v>
      </c>
      <c r="F503" s="4">
        <v>44762</v>
      </c>
      <c r="G503" s="4">
        <v>44762</v>
      </c>
      <c r="H503" s="4">
        <v>44762</v>
      </c>
      <c r="I503" s="4"/>
      <c r="J503" s="5">
        <f t="shared" si="23"/>
        <v>0</v>
      </c>
      <c r="K503" s="5">
        <f t="shared" si="23"/>
        <v>0</v>
      </c>
    </row>
    <row r="504" spans="3:11" x14ac:dyDescent="0.2">
      <c r="C504" t="s">
        <v>1129</v>
      </c>
      <c r="D504" t="b">
        <f t="shared" ca="1" si="24"/>
        <v>1</v>
      </c>
      <c r="E504" s="5">
        <f t="shared" si="25"/>
        <v>0</v>
      </c>
      <c r="F504">
        <v>15</v>
      </c>
      <c r="G504">
        <v>15</v>
      </c>
      <c r="H504">
        <v>15</v>
      </c>
      <c r="J504" s="5">
        <f t="shared" si="23"/>
        <v>0</v>
      </c>
      <c r="K504" s="5">
        <f t="shared" si="23"/>
        <v>0</v>
      </c>
    </row>
    <row r="505" spans="3:11" x14ac:dyDescent="0.2">
      <c r="C505" t="s">
        <v>1128</v>
      </c>
      <c r="D505" t="b">
        <f t="shared" ca="1" si="24"/>
        <v>1</v>
      </c>
      <c r="E505" s="5">
        <f t="shared" si="25"/>
        <v>0</v>
      </c>
      <c r="F505">
        <v>23460.400000000001</v>
      </c>
      <c r="G505">
        <v>23460.400000000001</v>
      </c>
      <c r="H505">
        <v>23460.400000000001</v>
      </c>
      <c r="J505" s="5">
        <f t="shared" si="23"/>
        <v>0</v>
      </c>
      <c r="K505" s="5">
        <f t="shared" si="23"/>
        <v>0</v>
      </c>
    </row>
    <row r="506" spans="3:11" x14ac:dyDescent="0.2">
      <c r="C506" t="s">
        <v>1127</v>
      </c>
      <c r="D506" t="b">
        <f t="shared" ca="1" si="24"/>
        <v>1</v>
      </c>
      <c r="E506" s="5">
        <f t="shared" si="25"/>
        <v>0</v>
      </c>
      <c r="F506" s="4">
        <v>44762</v>
      </c>
      <c r="G506" s="4">
        <v>44762</v>
      </c>
      <c r="H506" s="4">
        <v>44762</v>
      </c>
      <c r="I506" s="4"/>
      <c r="J506" s="5">
        <f t="shared" si="23"/>
        <v>0</v>
      </c>
      <c r="K506" s="5">
        <f t="shared" si="23"/>
        <v>0</v>
      </c>
    </row>
    <row r="507" spans="3:11" x14ac:dyDescent="0.2">
      <c r="C507" t="s">
        <v>1126</v>
      </c>
      <c r="D507" t="b">
        <f t="shared" ca="1" si="24"/>
        <v>1</v>
      </c>
      <c r="E507" s="5">
        <f t="shared" si="25"/>
        <v>0</v>
      </c>
      <c r="F507">
        <v>15</v>
      </c>
      <c r="G507">
        <v>15</v>
      </c>
      <c r="H507">
        <v>15</v>
      </c>
      <c r="J507" s="5">
        <f t="shared" si="23"/>
        <v>0</v>
      </c>
      <c r="K507" s="5">
        <f t="shared" si="23"/>
        <v>0</v>
      </c>
    </row>
    <row r="508" spans="3:11" x14ac:dyDescent="0.2">
      <c r="C508" t="s">
        <v>1125</v>
      </c>
      <c r="D508" t="b">
        <f t="shared" ca="1" si="24"/>
        <v>1</v>
      </c>
      <c r="E508" s="5">
        <f t="shared" si="25"/>
        <v>0</v>
      </c>
      <c r="F508">
        <v>10627.7</v>
      </c>
      <c r="G508">
        <v>10627.7</v>
      </c>
      <c r="H508">
        <v>10627.7</v>
      </c>
      <c r="J508" s="5">
        <f t="shared" si="23"/>
        <v>0</v>
      </c>
      <c r="K508" s="5">
        <f t="shared" si="23"/>
        <v>0</v>
      </c>
    </row>
    <row r="509" spans="3:11" x14ac:dyDescent="0.2">
      <c r="C509" t="s">
        <v>1124</v>
      </c>
      <c r="D509" t="b">
        <f t="shared" ca="1" si="24"/>
        <v>1</v>
      </c>
      <c r="E509" s="5">
        <f t="shared" si="25"/>
        <v>0</v>
      </c>
      <c r="F509" s="4">
        <v>44752</v>
      </c>
      <c r="G509" s="4">
        <v>44752</v>
      </c>
      <c r="H509" s="4">
        <v>44752</v>
      </c>
      <c r="I509" s="4"/>
      <c r="J509" s="5">
        <f t="shared" si="23"/>
        <v>0</v>
      </c>
      <c r="K509" s="5">
        <f t="shared" si="23"/>
        <v>0</v>
      </c>
    </row>
    <row r="510" spans="3:11" x14ac:dyDescent="0.2">
      <c r="C510" t="s">
        <v>1123</v>
      </c>
      <c r="D510" t="b">
        <f t="shared" ca="1" si="24"/>
        <v>1</v>
      </c>
      <c r="E510" s="5">
        <f t="shared" si="25"/>
        <v>0</v>
      </c>
      <c r="F510">
        <v>13</v>
      </c>
      <c r="G510">
        <v>13</v>
      </c>
      <c r="H510">
        <v>13</v>
      </c>
      <c r="J510" s="5">
        <f t="shared" si="23"/>
        <v>0</v>
      </c>
      <c r="K510" s="5">
        <f t="shared" si="23"/>
        <v>0</v>
      </c>
    </row>
    <row r="511" spans="3:11" x14ac:dyDescent="0.2">
      <c r="C511" t="s">
        <v>1122</v>
      </c>
      <c r="D511" t="b">
        <f t="shared" ca="1" si="24"/>
        <v>1</v>
      </c>
      <c r="E511" s="5">
        <f t="shared" si="25"/>
        <v>0</v>
      </c>
      <c r="F511">
        <v>33102.800000000003</v>
      </c>
      <c r="G511">
        <v>33102.800000000003</v>
      </c>
      <c r="H511">
        <v>33102.800000000003</v>
      </c>
      <c r="J511" s="5">
        <f t="shared" si="23"/>
        <v>0</v>
      </c>
      <c r="K511" s="5">
        <f t="shared" si="23"/>
        <v>0</v>
      </c>
    </row>
    <row r="512" spans="3:11" x14ac:dyDescent="0.2">
      <c r="C512" t="s">
        <v>1121</v>
      </c>
      <c r="D512" t="b">
        <f t="shared" ca="1" si="24"/>
        <v>1</v>
      </c>
      <c r="E512" s="5">
        <f t="shared" si="25"/>
        <v>0</v>
      </c>
      <c r="F512" s="4">
        <v>44762</v>
      </c>
      <c r="G512" s="4">
        <v>44762</v>
      </c>
      <c r="H512" s="4">
        <v>44762</v>
      </c>
      <c r="I512" s="4"/>
      <c r="J512" s="5">
        <f t="shared" si="23"/>
        <v>0</v>
      </c>
      <c r="K512" s="5">
        <f t="shared" si="23"/>
        <v>0</v>
      </c>
    </row>
    <row r="513" spans="3:11" x14ac:dyDescent="0.2">
      <c r="C513" t="s">
        <v>1120</v>
      </c>
      <c r="D513" t="b">
        <f t="shared" ca="1" si="24"/>
        <v>1</v>
      </c>
      <c r="E513" s="5">
        <f t="shared" si="25"/>
        <v>0</v>
      </c>
      <c r="F513">
        <v>15</v>
      </c>
      <c r="G513">
        <v>15</v>
      </c>
      <c r="H513">
        <v>15</v>
      </c>
      <c r="J513" s="5">
        <f t="shared" si="23"/>
        <v>0</v>
      </c>
      <c r="K513" s="5">
        <f t="shared" si="23"/>
        <v>0</v>
      </c>
    </row>
    <row r="514" spans="3:11" x14ac:dyDescent="0.2">
      <c r="C514" t="s">
        <v>1119</v>
      </c>
      <c r="D514" t="b">
        <f t="shared" ca="1" si="24"/>
        <v>1</v>
      </c>
      <c r="E514" s="5">
        <f t="shared" si="25"/>
        <v>0</v>
      </c>
      <c r="F514">
        <v>12778.1</v>
      </c>
      <c r="G514">
        <v>12778.1</v>
      </c>
      <c r="H514">
        <v>12778.1</v>
      </c>
      <c r="J514" s="5">
        <f t="shared" si="23"/>
        <v>0</v>
      </c>
      <c r="K514" s="5">
        <f t="shared" si="23"/>
        <v>0</v>
      </c>
    </row>
    <row r="515" spans="3:11" x14ac:dyDescent="0.2">
      <c r="C515" t="s">
        <v>1118</v>
      </c>
      <c r="D515" t="b">
        <f t="shared" ca="1" si="24"/>
        <v>1</v>
      </c>
      <c r="E515" s="5">
        <f t="shared" si="25"/>
        <v>0</v>
      </c>
      <c r="F515" s="4">
        <v>44762</v>
      </c>
      <c r="G515" s="4">
        <v>44762</v>
      </c>
      <c r="H515" s="4">
        <v>44762</v>
      </c>
      <c r="I515" s="4"/>
      <c r="J515" s="5">
        <f t="shared" si="23"/>
        <v>0</v>
      </c>
      <c r="K515" s="5">
        <f t="shared" si="23"/>
        <v>0</v>
      </c>
    </row>
    <row r="516" spans="3:11" x14ac:dyDescent="0.2">
      <c r="C516" t="s">
        <v>1117</v>
      </c>
      <c r="D516" t="b">
        <f t="shared" ca="1" si="24"/>
        <v>1</v>
      </c>
      <c r="E516" s="5">
        <f t="shared" si="25"/>
        <v>0</v>
      </c>
      <c r="F516">
        <v>15</v>
      </c>
      <c r="G516">
        <v>15</v>
      </c>
      <c r="H516">
        <v>15</v>
      </c>
      <c r="J516" s="5">
        <f t="shared" si="23"/>
        <v>0</v>
      </c>
      <c r="K516" s="5">
        <f t="shared" si="23"/>
        <v>0</v>
      </c>
    </row>
    <row r="517" spans="3:11" x14ac:dyDescent="0.2">
      <c r="C517" t="s">
        <v>1116</v>
      </c>
      <c r="D517" t="b">
        <f t="shared" ca="1" si="24"/>
        <v>1</v>
      </c>
      <c r="E517" s="5">
        <f t="shared" si="25"/>
        <v>0</v>
      </c>
      <c r="F517">
        <v>32382.2</v>
      </c>
      <c r="G517">
        <v>32382.2</v>
      </c>
      <c r="H517">
        <v>32382.2</v>
      </c>
      <c r="J517" s="5">
        <f t="shared" si="23"/>
        <v>0</v>
      </c>
      <c r="K517" s="5">
        <f t="shared" si="23"/>
        <v>0</v>
      </c>
    </row>
    <row r="518" spans="3:11" x14ac:dyDescent="0.2">
      <c r="C518" t="s">
        <v>1115</v>
      </c>
      <c r="D518" t="b">
        <f t="shared" ca="1" si="24"/>
        <v>1</v>
      </c>
      <c r="E518" s="5">
        <f t="shared" si="25"/>
        <v>0</v>
      </c>
      <c r="F518" s="4">
        <v>44675</v>
      </c>
      <c r="G518" s="4">
        <v>44675</v>
      </c>
      <c r="H518" s="4">
        <v>44675</v>
      </c>
      <c r="I518" s="4"/>
      <c r="J518" s="5">
        <f t="shared" si="23"/>
        <v>0</v>
      </c>
      <c r="K518" s="5">
        <f t="shared" si="23"/>
        <v>0</v>
      </c>
    </row>
    <row r="519" spans="3:11" x14ac:dyDescent="0.2">
      <c r="C519" t="s">
        <v>1114</v>
      </c>
      <c r="D519" t="b">
        <f t="shared" ca="1" si="24"/>
        <v>1</v>
      </c>
      <c r="E519" s="5">
        <f t="shared" si="25"/>
        <v>0</v>
      </c>
      <c r="F519">
        <v>16</v>
      </c>
      <c r="G519">
        <v>16</v>
      </c>
      <c r="H519">
        <v>16</v>
      </c>
      <c r="J519" s="5">
        <f t="shared" ref="J519:K582" si="26">ABS(F519-G519)/ABS(F519)</f>
        <v>0</v>
      </c>
      <c r="K519" s="5">
        <f t="shared" si="26"/>
        <v>0</v>
      </c>
    </row>
    <row r="520" spans="3:11" x14ac:dyDescent="0.2">
      <c r="C520" t="s">
        <v>1113</v>
      </c>
      <c r="D520" t="b">
        <f t="shared" ca="1" si="24"/>
        <v>1</v>
      </c>
      <c r="E520" s="5">
        <f t="shared" si="25"/>
        <v>0</v>
      </c>
      <c r="F520">
        <v>8943.89</v>
      </c>
      <c r="G520">
        <v>8943.89</v>
      </c>
      <c r="H520">
        <v>8943.89</v>
      </c>
      <c r="J520" s="5">
        <f t="shared" si="26"/>
        <v>0</v>
      </c>
      <c r="K520" s="5">
        <f t="shared" si="26"/>
        <v>0</v>
      </c>
    </row>
    <row r="521" spans="3:11" x14ac:dyDescent="0.2">
      <c r="C521" t="s">
        <v>1112</v>
      </c>
      <c r="D521" t="b">
        <f t="shared" ca="1" si="24"/>
        <v>1</v>
      </c>
      <c r="E521" s="5">
        <f t="shared" si="25"/>
        <v>0</v>
      </c>
      <c r="F521" s="4">
        <v>44836</v>
      </c>
      <c r="G521" s="4">
        <v>44836</v>
      </c>
      <c r="H521" s="4">
        <v>44836</v>
      </c>
      <c r="I521" s="4"/>
      <c r="J521" s="5">
        <f t="shared" si="26"/>
        <v>0</v>
      </c>
      <c r="K521" s="5">
        <f t="shared" si="26"/>
        <v>0</v>
      </c>
    </row>
    <row r="522" spans="3:11" x14ac:dyDescent="0.2">
      <c r="C522" t="s">
        <v>1111</v>
      </c>
      <c r="D522" t="b">
        <f t="shared" ca="1" si="24"/>
        <v>1</v>
      </c>
      <c r="E522" s="5">
        <f t="shared" si="25"/>
        <v>0</v>
      </c>
      <c r="F522">
        <v>10</v>
      </c>
      <c r="G522">
        <v>10</v>
      </c>
      <c r="H522">
        <v>10</v>
      </c>
      <c r="J522" s="5">
        <f t="shared" si="26"/>
        <v>0</v>
      </c>
      <c r="K522" s="5">
        <f t="shared" si="26"/>
        <v>0</v>
      </c>
    </row>
    <row r="523" spans="3:11" x14ac:dyDescent="0.2">
      <c r="C523" t="s">
        <v>1110</v>
      </c>
      <c r="D523" t="b">
        <f t="shared" ca="1" si="24"/>
        <v>1</v>
      </c>
      <c r="E523" s="5">
        <f t="shared" si="25"/>
        <v>0</v>
      </c>
      <c r="F523">
        <v>38701.5</v>
      </c>
      <c r="G523">
        <v>38701.5</v>
      </c>
      <c r="H523">
        <v>38701.5</v>
      </c>
      <c r="J523" s="5">
        <f t="shared" si="26"/>
        <v>0</v>
      </c>
      <c r="K523" s="5">
        <f t="shared" si="26"/>
        <v>0</v>
      </c>
    </row>
    <row r="524" spans="3:11" x14ac:dyDescent="0.2">
      <c r="C524" t="s">
        <v>1109</v>
      </c>
      <c r="D524" t="b">
        <f t="shared" ca="1" si="24"/>
        <v>1</v>
      </c>
      <c r="E524" s="5">
        <f t="shared" si="25"/>
        <v>0</v>
      </c>
      <c r="F524" s="4">
        <v>44836</v>
      </c>
      <c r="G524" s="4">
        <v>44836</v>
      </c>
      <c r="H524" s="4">
        <v>44836</v>
      </c>
      <c r="I524" s="4"/>
      <c r="J524" s="5">
        <f t="shared" si="26"/>
        <v>0</v>
      </c>
      <c r="K524" s="5">
        <f t="shared" si="26"/>
        <v>0</v>
      </c>
    </row>
    <row r="525" spans="3:11" x14ac:dyDescent="0.2">
      <c r="C525" t="s">
        <v>1108</v>
      </c>
      <c r="D525" t="b">
        <f t="shared" ca="1" si="24"/>
        <v>1</v>
      </c>
      <c r="E525" s="5">
        <f t="shared" si="25"/>
        <v>0</v>
      </c>
      <c r="F525">
        <v>11</v>
      </c>
      <c r="G525">
        <v>11</v>
      </c>
      <c r="H525">
        <v>11</v>
      </c>
      <c r="J525" s="5">
        <f t="shared" si="26"/>
        <v>0</v>
      </c>
      <c r="K525" s="5">
        <f t="shared" si="26"/>
        <v>0</v>
      </c>
    </row>
    <row r="526" spans="3:11" x14ac:dyDescent="0.2">
      <c r="C526" t="s">
        <v>1107</v>
      </c>
      <c r="D526" t="b">
        <f t="shared" ca="1" si="24"/>
        <v>1</v>
      </c>
      <c r="E526" s="5">
        <f t="shared" si="25"/>
        <v>0</v>
      </c>
      <c r="F526">
        <v>12008.3</v>
      </c>
      <c r="G526">
        <v>12008.3</v>
      </c>
      <c r="H526">
        <v>12008.3</v>
      </c>
      <c r="J526" s="5">
        <f t="shared" si="26"/>
        <v>0</v>
      </c>
      <c r="K526" s="5">
        <f t="shared" si="26"/>
        <v>0</v>
      </c>
    </row>
    <row r="527" spans="3:11" x14ac:dyDescent="0.2">
      <c r="C527" t="s">
        <v>1106</v>
      </c>
      <c r="D527" t="b">
        <f t="shared" ca="1" si="24"/>
        <v>1</v>
      </c>
      <c r="E527" s="5">
        <f t="shared" si="25"/>
        <v>0</v>
      </c>
      <c r="F527" s="4">
        <v>44762</v>
      </c>
      <c r="G527" s="4">
        <v>44762</v>
      </c>
      <c r="H527" s="4">
        <v>44762</v>
      </c>
      <c r="I527" s="4"/>
      <c r="J527" s="5">
        <f t="shared" si="26"/>
        <v>0</v>
      </c>
      <c r="K527" s="5">
        <f t="shared" si="26"/>
        <v>0</v>
      </c>
    </row>
    <row r="528" spans="3:11" x14ac:dyDescent="0.2">
      <c r="C528" t="s">
        <v>1105</v>
      </c>
      <c r="D528" t="b">
        <f t="shared" ca="1" si="24"/>
        <v>1</v>
      </c>
      <c r="E528" s="5">
        <f t="shared" si="25"/>
        <v>0</v>
      </c>
      <c r="F528">
        <v>15</v>
      </c>
      <c r="G528">
        <v>15</v>
      </c>
      <c r="H528">
        <v>15</v>
      </c>
      <c r="J528" s="5">
        <f t="shared" si="26"/>
        <v>0</v>
      </c>
      <c r="K528" s="5">
        <f t="shared" si="26"/>
        <v>0</v>
      </c>
    </row>
    <row r="529" spans="3:11" x14ac:dyDescent="0.2">
      <c r="C529" t="s">
        <v>1104</v>
      </c>
      <c r="D529" t="b">
        <f t="shared" ca="1" si="24"/>
        <v>1</v>
      </c>
      <c r="E529" s="5">
        <f t="shared" si="25"/>
        <v>0</v>
      </c>
      <c r="F529">
        <v>23460.400000000001</v>
      </c>
      <c r="G529">
        <v>23460.400000000001</v>
      </c>
      <c r="H529">
        <v>23460.400000000001</v>
      </c>
      <c r="J529" s="5">
        <f t="shared" si="26"/>
        <v>0</v>
      </c>
      <c r="K529" s="5">
        <f t="shared" si="26"/>
        <v>0</v>
      </c>
    </row>
    <row r="530" spans="3:11" x14ac:dyDescent="0.2">
      <c r="C530" t="s">
        <v>1103</v>
      </c>
      <c r="D530" t="b">
        <f t="shared" ref="D530:D593" ca="1" si="27">IF(CELL("format",F530)="G",IF(ABS(F530-G530) &lt;= ABS(F530*B$3),TRUE,FALSE),IF(F530=G530,TRUE,FALSE))</f>
        <v>1</v>
      </c>
      <c r="E530" s="5">
        <f t="shared" ref="E530:E593" si="28">ABS(F530-G530)/ABS(F530)</f>
        <v>0</v>
      </c>
      <c r="F530" s="4">
        <v>44762</v>
      </c>
      <c r="G530" s="4">
        <v>44762</v>
      </c>
      <c r="H530" s="4">
        <v>44762</v>
      </c>
      <c r="I530" s="4"/>
      <c r="J530" s="5">
        <f t="shared" si="26"/>
        <v>0</v>
      </c>
      <c r="K530" s="5">
        <f t="shared" si="26"/>
        <v>0</v>
      </c>
    </row>
    <row r="531" spans="3:11" x14ac:dyDescent="0.2">
      <c r="C531" t="s">
        <v>1102</v>
      </c>
      <c r="D531" t="b">
        <f t="shared" ca="1" si="27"/>
        <v>1</v>
      </c>
      <c r="E531" s="5">
        <f t="shared" si="28"/>
        <v>0</v>
      </c>
      <c r="F531">
        <v>15</v>
      </c>
      <c r="G531">
        <v>15</v>
      </c>
      <c r="H531">
        <v>15</v>
      </c>
      <c r="J531" s="5">
        <f t="shared" si="26"/>
        <v>0</v>
      </c>
      <c r="K531" s="5">
        <f t="shared" si="26"/>
        <v>0</v>
      </c>
    </row>
    <row r="532" spans="3:11" x14ac:dyDescent="0.2">
      <c r="C532" t="s">
        <v>1101</v>
      </c>
      <c r="D532" t="b">
        <f t="shared" ca="1" si="27"/>
        <v>0</v>
      </c>
      <c r="E532" s="5">
        <f t="shared" si="28"/>
        <v>3.3476194461445311E-4</v>
      </c>
      <c r="F532">
        <v>22702.7</v>
      </c>
      <c r="G532">
        <v>22710.3</v>
      </c>
      <c r="H532">
        <v>22710.3</v>
      </c>
      <c r="J532" s="5">
        <f t="shared" si="26"/>
        <v>3.3476194461445311E-4</v>
      </c>
      <c r="K532" s="5">
        <f t="shared" si="26"/>
        <v>0</v>
      </c>
    </row>
    <row r="533" spans="3:11" x14ac:dyDescent="0.2">
      <c r="C533" t="s">
        <v>1100</v>
      </c>
      <c r="D533" t="b">
        <f t="shared" ca="1" si="27"/>
        <v>1</v>
      </c>
      <c r="E533" s="5">
        <f t="shared" si="28"/>
        <v>0</v>
      </c>
      <c r="F533" s="4">
        <v>44729</v>
      </c>
      <c r="G533" s="4">
        <v>44729</v>
      </c>
      <c r="H533" s="4">
        <v>44729</v>
      </c>
      <c r="I533" s="4"/>
      <c r="J533" s="5">
        <f t="shared" si="26"/>
        <v>0</v>
      </c>
      <c r="K533" s="5">
        <f t="shared" si="26"/>
        <v>0</v>
      </c>
    </row>
    <row r="534" spans="3:11" x14ac:dyDescent="0.2">
      <c r="C534" t="s">
        <v>1099</v>
      </c>
      <c r="D534" t="b">
        <f t="shared" ca="1" si="27"/>
        <v>1</v>
      </c>
      <c r="E534" s="5">
        <f t="shared" si="28"/>
        <v>0</v>
      </c>
      <c r="F534">
        <v>16</v>
      </c>
      <c r="G534">
        <v>16</v>
      </c>
      <c r="H534">
        <v>16</v>
      </c>
      <c r="J534" s="5">
        <f t="shared" si="26"/>
        <v>0</v>
      </c>
      <c r="K534" s="5">
        <f t="shared" si="26"/>
        <v>0</v>
      </c>
    </row>
    <row r="535" spans="3:11" x14ac:dyDescent="0.2">
      <c r="C535" t="s">
        <v>1098</v>
      </c>
      <c r="D535" t="b">
        <f t="shared" ca="1" si="27"/>
        <v>1</v>
      </c>
      <c r="E535" s="5">
        <f t="shared" si="28"/>
        <v>0</v>
      </c>
      <c r="F535">
        <v>39126.400000000001</v>
      </c>
      <c r="G535">
        <v>39126.400000000001</v>
      </c>
      <c r="H535">
        <v>39126.400000000001</v>
      </c>
      <c r="J535" s="5">
        <f t="shared" si="26"/>
        <v>0</v>
      </c>
      <c r="K535" s="5">
        <f t="shared" si="26"/>
        <v>0</v>
      </c>
    </row>
    <row r="536" spans="3:11" x14ac:dyDescent="0.2">
      <c r="C536" t="s">
        <v>1097</v>
      </c>
      <c r="D536" t="b">
        <f t="shared" ca="1" si="27"/>
        <v>1</v>
      </c>
      <c r="E536" s="5">
        <f t="shared" si="28"/>
        <v>0</v>
      </c>
      <c r="F536" s="4">
        <v>44859</v>
      </c>
      <c r="G536" s="4">
        <v>44859</v>
      </c>
      <c r="H536" s="4">
        <v>44859</v>
      </c>
      <c r="I536" s="4"/>
      <c r="J536" s="5">
        <f t="shared" si="26"/>
        <v>0</v>
      </c>
      <c r="K536" s="5">
        <f t="shared" si="26"/>
        <v>0</v>
      </c>
    </row>
    <row r="537" spans="3:11" x14ac:dyDescent="0.2">
      <c r="C537" t="s">
        <v>1096</v>
      </c>
      <c r="D537" t="b">
        <f t="shared" ca="1" si="27"/>
        <v>1</v>
      </c>
      <c r="E537" s="5">
        <f t="shared" si="28"/>
        <v>0</v>
      </c>
      <c r="F537">
        <v>15</v>
      </c>
      <c r="G537">
        <v>15</v>
      </c>
      <c r="H537">
        <v>15</v>
      </c>
      <c r="J537" s="5">
        <f t="shared" si="26"/>
        <v>0</v>
      </c>
      <c r="K537" s="5">
        <f t="shared" si="26"/>
        <v>0</v>
      </c>
    </row>
    <row r="538" spans="3:11" x14ac:dyDescent="0.2">
      <c r="C538" t="s">
        <v>1095</v>
      </c>
      <c r="D538" t="b">
        <f t="shared" ca="1" si="27"/>
        <v>1</v>
      </c>
      <c r="E538" s="5">
        <f t="shared" si="28"/>
        <v>0</v>
      </c>
      <c r="F538">
        <v>12008.3</v>
      </c>
      <c r="G538">
        <v>12008.3</v>
      </c>
      <c r="H538">
        <v>12008.3</v>
      </c>
      <c r="J538" s="5">
        <f t="shared" si="26"/>
        <v>0</v>
      </c>
      <c r="K538" s="5">
        <f t="shared" si="26"/>
        <v>0</v>
      </c>
    </row>
    <row r="539" spans="3:11" x14ac:dyDescent="0.2">
      <c r="C539" t="s">
        <v>1094</v>
      </c>
      <c r="D539" t="b">
        <f t="shared" ca="1" si="27"/>
        <v>1</v>
      </c>
      <c r="E539" s="5">
        <f t="shared" si="28"/>
        <v>0</v>
      </c>
      <c r="F539" s="4">
        <v>44762</v>
      </c>
      <c r="G539" s="4">
        <v>44762</v>
      </c>
      <c r="H539" s="4">
        <v>44762</v>
      </c>
      <c r="I539" s="4"/>
      <c r="J539" s="5">
        <f t="shared" si="26"/>
        <v>0</v>
      </c>
      <c r="K539" s="5">
        <f t="shared" si="26"/>
        <v>0</v>
      </c>
    </row>
    <row r="540" spans="3:11" x14ac:dyDescent="0.2">
      <c r="C540" t="s">
        <v>1093</v>
      </c>
      <c r="D540" t="b">
        <f t="shared" ca="1" si="27"/>
        <v>1</v>
      </c>
      <c r="E540" s="5">
        <f t="shared" si="28"/>
        <v>0</v>
      </c>
      <c r="F540">
        <v>15</v>
      </c>
      <c r="G540">
        <v>15</v>
      </c>
      <c r="H540">
        <v>15</v>
      </c>
      <c r="J540" s="5">
        <f t="shared" si="26"/>
        <v>0</v>
      </c>
      <c r="K540" s="5">
        <f t="shared" si="26"/>
        <v>0</v>
      </c>
    </row>
    <row r="541" spans="3:11" x14ac:dyDescent="0.2">
      <c r="C541" t="s">
        <v>1092</v>
      </c>
      <c r="D541" t="b">
        <f t="shared" ca="1" si="27"/>
        <v>1</v>
      </c>
      <c r="E541" s="5">
        <f t="shared" si="28"/>
        <v>0</v>
      </c>
      <c r="F541">
        <v>23460.400000000001</v>
      </c>
      <c r="G541">
        <v>23460.400000000001</v>
      </c>
      <c r="H541">
        <v>23460.400000000001</v>
      </c>
      <c r="J541" s="5">
        <f t="shared" si="26"/>
        <v>0</v>
      </c>
      <c r="K541" s="5">
        <f t="shared" si="26"/>
        <v>0</v>
      </c>
    </row>
    <row r="542" spans="3:11" x14ac:dyDescent="0.2">
      <c r="C542" t="s">
        <v>1091</v>
      </c>
      <c r="D542" t="b">
        <f t="shared" ca="1" si="27"/>
        <v>1</v>
      </c>
      <c r="E542" s="5">
        <f t="shared" si="28"/>
        <v>0</v>
      </c>
      <c r="F542" s="4">
        <v>44762</v>
      </c>
      <c r="G542" s="4">
        <v>44762</v>
      </c>
      <c r="H542" s="4">
        <v>44762</v>
      </c>
      <c r="I542" s="4"/>
      <c r="J542" s="5">
        <f t="shared" si="26"/>
        <v>0</v>
      </c>
      <c r="K542" s="5">
        <f t="shared" si="26"/>
        <v>0</v>
      </c>
    </row>
    <row r="543" spans="3:11" x14ac:dyDescent="0.2">
      <c r="C543" t="s">
        <v>1090</v>
      </c>
      <c r="D543" t="b">
        <f t="shared" ca="1" si="27"/>
        <v>1</v>
      </c>
      <c r="E543" s="5">
        <f t="shared" si="28"/>
        <v>0</v>
      </c>
      <c r="F543">
        <v>15</v>
      </c>
      <c r="G543">
        <v>15</v>
      </c>
      <c r="H543">
        <v>15</v>
      </c>
      <c r="J543" s="5">
        <f t="shared" si="26"/>
        <v>0</v>
      </c>
      <c r="K543" s="5">
        <f t="shared" si="26"/>
        <v>0</v>
      </c>
    </row>
    <row r="544" spans="3:11" x14ac:dyDescent="0.2">
      <c r="C544" t="s">
        <v>1089</v>
      </c>
      <c r="D544" t="b">
        <f t="shared" ca="1" si="27"/>
        <v>0</v>
      </c>
      <c r="E544" s="5">
        <f t="shared" si="28"/>
        <v>3.3476194461445311E-4</v>
      </c>
      <c r="F544">
        <v>22702.7</v>
      </c>
      <c r="G544">
        <v>22710.3</v>
      </c>
      <c r="H544">
        <v>22710.3</v>
      </c>
      <c r="J544" s="5">
        <f t="shared" si="26"/>
        <v>3.3476194461445311E-4</v>
      </c>
      <c r="K544" s="5">
        <f t="shared" si="26"/>
        <v>0</v>
      </c>
    </row>
    <row r="545" spans="3:11" x14ac:dyDescent="0.2">
      <c r="C545" t="s">
        <v>1088</v>
      </c>
      <c r="D545" t="b">
        <f t="shared" ca="1" si="27"/>
        <v>1</v>
      </c>
      <c r="E545" s="5">
        <f t="shared" si="28"/>
        <v>0</v>
      </c>
      <c r="F545" s="4">
        <v>44729</v>
      </c>
      <c r="G545" s="4">
        <v>44729</v>
      </c>
      <c r="H545" s="4">
        <v>44729</v>
      </c>
      <c r="I545" s="4"/>
      <c r="J545" s="5">
        <f t="shared" si="26"/>
        <v>0</v>
      </c>
      <c r="K545" s="5">
        <f t="shared" si="26"/>
        <v>0</v>
      </c>
    </row>
    <row r="546" spans="3:11" x14ac:dyDescent="0.2">
      <c r="C546" t="s">
        <v>1087</v>
      </c>
      <c r="D546" t="b">
        <f t="shared" ca="1" si="27"/>
        <v>1</v>
      </c>
      <c r="E546" s="5">
        <f t="shared" si="28"/>
        <v>0</v>
      </c>
      <c r="F546">
        <v>16</v>
      </c>
      <c r="G546">
        <v>16</v>
      </c>
      <c r="H546">
        <v>16</v>
      </c>
      <c r="J546" s="5">
        <f t="shared" si="26"/>
        <v>0</v>
      </c>
      <c r="K546" s="5">
        <f t="shared" si="26"/>
        <v>0</v>
      </c>
    </row>
    <row r="547" spans="3:11" x14ac:dyDescent="0.2">
      <c r="C547" t="s">
        <v>1086</v>
      </c>
      <c r="D547" t="b">
        <f t="shared" ca="1" si="27"/>
        <v>1</v>
      </c>
      <c r="E547" s="5">
        <f t="shared" si="28"/>
        <v>0</v>
      </c>
      <c r="F547">
        <v>39126.400000000001</v>
      </c>
      <c r="G547">
        <v>39126.400000000001</v>
      </c>
      <c r="H547">
        <v>39126.400000000001</v>
      </c>
      <c r="J547" s="5">
        <f t="shared" si="26"/>
        <v>0</v>
      </c>
      <c r="K547" s="5">
        <f t="shared" si="26"/>
        <v>0</v>
      </c>
    </row>
    <row r="548" spans="3:11" x14ac:dyDescent="0.2">
      <c r="C548" t="s">
        <v>1085</v>
      </c>
      <c r="D548" t="b">
        <f t="shared" ca="1" si="27"/>
        <v>1</v>
      </c>
      <c r="E548" s="5">
        <f t="shared" si="28"/>
        <v>0</v>
      </c>
      <c r="F548" s="4">
        <v>44859</v>
      </c>
      <c r="G548" s="4">
        <v>44859</v>
      </c>
      <c r="H548" s="4">
        <v>44859</v>
      </c>
      <c r="I548" s="4"/>
      <c r="J548" s="5">
        <f t="shared" si="26"/>
        <v>0</v>
      </c>
      <c r="K548" s="5">
        <f t="shared" si="26"/>
        <v>0</v>
      </c>
    </row>
    <row r="549" spans="3:11" x14ac:dyDescent="0.2">
      <c r="C549" t="s">
        <v>1084</v>
      </c>
      <c r="D549" t="b">
        <f t="shared" ca="1" si="27"/>
        <v>1</v>
      </c>
      <c r="E549" s="5">
        <f t="shared" si="28"/>
        <v>0</v>
      </c>
      <c r="F549">
        <v>15</v>
      </c>
      <c r="G549">
        <v>15</v>
      </c>
      <c r="H549">
        <v>15</v>
      </c>
      <c r="J549" s="5">
        <f t="shared" si="26"/>
        <v>0</v>
      </c>
      <c r="K549" s="5">
        <f t="shared" si="26"/>
        <v>0</v>
      </c>
    </row>
    <row r="550" spans="3:11" x14ac:dyDescent="0.2">
      <c r="C550" t="s">
        <v>1083</v>
      </c>
      <c r="D550" t="b">
        <f t="shared" ca="1" si="27"/>
        <v>1</v>
      </c>
      <c r="E550" s="5">
        <f t="shared" si="28"/>
        <v>0</v>
      </c>
      <c r="F550">
        <v>12008.3</v>
      </c>
      <c r="G550">
        <v>12008.3</v>
      </c>
      <c r="H550">
        <v>12008.3</v>
      </c>
      <c r="J550" s="5">
        <f t="shared" si="26"/>
        <v>0</v>
      </c>
      <c r="K550" s="5">
        <f t="shared" si="26"/>
        <v>0</v>
      </c>
    </row>
    <row r="551" spans="3:11" x14ac:dyDescent="0.2">
      <c r="C551" t="s">
        <v>1082</v>
      </c>
      <c r="D551" t="b">
        <f t="shared" ca="1" si="27"/>
        <v>1</v>
      </c>
      <c r="E551" s="5">
        <f t="shared" si="28"/>
        <v>0</v>
      </c>
      <c r="F551" s="4">
        <v>44762</v>
      </c>
      <c r="G551" s="4">
        <v>44762</v>
      </c>
      <c r="H551" s="4">
        <v>44762</v>
      </c>
      <c r="I551" s="4"/>
      <c r="J551" s="5">
        <f t="shared" si="26"/>
        <v>0</v>
      </c>
      <c r="K551" s="5">
        <f t="shared" si="26"/>
        <v>0</v>
      </c>
    </row>
    <row r="552" spans="3:11" x14ac:dyDescent="0.2">
      <c r="C552" t="s">
        <v>1081</v>
      </c>
      <c r="D552" t="b">
        <f t="shared" ca="1" si="27"/>
        <v>1</v>
      </c>
      <c r="E552" s="5">
        <f t="shared" si="28"/>
        <v>0</v>
      </c>
      <c r="F552">
        <v>15</v>
      </c>
      <c r="G552">
        <v>15</v>
      </c>
      <c r="H552">
        <v>15</v>
      </c>
      <c r="J552" s="5">
        <f t="shared" si="26"/>
        <v>0</v>
      </c>
      <c r="K552" s="5">
        <f t="shared" si="26"/>
        <v>0</v>
      </c>
    </row>
    <row r="553" spans="3:11" x14ac:dyDescent="0.2">
      <c r="C553" t="s">
        <v>1080</v>
      </c>
      <c r="D553" t="b">
        <f t="shared" ca="1" si="27"/>
        <v>1</v>
      </c>
      <c r="E553" s="5">
        <f t="shared" si="28"/>
        <v>0</v>
      </c>
      <c r="F553">
        <v>23460.400000000001</v>
      </c>
      <c r="G553">
        <v>23460.400000000001</v>
      </c>
      <c r="H553">
        <v>23460.400000000001</v>
      </c>
      <c r="J553" s="5">
        <f t="shared" si="26"/>
        <v>0</v>
      </c>
      <c r="K553" s="5">
        <f t="shared" si="26"/>
        <v>0</v>
      </c>
    </row>
    <row r="554" spans="3:11" x14ac:dyDescent="0.2">
      <c r="C554" t="s">
        <v>1079</v>
      </c>
      <c r="D554" t="b">
        <f t="shared" ca="1" si="27"/>
        <v>1</v>
      </c>
      <c r="E554" s="5">
        <f t="shared" si="28"/>
        <v>0</v>
      </c>
      <c r="F554" s="4">
        <v>44762</v>
      </c>
      <c r="G554" s="4">
        <v>44762</v>
      </c>
      <c r="H554" s="4">
        <v>44762</v>
      </c>
      <c r="I554" s="4"/>
      <c r="J554" s="5">
        <f t="shared" si="26"/>
        <v>0</v>
      </c>
      <c r="K554" s="5">
        <f t="shared" si="26"/>
        <v>0</v>
      </c>
    </row>
    <row r="555" spans="3:11" x14ac:dyDescent="0.2">
      <c r="C555" t="s">
        <v>1078</v>
      </c>
      <c r="D555" t="b">
        <f t="shared" ca="1" si="27"/>
        <v>1</v>
      </c>
      <c r="E555" s="5">
        <f t="shared" si="28"/>
        <v>0</v>
      </c>
      <c r="F555">
        <v>15</v>
      </c>
      <c r="G555">
        <v>15</v>
      </c>
      <c r="H555">
        <v>15</v>
      </c>
      <c r="J555" s="5">
        <f t="shared" si="26"/>
        <v>0</v>
      </c>
      <c r="K555" s="5">
        <f t="shared" si="26"/>
        <v>0</v>
      </c>
    </row>
    <row r="556" spans="3:11" x14ac:dyDescent="0.2">
      <c r="C556" t="s">
        <v>1077</v>
      </c>
      <c r="D556" t="b">
        <f t="shared" ca="1" si="27"/>
        <v>1</v>
      </c>
      <c r="E556" s="5">
        <f t="shared" si="28"/>
        <v>0</v>
      </c>
      <c r="F556">
        <v>10627.1</v>
      </c>
      <c r="G556">
        <v>10627.1</v>
      </c>
      <c r="H556">
        <v>10627.1</v>
      </c>
      <c r="J556" s="5">
        <f t="shared" si="26"/>
        <v>0</v>
      </c>
      <c r="K556" s="5">
        <f t="shared" si="26"/>
        <v>0</v>
      </c>
    </row>
    <row r="557" spans="3:11" x14ac:dyDescent="0.2">
      <c r="C557" t="s">
        <v>1076</v>
      </c>
      <c r="D557" t="b">
        <f t="shared" ca="1" si="27"/>
        <v>1</v>
      </c>
      <c r="E557" s="5">
        <f t="shared" si="28"/>
        <v>0</v>
      </c>
      <c r="F557" s="4">
        <v>44752</v>
      </c>
      <c r="G557" s="4">
        <v>44752</v>
      </c>
      <c r="H557" s="4">
        <v>44752</v>
      </c>
      <c r="I557" s="4"/>
      <c r="J557" s="5">
        <f t="shared" si="26"/>
        <v>0</v>
      </c>
      <c r="K557" s="5">
        <f t="shared" si="26"/>
        <v>0</v>
      </c>
    </row>
    <row r="558" spans="3:11" x14ac:dyDescent="0.2">
      <c r="C558" t="s">
        <v>1075</v>
      </c>
      <c r="D558" t="b">
        <f t="shared" ca="1" si="27"/>
        <v>1</v>
      </c>
      <c r="E558" s="5">
        <f t="shared" si="28"/>
        <v>0</v>
      </c>
      <c r="F558">
        <v>13</v>
      </c>
      <c r="G558">
        <v>13</v>
      </c>
      <c r="H558">
        <v>13</v>
      </c>
      <c r="J558" s="5">
        <f t="shared" si="26"/>
        <v>0</v>
      </c>
      <c r="K558" s="5">
        <f t="shared" si="26"/>
        <v>0</v>
      </c>
    </row>
    <row r="559" spans="3:11" x14ac:dyDescent="0.2">
      <c r="C559" t="s">
        <v>1074</v>
      </c>
      <c r="D559" t="b">
        <f t="shared" ca="1" si="27"/>
        <v>1</v>
      </c>
      <c r="E559" s="5">
        <f t="shared" si="28"/>
        <v>0</v>
      </c>
      <c r="F559">
        <v>33102.800000000003</v>
      </c>
      <c r="G559">
        <v>33102.800000000003</v>
      </c>
      <c r="H559">
        <v>33102.800000000003</v>
      </c>
      <c r="J559" s="5">
        <f t="shared" si="26"/>
        <v>0</v>
      </c>
      <c r="K559" s="5">
        <f t="shared" si="26"/>
        <v>0</v>
      </c>
    </row>
    <row r="560" spans="3:11" x14ac:dyDescent="0.2">
      <c r="C560" t="s">
        <v>1073</v>
      </c>
      <c r="D560" t="b">
        <f t="shared" ca="1" si="27"/>
        <v>1</v>
      </c>
      <c r="E560" s="5">
        <f t="shared" si="28"/>
        <v>0</v>
      </c>
      <c r="F560" s="4">
        <v>44762</v>
      </c>
      <c r="G560" s="4">
        <v>44762</v>
      </c>
      <c r="H560" s="4">
        <v>44762</v>
      </c>
      <c r="I560" s="4"/>
      <c r="J560" s="5">
        <f t="shared" si="26"/>
        <v>0</v>
      </c>
      <c r="K560" s="5">
        <f t="shared" si="26"/>
        <v>0</v>
      </c>
    </row>
    <row r="561" spans="3:11" x14ac:dyDescent="0.2">
      <c r="C561" t="s">
        <v>1072</v>
      </c>
      <c r="D561" t="b">
        <f t="shared" ca="1" si="27"/>
        <v>1</v>
      </c>
      <c r="E561" s="5">
        <f t="shared" si="28"/>
        <v>0</v>
      </c>
      <c r="F561">
        <v>15</v>
      </c>
      <c r="G561">
        <v>15</v>
      </c>
      <c r="H561">
        <v>15</v>
      </c>
      <c r="J561" s="5">
        <f t="shared" si="26"/>
        <v>0</v>
      </c>
      <c r="K561" s="5">
        <f t="shared" si="26"/>
        <v>0</v>
      </c>
    </row>
    <row r="562" spans="3:11" x14ac:dyDescent="0.2">
      <c r="C562" t="s">
        <v>1071</v>
      </c>
      <c r="D562" t="b">
        <f t="shared" ca="1" si="27"/>
        <v>1</v>
      </c>
      <c r="E562" s="5">
        <f t="shared" si="28"/>
        <v>0</v>
      </c>
      <c r="F562">
        <v>12008.3</v>
      </c>
      <c r="G562">
        <v>12008.3</v>
      </c>
      <c r="H562">
        <v>12008.3</v>
      </c>
      <c r="J562" s="5">
        <f t="shared" si="26"/>
        <v>0</v>
      </c>
      <c r="K562" s="5">
        <f t="shared" si="26"/>
        <v>0</v>
      </c>
    </row>
    <row r="563" spans="3:11" x14ac:dyDescent="0.2">
      <c r="C563" t="s">
        <v>1070</v>
      </c>
      <c r="D563" t="b">
        <f t="shared" ca="1" si="27"/>
        <v>1</v>
      </c>
      <c r="E563" s="5">
        <f t="shared" si="28"/>
        <v>0</v>
      </c>
      <c r="F563" s="4">
        <v>44762</v>
      </c>
      <c r="G563" s="4">
        <v>44762</v>
      </c>
      <c r="H563" s="4">
        <v>44762</v>
      </c>
      <c r="I563" s="4"/>
      <c r="J563" s="5">
        <f t="shared" si="26"/>
        <v>0</v>
      </c>
      <c r="K563" s="5">
        <f t="shared" si="26"/>
        <v>0</v>
      </c>
    </row>
    <row r="564" spans="3:11" x14ac:dyDescent="0.2">
      <c r="C564" t="s">
        <v>1069</v>
      </c>
      <c r="D564" t="b">
        <f t="shared" ca="1" si="27"/>
        <v>1</v>
      </c>
      <c r="E564" s="5">
        <f t="shared" si="28"/>
        <v>0</v>
      </c>
      <c r="F564">
        <v>15</v>
      </c>
      <c r="G564">
        <v>15</v>
      </c>
      <c r="H564">
        <v>15</v>
      </c>
      <c r="J564" s="5">
        <f t="shared" si="26"/>
        <v>0</v>
      </c>
      <c r="K564" s="5">
        <f t="shared" si="26"/>
        <v>0</v>
      </c>
    </row>
    <row r="565" spans="3:11" x14ac:dyDescent="0.2">
      <c r="C565" t="s">
        <v>1068</v>
      </c>
      <c r="D565" t="b">
        <f t="shared" ca="1" si="27"/>
        <v>1</v>
      </c>
      <c r="E565" s="5">
        <f t="shared" si="28"/>
        <v>0</v>
      </c>
      <c r="F565">
        <v>23460.400000000001</v>
      </c>
      <c r="G565">
        <v>23460.400000000001</v>
      </c>
      <c r="H565">
        <v>23460.400000000001</v>
      </c>
      <c r="J565" s="5">
        <f t="shared" si="26"/>
        <v>0</v>
      </c>
      <c r="K565" s="5">
        <f t="shared" si="26"/>
        <v>0</v>
      </c>
    </row>
    <row r="566" spans="3:11" x14ac:dyDescent="0.2">
      <c r="C566" t="s">
        <v>1067</v>
      </c>
      <c r="D566" t="b">
        <f t="shared" ca="1" si="27"/>
        <v>1</v>
      </c>
      <c r="E566" s="5">
        <f t="shared" si="28"/>
        <v>0</v>
      </c>
      <c r="F566" s="4">
        <v>44762</v>
      </c>
      <c r="G566" s="4">
        <v>44762</v>
      </c>
      <c r="H566" s="4">
        <v>44762</v>
      </c>
      <c r="I566" s="4"/>
      <c r="J566" s="5">
        <f t="shared" si="26"/>
        <v>0</v>
      </c>
      <c r="K566" s="5">
        <f t="shared" si="26"/>
        <v>0</v>
      </c>
    </row>
    <row r="567" spans="3:11" x14ac:dyDescent="0.2">
      <c r="C567" t="s">
        <v>1066</v>
      </c>
      <c r="D567" t="b">
        <f t="shared" ca="1" si="27"/>
        <v>1</v>
      </c>
      <c r="E567" s="5">
        <f t="shared" si="28"/>
        <v>0</v>
      </c>
      <c r="F567">
        <v>15</v>
      </c>
      <c r="G567">
        <v>15</v>
      </c>
      <c r="H567">
        <v>15</v>
      </c>
      <c r="J567" s="5">
        <f t="shared" si="26"/>
        <v>0</v>
      </c>
      <c r="K567" s="5">
        <f t="shared" si="26"/>
        <v>0</v>
      </c>
    </row>
    <row r="568" spans="3:11" x14ac:dyDescent="0.2">
      <c r="C568" t="s">
        <v>1065</v>
      </c>
      <c r="D568" t="b">
        <f t="shared" ca="1" si="27"/>
        <v>1</v>
      </c>
      <c r="E568" s="5">
        <f t="shared" si="28"/>
        <v>7.0365549027132278E-5</v>
      </c>
      <c r="F568">
        <v>11369.2</v>
      </c>
      <c r="G568">
        <v>11370</v>
      </c>
      <c r="H568">
        <v>11370</v>
      </c>
      <c r="J568" s="5">
        <f t="shared" si="26"/>
        <v>7.0365549027132278E-5</v>
      </c>
      <c r="K568" s="5">
        <f t="shared" si="26"/>
        <v>0</v>
      </c>
    </row>
    <row r="569" spans="3:11" x14ac:dyDescent="0.2">
      <c r="C569" t="s">
        <v>1064</v>
      </c>
      <c r="D569" t="b">
        <f t="shared" ca="1" si="27"/>
        <v>1</v>
      </c>
      <c r="E569" s="5">
        <f t="shared" si="28"/>
        <v>0</v>
      </c>
      <c r="F569" s="4">
        <v>44858</v>
      </c>
      <c r="G569" s="4">
        <v>44858</v>
      </c>
      <c r="H569" s="4">
        <v>44858</v>
      </c>
      <c r="I569" s="4"/>
      <c r="J569" s="5">
        <f t="shared" si="26"/>
        <v>0</v>
      </c>
      <c r="K569" s="5">
        <f t="shared" si="26"/>
        <v>0</v>
      </c>
    </row>
    <row r="570" spans="3:11" x14ac:dyDescent="0.2">
      <c r="C570" t="s">
        <v>1063</v>
      </c>
      <c r="D570" t="b">
        <f t="shared" ca="1" si="27"/>
        <v>1</v>
      </c>
      <c r="E570" s="5">
        <f t="shared" si="28"/>
        <v>0</v>
      </c>
      <c r="F570">
        <v>13</v>
      </c>
      <c r="G570">
        <v>13</v>
      </c>
      <c r="H570">
        <v>13</v>
      </c>
      <c r="J570" s="5">
        <f t="shared" si="26"/>
        <v>0</v>
      </c>
      <c r="K570" s="5">
        <f t="shared" si="26"/>
        <v>0</v>
      </c>
    </row>
    <row r="571" spans="3:11" x14ac:dyDescent="0.2">
      <c r="C571" t="s">
        <v>1062</v>
      </c>
      <c r="D571" t="b">
        <f t="shared" ca="1" si="27"/>
        <v>1</v>
      </c>
      <c r="E571" s="5">
        <f t="shared" si="28"/>
        <v>0</v>
      </c>
      <c r="F571">
        <v>33102.800000000003</v>
      </c>
      <c r="G571">
        <v>33102.800000000003</v>
      </c>
      <c r="H571">
        <v>33102.800000000003</v>
      </c>
      <c r="J571" s="5">
        <f t="shared" si="26"/>
        <v>0</v>
      </c>
      <c r="K571" s="5">
        <f t="shared" si="26"/>
        <v>0</v>
      </c>
    </row>
    <row r="572" spans="3:11" x14ac:dyDescent="0.2">
      <c r="C572" t="s">
        <v>1061</v>
      </c>
      <c r="D572" t="b">
        <f t="shared" ca="1" si="27"/>
        <v>1</v>
      </c>
      <c r="E572" s="5">
        <f t="shared" si="28"/>
        <v>0</v>
      </c>
      <c r="F572" s="4">
        <v>44762</v>
      </c>
      <c r="G572" s="4">
        <v>44762</v>
      </c>
      <c r="H572" s="4">
        <v>44762</v>
      </c>
      <c r="I572" s="4"/>
      <c r="J572" s="5">
        <f t="shared" si="26"/>
        <v>0</v>
      </c>
      <c r="K572" s="5">
        <f t="shared" si="26"/>
        <v>0</v>
      </c>
    </row>
    <row r="573" spans="3:11" x14ac:dyDescent="0.2">
      <c r="C573" t="s">
        <v>1060</v>
      </c>
      <c r="D573" t="b">
        <f t="shared" ca="1" si="27"/>
        <v>1</v>
      </c>
      <c r="E573" s="5">
        <f t="shared" si="28"/>
        <v>0</v>
      </c>
      <c r="F573">
        <v>15</v>
      </c>
      <c r="G573">
        <v>15</v>
      </c>
      <c r="H573">
        <v>15</v>
      </c>
      <c r="J573" s="5">
        <f t="shared" si="26"/>
        <v>0</v>
      </c>
      <c r="K573" s="5">
        <f t="shared" si="26"/>
        <v>0</v>
      </c>
    </row>
    <row r="574" spans="3:11" x14ac:dyDescent="0.2">
      <c r="C574" t="s">
        <v>1059</v>
      </c>
      <c r="D574" t="b">
        <f t="shared" ca="1" si="27"/>
        <v>1</v>
      </c>
      <c r="E574" s="5">
        <f t="shared" si="28"/>
        <v>0</v>
      </c>
      <c r="F574">
        <v>12008.3</v>
      </c>
      <c r="G574">
        <v>12008.3</v>
      </c>
      <c r="H574">
        <v>12008.3</v>
      </c>
      <c r="J574" s="5">
        <f t="shared" si="26"/>
        <v>0</v>
      </c>
      <c r="K574" s="5">
        <f t="shared" si="26"/>
        <v>0</v>
      </c>
    </row>
    <row r="575" spans="3:11" x14ac:dyDescent="0.2">
      <c r="C575" t="s">
        <v>1058</v>
      </c>
      <c r="D575" t="b">
        <f t="shared" ca="1" si="27"/>
        <v>1</v>
      </c>
      <c r="E575" s="5">
        <f t="shared" si="28"/>
        <v>0</v>
      </c>
      <c r="F575" s="4">
        <v>44762</v>
      </c>
      <c r="G575" s="4">
        <v>44762</v>
      </c>
      <c r="H575" s="4">
        <v>44762</v>
      </c>
      <c r="I575" s="4"/>
      <c r="J575" s="5">
        <f t="shared" si="26"/>
        <v>0</v>
      </c>
      <c r="K575" s="5">
        <f t="shared" si="26"/>
        <v>0</v>
      </c>
    </row>
    <row r="576" spans="3:11" x14ac:dyDescent="0.2">
      <c r="C576" t="s">
        <v>1057</v>
      </c>
      <c r="D576" t="b">
        <f t="shared" ca="1" si="27"/>
        <v>1</v>
      </c>
      <c r="E576" s="5">
        <f t="shared" si="28"/>
        <v>0</v>
      </c>
      <c r="F576">
        <v>15</v>
      </c>
      <c r="G576">
        <v>15</v>
      </c>
      <c r="H576">
        <v>15</v>
      </c>
      <c r="J576" s="5">
        <f t="shared" si="26"/>
        <v>0</v>
      </c>
      <c r="K576" s="5">
        <f t="shared" si="26"/>
        <v>0</v>
      </c>
    </row>
    <row r="577" spans="3:11" x14ac:dyDescent="0.2">
      <c r="C577" t="s">
        <v>1056</v>
      </c>
      <c r="D577" t="b">
        <f t="shared" ca="1" si="27"/>
        <v>1</v>
      </c>
      <c r="E577" s="5">
        <f t="shared" si="28"/>
        <v>0</v>
      </c>
      <c r="F577">
        <v>23460.400000000001</v>
      </c>
      <c r="G577">
        <v>23460.400000000001</v>
      </c>
      <c r="H577">
        <v>23460.400000000001</v>
      </c>
      <c r="J577" s="5">
        <f t="shared" si="26"/>
        <v>0</v>
      </c>
      <c r="K577" s="5">
        <f t="shared" si="26"/>
        <v>0</v>
      </c>
    </row>
    <row r="578" spans="3:11" x14ac:dyDescent="0.2">
      <c r="C578" t="s">
        <v>1055</v>
      </c>
      <c r="D578" t="b">
        <f t="shared" ca="1" si="27"/>
        <v>1</v>
      </c>
      <c r="E578" s="5">
        <f t="shared" si="28"/>
        <v>0</v>
      </c>
      <c r="F578" s="4">
        <v>44762</v>
      </c>
      <c r="G578" s="4">
        <v>44762</v>
      </c>
      <c r="H578" s="4">
        <v>44762</v>
      </c>
      <c r="I578" s="4"/>
      <c r="J578" s="5">
        <f t="shared" si="26"/>
        <v>0</v>
      </c>
      <c r="K578" s="5">
        <f t="shared" si="26"/>
        <v>0</v>
      </c>
    </row>
    <row r="579" spans="3:11" x14ac:dyDescent="0.2">
      <c r="C579" t="s">
        <v>1054</v>
      </c>
      <c r="D579" t="b">
        <f t="shared" ca="1" si="27"/>
        <v>1</v>
      </c>
      <c r="E579" s="5">
        <f t="shared" si="28"/>
        <v>0</v>
      </c>
      <c r="F579">
        <v>15</v>
      </c>
      <c r="G579">
        <v>15</v>
      </c>
      <c r="H579">
        <v>15</v>
      </c>
      <c r="J579" s="5">
        <f t="shared" si="26"/>
        <v>0</v>
      </c>
      <c r="K579" s="5">
        <f t="shared" si="26"/>
        <v>0</v>
      </c>
    </row>
    <row r="580" spans="3:11" x14ac:dyDescent="0.2">
      <c r="C580" t="s">
        <v>1053</v>
      </c>
      <c r="D580" t="b">
        <f t="shared" ca="1" si="27"/>
        <v>1</v>
      </c>
      <c r="E580" s="5">
        <f t="shared" si="28"/>
        <v>0</v>
      </c>
      <c r="F580">
        <v>10627.1</v>
      </c>
      <c r="G580">
        <v>10627.1</v>
      </c>
      <c r="H580">
        <v>10627.1</v>
      </c>
      <c r="J580" s="5">
        <f t="shared" si="26"/>
        <v>0</v>
      </c>
      <c r="K580" s="5">
        <f t="shared" si="26"/>
        <v>0</v>
      </c>
    </row>
    <row r="581" spans="3:11" x14ac:dyDescent="0.2">
      <c r="C581" t="s">
        <v>1052</v>
      </c>
      <c r="D581" t="b">
        <f t="shared" ca="1" si="27"/>
        <v>1</v>
      </c>
      <c r="E581" s="5">
        <f t="shared" si="28"/>
        <v>0</v>
      </c>
      <c r="F581" s="4">
        <v>44752</v>
      </c>
      <c r="G581" s="4">
        <v>44752</v>
      </c>
      <c r="H581" s="4">
        <v>44752</v>
      </c>
      <c r="I581" s="4"/>
      <c r="J581" s="5">
        <f t="shared" si="26"/>
        <v>0</v>
      </c>
      <c r="K581" s="5">
        <f t="shared" si="26"/>
        <v>0</v>
      </c>
    </row>
    <row r="582" spans="3:11" x14ac:dyDescent="0.2">
      <c r="C582" t="s">
        <v>1051</v>
      </c>
      <c r="D582" t="b">
        <f t="shared" ca="1" si="27"/>
        <v>1</v>
      </c>
      <c r="E582" s="5">
        <f t="shared" si="28"/>
        <v>0</v>
      </c>
      <c r="F582">
        <v>13</v>
      </c>
      <c r="G582">
        <v>13</v>
      </c>
      <c r="H582">
        <v>13</v>
      </c>
      <c r="J582" s="5">
        <f t="shared" si="26"/>
        <v>0</v>
      </c>
      <c r="K582" s="5">
        <f t="shared" si="26"/>
        <v>0</v>
      </c>
    </row>
    <row r="583" spans="3:11" x14ac:dyDescent="0.2">
      <c r="C583" t="s">
        <v>1050</v>
      </c>
      <c r="D583" t="b">
        <f t="shared" ca="1" si="27"/>
        <v>1</v>
      </c>
      <c r="E583" s="5">
        <f t="shared" si="28"/>
        <v>0</v>
      </c>
      <c r="F583">
        <v>33102.800000000003</v>
      </c>
      <c r="G583">
        <v>33102.800000000003</v>
      </c>
      <c r="H583">
        <v>33102.800000000003</v>
      </c>
      <c r="J583" s="5">
        <f t="shared" ref="J583:K646" si="29">ABS(F583-G583)/ABS(F583)</f>
        <v>0</v>
      </c>
      <c r="K583" s="5">
        <f t="shared" si="29"/>
        <v>0</v>
      </c>
    </row>
    <row r="584" spans="3:11" x14ac:dyDescent="0.2">
      <c r="C584" t="s">
        <v>1049</v>
      </c>
      <c r="D584" t="b">
        <f t="shared" ca="1" si="27"/>
        <v>1</v>
      </c>
      <c r="E584" s="5">
        <f t="shared" si="28"/>
        <v>0</v>
      </c>
      <c r="F584" s="4">
        <v>44762</v>
      </c>
      <c r="G584" s="4">
        <v>44762</v>
      </c>
      <c r="H584" s="4">
        <v>44762</v>
      </c>
      <c r="I584" s="4"/>
      <c r="J584" s="5">
        <f t="shared" si="29"/>
        <v>0</v>
      </c>
      <c r="K584" s="5">
        <f t="shared" si="29"/>
        <v>0</v>
      </c>
    </row>
    <row r="585" spans="3:11" x14ac:dyDescent="0.2">
      <c r="C585" t="s">
        <v>1048</v>
      </c>
      <c r="D585" t="b">
        <f t="shared" ca="1" si="27"/>
        <v>1</v>
      </c>
      <c r="E585" s="5">
        <f t="shared" si="28"/>
        <v>0</v>
      </c>
      <c r="F585">
        <v>15</v>
      </c>
      <c r="G585">
        <v>15</v>
      </c>
      <c r="H585">
        <v>15</v>
      </c>
      <c r="J585" s="5">
        <f t="shared" si="29"/>
        <v>0</v>
      </c>
      <c r="K585" s="5">
        <f t="shared" si="29"/>
        <v>0</v>
      </c>
    </row>
    <row r="586" spans="3:11" x14ac:dyDescent="0.2">
      <c r="C586" t="s">
        <v>1047</v>
      </c>
      <c r="D586" t="b">
        <f t="shared" ca="1" si="27"/>
        <v>1</v>
      </c>
      <c r="E586" s="5">
        <f t="shared" si="28"/>
        <v>0</v>
      </c>
      <c r="F586">
        <v>10435.6</v>
      </c>
      <c r="G586">
        <v>10435.6</v>
      </c>
      <c r="H586">
        <v>10435.6</v>
      </c>
      <c r="J586" s="5">
        <f t="shared" si="29"/>
        <v>0</v>
      </c>
      <c r="K586" s="5">
        <f t="shared" si="29"/>
        <v>0</v>
      </c>
    </row>
    <row r="587" spans="3:11" x14ac:dyDescent="0.2">
      <c r="C587" t="s">
        <v>1046</v>
      </c>
      <c r="D587" t="b">
        <f t="shared" ca="1" si="27"/>
        <v>1</v>
      </c>
      <c r="E587" s="5">
        <f t="shared" si="28"/>
        <v>0</v>
      </c>
      <c r="F587" s="4">
        <v>44762</v>
      </c>
      <c r="G587" s="4">
        <v>44762</v>
      </c>
      <c r="H587" s="4">
        <v>44762</v>
      </c>
      <c r="I587" s="4"/>
      <c r="J587" s="5">
        <f t="shared" si="29"/>
        <v>0</v>
      </c>
      <c r="K587" s="5">
        <f t="shared" si="29"/>
        <v>0</v>
      </c>
    </row>
    <row r="588" spans="3:11" x14ac:dyDescent="0.2">
      <c r="C588" t="s">
        <v>1045</v>
      </c>
      <c r="D588" t="b">
        <f t="shared" ca="1" si="27"/>
        <v>1</v>
      </c>
      <c r="E588" s="5">
        <f t="shared" si="28"/>
        <v>0</v>
      </c>
      <c r="F588">
        <v>15</v>
      </c>
      <c r="G588">
        <v>15</v>
      </c>
      <c r="H588">
        <v>15</v>
      </c>
      <c r="J588" s="5">
        <f t="shared" si="29"/>
        <v>0</v>
      </c>
      <c r="K588" s="5">
        <f t="shared" si="29"/>
        <v>0</v>
      </c>
    </row>
    <row r="589" spans="3:11" x14ac:dyDescent="0.2">
      <c r="C589" t="s">
        <v>1044</v>
      </c>
      <c r="D589" t="b">
        <f t="shared" ca="1" si="27"/>
        <v>1</v>
      </c>
      <c r="E589" s="5">
        <f t="shared" si="28"/>
        <v>0</v>
      </c>
      <c r="F589">
        <v>19788.3</v>
      </c>
      <c r="G589">
        <v>19788.3</v>
      </c>
      <c r="H589">
        <v>19788.3</v>
      </c>
      <c r="J589" s="5">
        <f t="shared" si="29"/>
        <v>0</v>
      </c>
      <c r="K589" s="5">
        <f t="shared" si="29"/>
        <v>0</v>
      </c>
    </row>
    <row r="590" spans="3:11" x14ac:dyDescent="0.2">
      <c r="C590" t="s">
        <v>1043</v>
      </c>
      <c r="D590" t="b">
        <f t="shared" ca="1" si="27"/>
        <v>1</v>
      </c>
      <c r="E590" s="5">
        <f t="shared" si="28"/>
        <v>0</v>
      </c>
      <c r="F590" s="4">
        <v>44762</v>
      </c>
      <c r="G590" s="4">
        <v>44762</v>
      </c>
      <c r="H590" s="4">
        <v>44762</v>
      </c>
      <c r="I590" s="4"/>
      <c r="J590" s="5">
        <f t="shared" si="29"/>
        <v>0</v>
      </c>
      <c r="K590" s="5">
        <f t="shared" si="29"/>
        <v>0</v>
      </c>
    </row>
    <row r="591" spans="3:11" x14ac:dyDescent="0.2">
      <c r="C591" t="s">
        <v>1042</v>
      </c>
      <c r="D591" t="b">
        <f t="shared" ca="1" si="27"/>
        <v>1</v>
      </c>
      <c r="E591" s="5">
        <f t="shared" si="28"/>
        <v>0</v>
      </c>
      <c r="F591">
        <v>15</v>
      </c>
      <c r="G591">
        <v>15</v>
      </c>
      <c r="H591">
        <v>15</v>
      </c>
      <c r="J591" s="5">
        <f t="shared" si="29"/>
        <v>0</v>
      </c>
      <c r="K591" s="5">
        <f t="shared" si="29"/>
        <v>0</v>
      </c>
    </row>
    <row r="592" spans="3:11" x14ac:dyDescent="0.2">
      <c r="C592" t="s">
        <v>1041</v>
      </c>
      <c r="D592" t="b">
        <f t="shared" ca="1" si="27"/>
        <v>1</v>
      </c>
      <c r="E592" s="5">
        <f t="shared" si="28"/>
        <v>0</v>
      </c>
      <c r="F592">
        <v>7905.77</v>
      </c>
      <c r="G592">
        <v>7905.77</v>
      </c>
      <c r="H592">
        <v>7905.77</v>
      </c>
      <c r="J592" s="5">
        <f t="shared" si="29"/>
        <v>0</v>
      </c>
      <c r="K592" s="5">
        <f t="shared" si="29"/>
        <v>0</v>
      </c>
    </row>
    <row r="593" spans="3:11" x14ac:dyDescent="0.2">
      <c r="C593" t="s">
        <v>1040</v>
      </c>
      <c r="D593" t="b">
        <f t="shared" ca="1" si="27"/>
        <v>1</v>
      </c>
      <c r="E593" s="5">
        <f t="shared" si="28"/>
        <v>0</v>
      </c>
      <c r="F593" s="4">
        <v>44741</v>
      </c>
      <c r="G593" s="4">
        <v>44741</v>
      </c>
      <c r="H593" s="4">
        <v>44741</v>
      </c>
      <c r="I593" s="4"/>
      <c r="J593" s="5">
        <f t="shared" si="29"/>
        <v>0</v>
      </c>
      <c r="K593" s="5">
        <f t="shared" si="29"/>
        <v>0</v>
      </c>
    </row>
    <row r="594" spans="3:11" x14ac:dyDescent="0.2">
      <c r="C594" t="s">
        <v>1039</v>
      </c>
      <c r="D594" t="b">
        <f t="shared" ref="D594:D657" ca="1" si="30">IF(CELL("format",F594)="G",IF(ABS(F594-G594) &lt;= ABS(F594*B$3),TRUE,FALSE),IF(F594=G594,TRUE,FALSE))</f>
        <v>1</v>
      </c>
      <c r="E594" s="5">
        <f t="shared" ref="E594:E657" si="31">ABS(F594-G594)/ABS(F594)</f>
        <v>0</v>
      </c>
      <c r="F594">
        <v>16</v>
      </c>
      <c r="G594">
        <v>16</v>
      </c>
      <c r="H594">
        <v>16</v>
      </c>
      <c r="J594" s="5">
        <f t="shared" si="29"/>
        <v>0</v>
      </c>
      <c r="K594" s="5">
        <f t="shared" si="29"/>
        <v>0</v>
      </c>
    </row>
    <row r="595" spans="3:11" x14ac:dyDescent="0.2">
      <c r="C595" t="s">
        <v>1038</v>
      </c>
      <c r="D595" t="b">
        <f t="shared" ca="1" si="30"/>
        <v>1</v>
      </c>
      <c r="E595" s="5">
        <f t="shared" si="31"/>
        <v>0</v>
      </c>
      <c r="F595">
        <v>27650.3</v>
      </c>
      <c r="G595">
        <v>27650.3</v>
      </c>
      <c r="H595">
        <v>27650.3</v>
      </c>
      <c r="J595" s="5">
        <f t="shared" si="29"/>
        <v>0</v>
      </c>
      <c r="K595" s="5">
        <f t="shared" si="29"/>
        <v>0</v>
      </c>
    </row>
    <row r="596" spans="3:11" x14ac:dyDescent="0.2">
      <c r="C596" t="s">
        <v>1037</v>
      </c>
      <c r="D596" t="b">
        <f t="shared" ca="1" si="30"/>
        <v>1</v>
      </c>
      <c r="E596" s="5">
        <f t="shared" si="31"/>
        <v>0</v>
      </c>
      <c r="F596" s="4">
        <v>44741</v>
      </c>
      <c r="G596" s="4">
        <v>44741</v>
      </c>
      <c r="H596" s="4">
        <v>44741</v>
      </c>
      <c r="I596" s="4"/>
      <c r="J596" s="5">
        <f t="shared" si="29"/>
        <v>0</v>
      </c>
      <c r="K596" s="5">
        <f t="shared" si="29"/>
        <v>0</v>
      </c>
    </row>
    <row r="597" spans="3:11" x14ac:dyDescent="0.2">
      <c r="C597" t="s">
        <v>1036</v>
      </c>
      <c r="D597" t="b">
        <f t="shared" ca="1" si="30"/>
        <v>1</v>
      </c>
      <c r="E597" s="5">
        <f t="shared" si="31"/>
        <v>0</v>
      </c>
      <c r="F597">
        <v>16</v>
      </c>
      <c r="G597">
        <v>16</v>
      </c>
      <c r="H597">
        <v>16</v>
      </c>
      <c r="J597" s="5">
        <f t="shared" si="29"/>
        <v>0</v>
      </c>
      <c r="K597" s="5">
        <f t="shared" si="29"/>
        <v>0</v>
      </c>
    </row>
    <row r="598" spans="3:11" x14ac:dyDescent="0.2">
      <c r="C598" t="s">
        <v>1035</v>
      </c>
      <c r="D598" t="b">
        <f t="shared" ca="1" si="30"/>
        <v>1</v>
      </c>
      <c r="E598" s="5">
        <f t="shared" si="31"/>
        <v>0</v>
      </c>
      <c r="F598">
        <v>11451.2</v>
      </c>
      <c r="G598">
        <v>11451.2</v>
      </c>
      <c r="H598">
        <v>11451.2</v>
      </c>
      <c r="J598" s="5">
        <f t="shared" si="29"/>
        <v>0</v>
      </c>
      <c r="K598" s="5">
        <f t="shared" si="29"/>
        <v>0</v>
      </c>
    </row>
    <row r="599" spans="3:11" x14ac:dyDescent="0.2">
      <c r="C599" t="s">
        <v>1034</v>
      </c>
      <c r="D599" t="b">
        <f t="shared" ca="1" si="30"/>
        <v>1</v>
      </c>
      <c r="E599" s="5">
        <f t="shared" si="31"/>
        <v>0</v>
      </c>
      <c r="F599" s="4">
        <v>44762</v>
      </c>
      <c r="G599" s="4">
        <v>44762</v>
      </c>
      <c r="H599" s="4">
        <v>44762</v>
      </c>
      <c r="I599" s="4"/>
      <c r="J599" s="5">
        <f t="shared" si="29"/>
        <v>0</v>
      </c>
      <c r="K599" s="5">
        <f t="shared" si="29"/>
        <v>0</v>
      </c>
    </row>
    <row r="600" spans="3:11" x14ac:dyDescent="0.2">
      <c r="C600" t="s">
        <v>1033</v>
      </c>
      <c r="D600" t="b">
        <f t="shared" ca="1" si="30"/>
        <v>1</v>
      </c>
      <c r="E600" s="5">
        <f t="shared" si="31"/>
        <v>0</v>
      </c>
      <c r="F600">
        <v>15</v>
      </c>
      <c r="G600">
        <v>15</v>
      </c>
      <c r="H600">
        <v>15</v>
      </c>
      <c r="J600" s="5">
        <f t="shared" si="29"/>
        <v>0</v>
      </c>
      <c r="K600" s="5">
        <f t="shared" si="29"/>
        <v>0</v>
      </c>
    </row>
    <row r="601" spans="3:11" x14ac:dyDescent="0.2">
      <c r="C601" t="s">
        <v>1032</v>
      </c>
      <c r="D601" t="b">
        <f t="shared" ca="1" si="30"/>
        <v>1</v>
      </c>
      <c r="E601" s="5">
        <f t="shared" si="31"/>
        <v>0</v>
      </c>
      <c r="F601">
        <v>22227.9</v>
      </c>
      <c r="G601">
        <v>22227.9</v>
      </c>
      <c r="H601">
        <v>22227.9</v>
      </c>
      <c r="J601" s="5">
        <f t="shared" si="29"/>
        <v>0</v>
      </c>
      <c r="K601" s="5">
        <f t="shared" si="29"/>
        <v>0</v>
      </c>
    </row>
    <row r="602" spans="3:11" x14ac:dyDescent="0.2">
      <c r="C602" t="s">
        <v>1031</v>
      </c>
      <c r="D602" t="b">
        <f t="shared" ca="1" si="30"/>
        <v>1</v>
      </c>
      <c r="E602" s="5">
        <f t="shared" si="31"/>
        <v>0</v>
      </c>
      <c r="F602" s="4">
        <v>44762</v>
      </c>
      <c r="G602" s="4">
        <v>44762</v>
      </c>
      <c r="H602" s="4">
        <v>44762</v>
      </c>
      <c r="I602" s="4"/>
      <c r="J602" s="5">
        <f t="shared" si="29"/>
        <v>0</v>
      </c>
      <c r="K602" s="5">
        <f t="shared" si="29"/>
        <v>0</v>
      </c>
    </row>
    <row r="603" spans="3:11" x14ac:dyDescent="0.2">
      <c r="C603" t="s">
        <v>1030</v>
      </c>
      <c r="D603" t="b">
        <f t="shared" ca="1" si="30"/>
        <v>1</v>
      </c>
      <c r="E603" s="5">
        <f t="shared" si="31"/>
        <v>0</v>
      </c>
      <c r="F603">
        <v>15</v>
      </c>
      <c r="G603">
        <v>15</v>
      </c>
      <c r="H603">
        <v>15</v>
      </c>
      <c r="J603" s="5">
        <f t="shared" si="29"/>
        <v>0</v>
      </c>
      <c r="K603" s="5">
        <f t="shared" si="29"/>
        <v>0</v>
      </c>
    </row>
    <row r="604" spans="3:11" x14ac:dyDescent="0.2">
      <c r="C604" t="s">
        <v>1029</v>
      </c>
      <c r="D604" t="b">
        <f t="shared" ca="1" si="30"/>
        <v>1</v>
      </c>
      <c r="E604" s="5">
        <f t="shared" si="31"/>
        <v>9.6271632069627771E-5</v>
      </c>
      <c r="F604">
        <v>9036.93</v>
      </c>
      <c r="G604">
        <v>9037.7999999999993</v>
      </c>
      <c r="H604">
        <v>9037.7999999999993</v>
      </c>
      <c r="J604" s="5">
        <f t="shared" si="29"/>
        <v>9.6271632069627771E-5</v>
      </c>
      <c r="K604" s="5">
        <f t="shared" si="29"/>
        <v>0</v>
      </c>
    </row>
    <row r="605" spans="3:11" x14ac:dyDescent="0.2">
      <c r="C605" t="s">
        <v>1028</v>
      </c>
      <c r="D605" t="b">
        <f t="shared" ca="1" si="30"/>
        <v>1</v>
      </c>
      <c r="E605" s="5">
        <f t="shared" si="31"/>
        <v>0</v>
      </c>
      <c r="F605" s="4">
        <v>44729</v>
      </c>
      <c r="G605" s="4">
        <v>44729</v>
      </c>
      <c r="H605" s="4">
        <v>44729</v>
      </c>
      <c r="I605" s="4"/>
      <c r="J605" s="5">
        <f t="shared" si="29"/>
        <v>0</v>
      </c>
      <c r="K605" s="5">
        <f t="shared" si="29"/>
        <v>0</v>
      </c>
    </row>
    <row r="606" spans="3:11" x14ac:dyDescent="0.2">
      <c r="C606" t="s">
        <v>1027</v>
      </c>
      <c r="D606" t="b">
        <f t="shared" ca="1" si="30"/>
        <v>1</v>
      </c>
      <c r="E606" s="5">
        <f t="shared" si="31"/>
        <v>0</v>
      </c>
      <c r="F606">
        <v>14</v>
      </c>
      <c r="G606">
        <v>14</v>
      </c>
      <c r="H606">
        <v>14</v>
      </c>
      <c r="J606" s="5">
        <f t="shared" si="29"/>
        <v>0</v>
      </c>
      <c r="K606" s="5">
        <f t="shared" si="29"/>
        <v>0</v>
      </c>
    </row>
    <row r="607" spans="3:11" x14ac:dyDescent="0.2">
      <c r="C607" t="s">
        <v>1026</v>
      </c>
      <c r="D607" t="b">
        <f t="shared" ca="1" si="30"/>
        <v>0</v>
      </c>
      <c r="E607" s="5">
        <f t="shared" si="31"/>
        <v>1.314730432162213E-4</v>
      </c>
      <c r="F607">
        <v>31185.1</v>
      </c>
      <c r="G607">
        <v>31189.200000000001</v>
      </c>
      <c r="H607">
        <v>31189.200000000001</v>
      </c>
      <c r="J607" s="5">
        <f t="shared" si="29"/>
        <v>1.314730432162213E-4</v>
      </c>
      <c r="K607" s="5">
        <f t="shared" si="29"/>
        <v>0</v>
      </c>
    </row>
    <row r="608" spans="3:11" x14ac:dyDescent="0.2">
      <c r="C608" t="s">
        <v>1025</v>
      </c>
      <c r="D608" t="b">
        <f t="shared" ca="1" si="30"/>
        <v>1</v>
      </c>
      <c r="E608" s="5">
        <f t="shared" si="31"/>
        <v>0</v>
      </c>
      <c r="F608" s="4">
        <v>44729</v>
      </c>
      <c r="G608" s="4">
        <v>44729</v>
      </c>
      <c r="H608" s="4">
        <v>44729</v>
      </c>
      <c r="I608" s="4"/>
      <c r="J608" s="5">
        <f t="shared" si="29"/>
        <v>0</v>
      </c>
      <c r="K608" s="5">
        <f t="shared" si="29"/>
        <v>0</v>
      </c>
    </row>
    <row r="609" spans="3:11" x14ac:dyDescent="0.2">
      <c r="C609" t="s">
        <v>1024</v>
      </c>
      <c r="D609" t="b">
        <f t="shared" ca="1" si="30"/>
        <v>1</v>
      </c>
      <c r="E609" s="5">
        <f t="shared" si="31"/>
        <v>0</v>
      </c>
      <c r="F609">
        <v>14</v>
      </c>
      <c r="G609">
        <v>14</v>
      </c>
      <c r="H609">
        <v>14</v>
      </c>
      <c r="J609" s="5">
        <f t="shared" si="29"/>
        <v>0</v>
      </c>
      <c r="K609" s="5">
        <f t="shared" si="29"/>
        <v>0</v>
      </c>
    </row>
    <row r="610" spans="3:11" x14ac:dyDescent="0.2">
      <c r="C610" t="s">
        <v>1023</v>
      </c>
      <c r="D610" t="b">
        <f t="shared" ca="1" si="30"/>
        <v>1</v>
      </c>
      <c r="E610" s="5">
        <f t="shared" si="31"/>
        <v>0</v>
      </c>
      <c r="F610">
        <v>11261.9</v>
      </c>
      <c r="G610">
        <v>11261.9</v>
      </c>
      <c r="H610">
        <v>11261.9</v>
      </c>
      <c r="J610" s="5">
        <f t="shared" si="29"/>
        <v>0</v>
      </c>
      <c r="K610" s="5">
        <f t="shared" si="29"/>
        <v>0</v>
      </c>
    </row>
    <row r="611" spans="3:11" x14ac:dyDescent="0.2">
      <c r="C611" t="s">
        <v>1022</v>
      </c>
      <c r="D611" t="b">
        <f t="shared" ca="1" si="30"/>
        <v>1</v>
      </c>
      <c r="E611" s="5">
        <f t="shared" si="31"/>
        <v>0</v>
      </c>
      <c r="F611" s="4">
        <v>44762</v>
      </c>
      <c r="G611" s="4">
        <v>44762</v>
      </c>
      <c r="H611" s="4">
        <v>44762</v>
      </c>
      <c r="I611" s="4"/>
      <c r="J611" s="5">
        <f t="shared" si="29"/>
        <v>0</v>
      </c>
      <c r="K611" s="5">
        <f t="shared" si="29"/>
        <v>0</v>
      </c>
    </row>
    <row r="612" spans="3:11" x14ac:dyDescent="0.2">
      <c r="C612" t="s">
        <v>1021</v>
      </c>
      <c r="D612" t="b">
        <f t="shared" ca="1" si="30"/>
        <v>1</v>
      </c>
      <c r="E612" s="5">
        <f t="shared" si="31"/>
        <v>0</v>
      </c>
      <c r="F612">
        <v>15</v>
      </c>
      <c r="G612">
        <v>15</v>
      </c>
      <c r="H612">
        <v>15</v>
      </c>
      <c r="J612" s="5">
        <f t="shared" si="29"/>
        <v>0</v>
      </c>
      <c r="K612" s="5">
        <f t="shared" si="29"/>
        <v>0</v>
      </c>
    </row>
    <row r="613" spans="3:11" x14ac:dyDescent="0.2">
      <c r="C613" t="s">
        <v>1020</v>
      </c>
      <c r="D613" t="b">
        <f t="shared" ca="1" si="30"/>
        <v>1</v>
      </c>
      <c r="E613" s="5">
        <f t="shared" si="31"/>
        <v>0</v>
      </c>
      <c r="F613">
        <v>20009.7</v>
      </c>
      <c r="G613">
        <v>20009.7</v>
      </c>
      <c r="H613">
        <v>20009.7</v>
      </c>
      <c r="J613" s="5">
        <f t="shared" si="29"/>
        <v>0</v>
      </c>
      <c r="K613" s="5">
        <f t="shared" si="29"/>
        <v>0</v>
      </c>
    </row>
    <row r="614" spans="3:11" x14ac:dyDescent="0.2">
      <c r="C614" t="s">
        <v>1019</v>
      </c>
      <c r="D614" t="b">
        <f t="shared" ca="1" si="30"/>
        <v>1</v>
      </c>
      <c r="E614" s="5">
        <f t="shared" si="31"/>
        <v>0</v>
      </c>
      <c r="F614" s="4">
        <v>44762</v>
      </c>
      <c r="G614" s="4">
        <v>44762</v>
      </c>
      <c r="H614" s="4">
        <v>44762</v>
      </c>
      <c r="I614" s="4"/>
      <c r="J614" s="5">
        <f t="shared" si="29"/>
        <v>0</v>
      </c>
      <c r="K614" s="5">
        <f t="shared" si="29"/>
        <v>0</v>
      </c>
    </row>
    <row r="615" spans="3:11" x14ac:dyDescent="0.2">
      <c r="C615" t="s">
        <v>1018</v>
      </c>
      <c r="D615" t="b">
        <f t="shared" ca="1" si="30"/>
        <v>1</v>
      </c>
      <c r="E615" s="5">
        <f t="shared" si="31"/>
        <v>0</v>
      </c>
      <c r="F615">
        <v>16</v>
      </c>
      <c r="G615">
        <v>16</v>
      </c>
      <c r="H615">
        <v>16</v>
      </c>
      <c r="J615" s="5">
        <f t="shared" si="29"/>
        <v>0</v>
      </c>
      <c r="K615" s="5">
        <f t="shared" si="29"/>
        <v>0</v>
      </c>
    </row>
    <row r="616" spans="3:11" x14ac:dyDescent="0.2">
      <c r="C616" t="s">
        <v>1017</v>
      </c>
      <c r="D616" t="b">
        <f t="shared" ca="1" si="30"/>
        <v>1</v>
      </c>
      <c r="E616" s="5">
        <f t="shared" si="31"/>
        <v>0</v>
      </c>
      <c r="F616">
        <v>7783.51</v>
      </c>
      <c r="G616">
        <v>7783.51</v>
      </c>
      <c r="H616">
        <v>7783.51</v>
      </c>
      <c r="J616" s="5">
        <f t="shared" si="29"/>
        <v>0</v>
      </c>
      <c r="K616" s="5">
        <f t="shared" si="29"/>
        <v>0</v>
      </c>
    </row>
    <row r="617" spans="3:11" x14ac:dyDescent="0.2">
      <c r="C617" t="s">
        <v>1016</v>
      </c>
      <c r="D617" t="b">
        <f t="shared" ca="1" si="30"/>
        <v>1</v>
      </c>
      <c r="E617" s="5">
        <f t="shared" si="31"/>
        <v>0</v>
      </c>
      <c r="F617" s="4">
        <v>44741</v>
      </c>
      <c r="G617" s="4">
        <v>44741</v>
      </c>
      <c r="H617" s="4">
        <v>44741</v>
      </c>
      <c r="I617" s="4"/>
      <c r="J617" s="5">
        <f t="shared" si="29"/>
        <v>0</v>
      </c>
      <c r="K617" s="5">
        <f t="shared" si="29"/>
        <v>0</v>
      </c>
    </row>
    <row r="618" spans="3:11" x14ac:dyDescent="0.2">
      <c r="C618" t="s">
        <v>1015</v>
      </c>
      <c r="D618" t="b">
        <f t="shared" ca="1" si="30"/>
        <v>1</v>
      </c>
      <c r="E618" s="5">
        <f t="shared" si="31"/>
        <v>0</v>
      </c>
      <c r="F618">
        <v>16</v>
      </c>
      <c r="G618">
        <v>16</v>
      </c>
      <c r="H618">
        <v>16</v>
      </c>
      <c r="J618" s="5">
        <f t="shared" si="29"/>
        <v>0</v>
      </c>
      <c r="K618" s="5">
        <f t="shared" si="29"/>
        <v>0</v>
      </c>
    </row>
    <row r="619" spans="3:11" x14ac:dyDescent="0.2">
      <c r="C619" t="s">
        <v>1014</v>
      </c>
      <c r="D619" t="b">
        <f t="shared" ca="1" si="30"/>
        <v>1</v>
      </c>
      <c r="E619" s="5">
        <f t="shared" si="31"/>
        <v>0</v>
      </c>
      <c r="F619">
        <v>27726.7</v>
      </c>
      <c r="G619">
        <v>27726.7</v>
      </c>
      <c r="H619">
        <v>27726.7</v>
      </c>
      <c r="J619" s="5">
        <f t="shared" si="29"/>
        <v>0</v>
      </c>
      <c r="K619" s="5">
        <f t="shared" si="29"/>
        <v>0</v>
      </c>
    </row>
    <row r="620" spans="3:11" x14ac:dyDescent="0.2">
      <c r="C620" t="s">
        <v>1013</v>
      </c>
      <c r="D620" t="b">
        <f t="shared" ca="1" si="30"/>
        <v>1</v>
      </c>
      <c r="E620" s="5">
        <f t="shared" si="31"/>
        <v>0</v>
      </c>
      <c r="F620" s="4">
        <v>44741</v>
      </c>
      <c r="G620" s="4">
        <v>44741</v>
      </c>
      <c r="H620" s="4">
        <v>44741</v>
      </c>
      <c r="I620" s="4"/>
      <c r="J620" s="5">
        <f t="shared" si="29"/>
        <v>0</v>
      </c>
      <c r="K620" s="5">
        <f t="shared" si="29"/>
        <v>0</v>
      </c>
    </row>
    <row r="621" spans="3:11" x14ac:dyDescent="0.2">
      <c r="C621" t="s">
        <v>1012</v>
      </c>
      <c r="D621" t="b">
        <f t="shared" ca="1" si="30"/>
        <v>1</v>
      </c>
      <c r="E621" s="5">
        <f t="shared" si="31"/>
        <v>0</v>
      </c>
      <c r="F621">
        <v>16</v>
      </c>
      <c r="G621">
        <v>16</v>
      </c>
      <c r="H621">
        <v>16</v>
      </c>
      <c r="J621" s="5">
        <f t="shared" si="29"/>
        <v>0</v>
      </c>
      <c r="K621" s="5">
        <f t="shared" si="29"/>
        <v>0</v>
      </c>
    </row>
    <row r="622" spans="3:11" x14ac:dyDescent="0.2">
      <c r="C622" t="s">
        <v>1011</v>
      </c>
      <c r="D622" t="b">
        <f t="shared" ca="1" si="30"/>
        <v>1</v>
      </c>
      <c r="E622" s="5">
        <f t="shared" si="31"/>
        <v>0</v>
      </c>
      <c r="F622">
        <v>10899.4</v>
      </c>
      <c r="G622">
        <v>10899.4</v>
      </c>
      <c r="H622">
        <v>10899.4</v>
      </c>
      <c r="J622" s="5">
        <f t="shared" si="29"/>
        <v>0</v>
      </c>
      <c r="K622" s="5">
        <f t="shared" si="29"/>
        <v>0</v>
      </c>
    </row>
    <row r="623" spans="3:11" x14ac:dyDescent="0.2">
      <c r="C623" t="s">
        <v>1010</v>
      </c>
      <c r="D623" t="b">
        <f t="shared" ca="1" si="30"/>
        <v>1</v>
      </c>
      <c r="E623" s="5">
        <f t="shared" si="31"/>
        <v>0</v>
      </c>
      <c r="F623" s="4">
        <v>44762</v>
      </c>
      <c r="G623" s="4">
        <v>44762</v>
      </c>
      <c r="H623" s="4">
        <v>44762</v>
      </c>
      <c r="I623" s="4"/>
      <c r="J623" s="5">
        <f t="shared" si="29"/>
        <v>0</v>
      </c>
      <c r="K623" s="5">
        <f t="shared" si="29"/>
        <v>0</v>
      </c>
    </row>
    <row r="624" spans="3:11" x14ac:dyDescent="0.2">
      <c r="C624" t="s">
        <v>1009</v>
      </c>
      <c r="D624" t="b">
        <f t="shared" ca="1" si="30"/>
        <v>1</v>
      </c>
      <c r="E624" s="5">
        <f t="shared" si="31"/>
        <v>0</v>
      </c>
      <c r="F624">
        <v>15</v>
      </c>
      <c r="G624">
        <v>15</v>
      </c>
      <c r="H624">
        <v>15</v>
      </c>
      <c r="J624" s="5">
        <f t="shared" si="29"/>
        <v>0</v>
      </c>
      <c r="K624" s="5">
        <f t="shared" si="29"/>
        <v>0</v>
      </c>
    </row>
    <row r="625" spans="3:11" x14ac:dyDescent="0.2">
      <c r="C625" t="s">
        <v>1008</v>
      </c>
      <c r="D625" t="b">
        <f t="shared" ca="1" si="30"/>
        <v>1</v>
      </c>
      <c r="E625" s="5">
        <f t="shared" si="31"/>
        <v>0</v>
      </c>
      <c r="F625">
        <v>19894.5</v>
      </c>
      <c r="G625">
        <v>19894.5</v>
      </c>
      <c r="H625">
        <v>19894.5</v>
      </c>
      <c r="J625" s="5">
        <f t="shared" si="29"/>
        <v>0</v>
      </c>
      <c r="K625" s="5">
        <f t="shared" si="29"/>
        <v>0</v>
      </c>
    </row>
    <row r="626" spans="3:11" x14ac:dyDescent="0.2">
      <c r="C626" t="s">
        <v>1007</v>
      </c>
      <c r="D626" t="b">
        <f t="shared" ca="1" si="30"/>
        <v>1</v>
      </c>
      <c r="E626" s="5">
        <f t="shared" si="31"/>
        <v>0</v>
      </c>
      <c r="F626" s="4">
        <v>44762</v>
      </c>
      <c r="G626" s="4">
        <v>44762</v>
      </c>
      <c r="H626" s="4">
        <v>44762</v>
      </c>
      <c r="I626" s="4"/>
      <c r="J626" s="5">
        <f t="shared" si="29"/>
        <v>0</v>
      </c>
      <c r="K626" s="5">
        <f t="shared" si="29"/>
        <v>0</v>
      </c>
    </row>
    <row r="627" spans="3:11" x14ac:dyDescent="0.2">
      <c r="C627" t="s">
        <v>1006</v>
      </c>
      <c r="D627" t="b">
        <f t="shared" ca="1" si="30"/>
        <v>1</v>
      </c>
      <c r="E627" s="5">
        <f t="shared" si="31"/>
        <v>0</v>
      </c>
      <c r="F627">
        <v>15</v>
      </c>
      <c r="G627">
        <v>15</v>
      </c>
      <c r="H627">
        <v>15</v>
      </c>
      <c r="J627" s="5">
        <f t="shared" si="29"/>
        <v>0</v>
      </c>
      <c r="K627" s="5">
        <f t="shared" si="29"/>
        <v>0</v>
      </c>
    </row>
    <row r="628" spans="3:11" x14ac:dyDescent="0.2">
      <c r="C628" t="s">
        <v>1005</v>
      </c>
      <c r="D628" t="b">
        <f t="shared" ca="1" si="30"/>
        <v>1</v>
      </c>
      <c r="E628" s="5">
        <f t="shared" si="31"/>
        <v>0</v>
      </c>
      <c r="F628">
        <v>7847.84</v>
      </c>
      <c r="G628">
        <v>7847.84</v>
      </c>
      <c r="H628">
        <v>7847.84</v>
      </c>
      <c r="J628" s="5">
        <f t="shared" si="29"/>
        <v>0</v>
      </c>
      <c r="K628" s="5">
        <f t="shared" si="29"/>
        <v>0</v>
      </c>
    </row>
    <row r="629" spans="3:11" x14ac:dyDescent="0.2">
      <c r="C629" t="s">
        <v>1004</v>
      </c>
      <c r="D629" t="b">
        <f t="shared" ca="1" si="30"/>
        <v>1</v>
      </c>
      <c r="E629" s="5">
        <f t="shared" si="31"/>
        <v>0</v>
      </c>
      <c r="F629" s="4">
        <v>44741</v>
      </c>
      <c r="G629" s="4">
        <v>44741</v>
      </c>
      <c r="H629" s="4">
        <v>44741</v>
      </c>
      <c r="I629" s="4"/>
      <c r="J629" s="5">
        <f t="shared" si="29"/>
        <v>0</v>
      </c>
      <c r="K629" s="5">
        <f t="shared" si="29"/>
        <v>0</v>
      </c>
    </row>
    <row r="630" spans="3:11" x14ac:dyDescent="0.2">
      <c r="C630" t="s">
        <v>1003</v>
      </c>
      <c r="D630" t="b">
        <f t="shared" ca="1" si="30"/>
        <v>1</v>
      </c>
      <c r="E630" s="5">
        <f t="shared" si="31"/>
        <v>0</v>
      </c>
      <c r="F630">
        <v>16</v>
      </c>
      <c r="G630">
        <v>16</v>
      </c>
      <c r="H630">
        <v>16</v>
      </c>
      <c r="J630" s="5">
        <f t="shared" si="29"/>
        <v>0</v>
      </c>
      <c r="K630" s="5">
        <f t="shared" si="29"/>
        <v>0</v>
      </c>
    </row>
    <row r="631" spans="3:11" x14ac:dyDescent="0.2">
      <c r="C631" t="s">
        <v>1002</v>
      </c>
      <c r="D631" t="b">
        <f t="shared" ca="1" si="30"/>
        <v>1</v>
      </c>
      <c r="E631" s="5">
        <f t="shared" si="31"/>
        <v>0</v>
      </c>
      <c r="F631">
        <v>27693.3</v>
      </c>
      <c r="G631">
        <v>27693.3</v>
      </c>
      <c r="H631">
        <v>27693.3</v>
      </c>
      <c r="J631" s="5">
        <f t="shared" si="29"/>
        <v>0</v>
      </c>
      <c r="K631" s="5">
        <f t="shared" si="29"/>
        <v>0</v>
      </c>
    </row>
    <row r="632" spans="3:11" x14ac:dyDescent="0.2">
      <c r="C632" t="s">
        <v>1001</v>
      </c>
      <c r="D632" t="b">
        <f t="shared" ca="1" si="30"/>
        <v>1</v>
      </c>
      <c r="E632" s="5">
        <f t="shared" si="31"/>
        <v>0</v>
      </c>
      <c r="F632" s="4">
        <v>44741</v>
      </c>
      <c r="G632" s="4">
        <v>44741</v>
      </c>
      <c r="H632" s="4">
        <v>44741</v>
      </c>
      <c r="I632" s="4"/>
      <c r="J632" s="5">
        <f t="shared" si="29"/>
        <v>0</v>
      </c>
      <c r="K632" s="5">
        <f t="shared" si="29"/>
        <v>0</v>
      </c>
    </row>
    <row r="633" spans="3:11" x14ac:dyDescent="0.2">
      <c r="C633" t="s">
        <v>1000</v>
      </c>
      <c r="D633" t="b">
        <f t="shared" ca="1" si="30"/>
        <v>1</v>
      </c>
      <c r="E633" s="5">
        <f t="shared" si="31"/>
        <v>0</v>
      </c>
      <c r="F633">
        <v>16</v>
      </c>
      <c r="G633">
        <v>16</v>
      </c>
      <c r="H633">
        <v>16</v>
      </c>
      <c r="J633" s="5">
        <f t="shared" si="29"/>
        <v>0</v>
      </c>
      <c r="K633" s="5">
        <f t="shared" si="29"/>
        <v>0</v>
      </c>
    </row>
    <row r="634" spans="3:11" x14ac:dyDescent="0.2">
      <c r="C634" t="s">
        <v>999</v>
      </c>
      <c r="D634" t="b">
        <f t="shared" ca="1" si="30"/>
        <v>1</v>
      </c>
      <c r="E634" s="5">
        <f t="shared" si="31"/>
        <v>0</v>
      </c>
      <c r="F634">
        <v>9585.57</v>
      </c>
      <c r="G634">
        <v>9585.57</v>
      </c>
      <c r="H634">
        <v>9585.57</v>
      </c>
      <c r="J634" s="5">
        <f t="shared" si="29"/>
        <v>0</v>
      </c>
      <c r="K634" s="5">
        <f t="shared" si="29"/>
        <v>0</v>
      </c>
    </row>
    <row r="635" spans="3:11" x14ac:dyDescent="0.2">
      <c r="C635" t="s">
        <v>998</v>
      </c>
      <c r="D635" t="b">
        <f t="shared" ca="1" si="30"/>
        <v>1</v>
      </c>
      <c r="E635" s="5">
        <f t="shared" si="31"/>
        <v>0</v>
      </c>
      <c r="F635" s="4">
        <v>44762</v>
      </c>
      <c r="G635" s="4">
        <v>44762</v>
      </c>
      <c r="H635" s="4">
        <v>44762</v>
      </c>
      <c r="I635" s="4"/>
      <c r="J635" s="5">
        <f t="shared" si="29"/>
        <v>0</v>
      </c>
      <c r="K635" s="5">
        <f t="shared" si="29"/>
        <v>0</v>
      </c>
    </row>
    <row r="636" spans="3:11" x14ac:dyDescent="0.2">
      <c r="C636" t="s">
        <v>997</v>
      </c>
      <c r="D636" t="b">
        <f t="shared" ca="1" si="30"/>
        <v>1</v>
      </c>
      <c r="E636" s="5">
        <f t="shared" si="31"/>
        <v>0</v>
      </c>
      <c r="F636">
        <v>15</v>
      </c>
      <c r="G636">
        <v>15</v>
      </c>
      <c r="H636">
        <v>15</v>
      </c>
      <c r="J636" s="5">
        <f t="shared" si="29"/>
        <v>0</v>
      </c>
      <c r="K636" s="5">
        <f t="shared" si="29"/>
        <v>0</v>
      </c>
    </row>
    <row r="637" spans="3:11" x14ac:dyDescent="0.2">
      <c r="C637" t="s">
        <v>996</v>
      </c>
      <c r="D637" t="b">
        <f t="shared" ca="1" si="30"/>
        <v>1</v>
      </c>
      <c r="E637" s="5">
        <f t="shared" si="31"/>
        <v>0</v>
      </c>
      <c r="F637">
        <v>19590.8</v>
      </c>
      <c r="G637">
        <v>19590.8</v>
      </c>
      <c r="H637">
        <v>19590.8</v>
      </c>
      <c r="J637" s="5">
        <f t="shared" si="29"/>
        <v>0</v>
      </c>
      <c r="K637" s="5">
        <f t="shared" si="29"/>
        <v>0</v>
      </c>
    </row>
    <row r="638" spans="3:11" x14ac:dyDescent="0.2">
      <c r="C638" t="s">
        <v>995</v>
      </c>
      <c r="D638" t="b">
        <f t="shared" ca="1" si="30"/>
        <v>1</v>
      </c>
      <c r="E638" s="5">
        <f t="shared" si="31"/>
        <v>0</v>
      </c>
      <c r="F638" s="4">
        <v>44762</v>
      </c>
      <c r="G638" s="4">
        <v>44762</v>
      </c>
      <c r="H638" s="4">
        <v>44762</v>
      </c>
      <c r="I638" s="4"/>
      <c r="J638" s="5">
        <f t="shared" si="29"/>
        <v>0</v>
      </c>
      <c r="K638" s="5">
        <f t="shared" si="29"/>
        <v>0</v>
      </c>
    </row>
    <row r="639" spans="3:11" x14ac:dyDescent="0.2">
      <c r="C639" t="s">
        <v>994</v>
      </c>
      <c r="D639" t="b">
        <f t="shared" ca="1" si="30"/>
        <v>1</v>
      </c>
      <c r="E639" s="5">
        <f t="shared" si="31"/>
        <v>0</v>
      </c>
      <c r="F639">
        <v>15</v>
      </c>
      <c r="G639">
        <v>15</v>
      </c>
      <c r="H639">
        <v>15</v>
      </c>
      <c r="J639" s="5">
        <f t="shared" si="29"/>
        <v>0</v>
      </c>
      <c r="K639" s="5">
        <f t="shared" si="29"/>
        <v>0</v>
      </c>
    </row>
    <row r="640" spans="3:11" x14ac:dyDescent="0.2">
      <c r="C640" t="s">
        <v>993</v>
      </c>
      <c r="D640" t="b">
        <f t="shared" ca="1" si="30"/>
        <v>1</v>
      </c>
      <c r="E640" s="5">
        <f t="shared" si="31"/>
        <v>0</v>
      </c>
      <c r="F640">
        <v>8001.29</v>
      </c>
      <c r="G640">
        <v>8001.29</v>
      </c>
      <c r="H640">
        <v>8001.29</v>
      </c>
      <c r="J640" s="5">
        <f t="shared" si="29"/>
        <v>0</v>
      </c>
      <c r="K640" s="5">
        <f t="shared" si="29"/>
        <v>0</v>
      </c>
    </row>
    <row r="641" spans="3:11" x14ac:dyDescent="0.2">
      <c r="C641" t="s">
        <v>992</v>
      </c>
      <c r="D641" t="b">
        <f t="shared" ca="1" si="30"/>
        <v>1</v>
      </c>
      <c r="E641" s="5">
        <f t="shared" si="31"/>
        <v>0</v>
      </c>
      <c r="F641" s="4">
        <v>44741</v>
      </c>
      <c r="G641" s="4">
        <v>44741</v>
      </c>
      <c r="H641" s="4">
        <v>44741</v>
      </c>
      <c r="I641" s="4"/>
      <c r="J641" s="5">
        <f t="shared" si="29"/>
        <v>0</v>
      </c>
      <c r="K641" s="5">
        <f t="shared" si="29"/>
        <v>0</v>
      </c>
    </row>
    <row r="642" spans="3:11" x14ac:dyDescent="0.2">
      <c r="C642" t="s">
        <v>991</v>
      </c>
      <c r="D642" t="b">
        <f t="shared" ca="1" si="30"/>
        <v>1</v>
      </c>
      <c r="E642" s="5">
        <f t="shared" si="31"/>
        <v>0</v>
      </c>
      <c r="F642">
        <v>16</v>
      </c>
      <c r="G642">
        <v>16</v>
      </c>
      <c r="H642">
        <v>16</v>
      </c>
      <c r="J642" s="5">
        <f t="shared" si="29"/>
        <v>0</v>
      </c>
      <c r="K642" s="5">
        <f t="shared" si="29"/>
        <v>0</v>
      </c>
    </row>
    <row r="643" spans="3:11" x14ac:dyDescent="0.2">
      <c r="C643" t="s">
        <v>990</v>
      </c>
      <c r="D643" t="b">
        <f t="shared" ca="1" si="30"/>
        <v>1</v>
      </c>
      <c r="E643" s="5">
        <f t="shared" si="31"/>
        <v>0</v>
      </c>
      <c r="F643">
        <v>27558.2</v>
      </c>
      <c r="G643">
        <v>27558.2</v>
      </c>
      <c r="H643">
        <v>27558.2</v>
      </c>
      <c r="J643" s="5">
        <f t="shared" si="29"/>
        <v>0</v>
      </c>
      <c r="K643" s="5">
        <f t="shared" si="29"/>
        <v>0</v>
      </c>
    </row>
    <row r="644" spans="3:11" x14ac:dyDescent="0.2">
      <c r="C644" t="s">
        <v>989</v>
      </c>
      <c r="D644" t="b">
        <f t="shared" ca="1" si="30"/>
        <v>1</v>
      </c>
      <c r="E644" s="5">
        <f t="shared" si="31"/>
        <v>0</v>
      </c>
      <c r="F644" s="4">
        <v>44741</v>
      </c>
      <c r="G644" s="4">
        <v>44741</v>
      </c>
      <c r="H644" s="4">
        <v>44741</v>
      </c>
      <c r="I644" s="4"/>
      <c r="J644" s="5">
        <f t="shared" si="29"/>
        <v>0</v>
      </c>
      <c r="K644" s="5">
        <f t="shared" si="29"/>
        <v>0</v>
      </c>
    </row>
    <row r="645" spans="3:11" x14ac:dyDescent="0.2">
      <c r="C645" t="s">
        <v>988</v>
      </c>
      <c r="D645" t="b">
        <f t="shared" ca="1" si="30"/>
        <v>1</v>
      </c>
      <c r="E645" s="5">
        <f t="shared" si="31"/>
        <v>0</v>
      </c>
      <c r="F645">
        <v>16</v>
      </c>
      <c r="G645">
        <v>16</v>
      </c>
      <c r="H645">
        <v>16</v>
      </c>
      <c r="J645" s="5">
        <f t="shared" si="29"/>
        <v>0</v>
      </c>
      <c r="K645" s="5">
        <f t="shared" si="29"/>
        <v>0</v>
      </c>
    </row>
    <row r="646" spans="3:11" x14ac:dyDescent="0.2">
      <c r="C646" t="s">
        <v>987</v>
      </c>
      <c r="D646" t="b">
        <f t="shared" ca="1" si="30"/>
        <v>1</v>
      </c>
      <c r="E646" s="5">
        <f t="shared" si="31"/>
        <v>4.3391268712335544E-5</v>
      </c>
      <c r="F646">
        <v>8296.6</v>
      </c>
      <c r="G646">
        <v>8296.9599999999991</v>
      </c>
      <c r="H646">
        <v>8296.9599999999991</v>
      </c>
      <c r="J646" s="5">
        <f t="shared" si="29"/>
        <v>4.3391268712335544E-5</v>
      </c>
      <c r="K646" s="5">
        <f t="shared" si="29"/>
        <v>0</v>
      </c>
    </row>
    <row r="647" spans="3:11" x14ac:dyDescent="0.2">
      <c r="C647" t="s">
        <v>986</v>
      </c>
      <c r="D647" t="b">
        <f t="shared" ca="1" si="30"/>
        <v>1</v>
      </c>
      <c r="E647" s="5">
        <f t="shared" si="31"/>
        <v>0</v>
      </c>
      <c r="F647" s="4">
        <v>44762</v>
      </c>
      <c r="G647" s="4">
        <v>44762</v>
      </c>
      <c r="H647" s="4">
        <v>44762</v>
      </c>
      <c r="I647" s="4"/>
      <c r="J647" s="5">
        <f t="shared" ref="J647:K710" si="32">ABS(F647-G647)/ABS(F647)</f>
        <v>0</v>
      </c>
      <c r="K647" s="5">
        <f t="shared" si="32"/>
        <v>0</v>
      </c>
    </row>
    <row r="648" spans="3:11" x14ac:dyDescent="0.2">
      <c r="C648" t="s">
        <v>985</v>
      </c>
      <c r="D648" t="b">
        <f t="shared" ca="1" si="30"/>
        <v>1</v>
      </c>
      <c r="E648" s="5">
        <f t="shared" si="31"/>
        <v>0</v>
      </c>
      <c r="F648">
        <v>15</v>
      </c>
      <c r="G648">
        <v>15</v>
      </c>
      <c r="H648">
        <v>15</v>
      </c>
      <c r="J648" s="5">
        <f t="shared" si="32"/>
        <v>0</v>
      </c>
      <c r="K648" s="5">
        <f t="shared" si="32"/>
        <v>0</v>
      </c>
    </row>
    <row r="649" spans="3:11" x14ac:dyDescent="0.2">
      <c r="C649" t="s">
        <v>984</v>
      </c>
      <c r="D649" t="b">
        <f t="shared" ca="1" si="30"/>
        <v>1</v>
      </c>
      <c r="E649" s="5">
        <f t="shared" si="31"/>
        <v>5.0872980343790843E-6</v>
      </c>
      <c r="F649">
        <v>19656.8</v>
      </c>
      <c r="G649">
        <v>19656.900000000001</v>
      </c>
      <c r="H649">
        <v>19656.900000000001</v>
      </c>
      <c r="J649" s="5">
        <f t="shared" si="32"/>
        <v>5.0872980343790843E-6</v>
      </c>
      <c r="K649" s="5">
        <f t="shared" si="32"/>
        <v>0</v>
      </c>
    </row>
    <row r="650" spans="3:11" x14ac:dyDescent="0.2">
      <c r="C650" t="s">
        <v>983</v>
      </c>
      <c r="D650" t="b">
        <f t="shared" ca="1" si="30"/>
        <v>1</v>
      </c>
      <c r="E650" s="5">
        <f t="shared" si="31"/>
        <v>0</v>
      </c>
      <c r="F650" s="4">
        <v>44762</v>
      </c>
      <c r="G650" s="4">
        <v>44762</v>
      </c>
      <c r="H650" s="4">
        <v>44762</v>
      </c>
      <c r="I650" s="4"/>
      <c r="J650" s="5">
        <f t="shared" si="32"/>
        <v>0</v>
      </c>
      <c r="K650" s="5">
        <f t="shared" si="32"/>
        <v>0</v>
      </c>
    </row>
    <row r="651" spans="3:11" x14ac:dyDescent="0.2">
      <c r="C651" t="s">
        <v>982</v>
      </c>
      <c r="D651" t="b">
        <f t="shared" ca="1" si="30"/>
        <v>1</v>
      </c>
      <c r="E651" s="5">
        <f t="shared" si="31"/>
        <v>0</v>
      </c>
      <c r="F651">
        <v>15</v>
      </c>
      <c r="G651">
        <v>15</v>
      </c>
      <c r="H651">
        <v>15</v>
      </c>
      <c r="J651" s="5">
        <f t="shared" si="32"/>
        <v>0</v>
      </c>
      <c r="K651" s="5">
        <f t="shared" si="32"/>
        <v>0</v>
      </c>
    </row>
    <row r="652" spans="3:11" x14ac:dyDescent="0.2">
      <c r="C652" t="s">
        <v>981</v>
      </c>
      <c r="D652" t="b">
        <f t="shared" ca="1" si="30"/>
        <v>0</v>
      </c>
      <c r="E652" s="5">
        <f t="shared" si="31"/>
        <v>2.0988898362745454E-2</v>
      </c>
      <c r="F652">
        <v>116.10899999999999</v>
      </c>
      <c r="G652">
        <v>118.54600000000001</v>
      </c>
      <c r="H652">
        <v>118.54600000000001</v>
      </c>
      <c r="J652" s="5">
        <f t="shared" si="32"/>
        <v>2.0988898362745454E-2</v>
      </c>
      <c r="K652" s="5">
        <f t="shared" si="32"/>
        <v>0</v>
      </c>
    </row>
    <row r="653" spans="3:11" x14ac:dyDescent="0.2">
      <c r="C653" t="s">
        <v>980</v>
      </c>
      <c r="D653" t="b">
        <f t="shared" ca="1" si="30"/>
        <v>1</v>
      </c>
      <c r="E653" s="5">
        <f t="shared" si="31"/>
        <v>0</v>
      </c>
      <c r="F653" s="4">
        <v>44636</v>
      </c>
      <c r="G653" s="4">
        <v>44636</v>
      </c>
      <c r="H653" s="4">
        <v>44636</v>
      </c>
      <c r="I653" s="4"/>
      <c r="J653" s="5">
        <f t="shared" si="32"/>
        <v>0</v>
      </c>
      <c r="K653" s="5">
        <f t="shared" si="32"/>
        <v>0</v>
      </c>
    </row>
    <row r="654" spans="3:11" x14ac:dyDescent="0.2">
      <c r="C654" t="s">
        <v>979</v>
      </c>
      <c r="D654" t="b">
        <f t="shared" ca="1" si="30"/>
        <v>1</v>
      </c>
      <c r="E654" s="5">
        <f t="shared" si="31"/>
        <v>0</v>
      </c>
      <c r="F654">
        <v>10</v>
      </c>
      <c r="G654">
        <v>10</v>
      </c>
      <c r="H654">
        <v>10</v>
      </c>
      <c r="J654" s="5">
        <f t="shared" si="32"/>
        <v>0</v>
      </c>
      <c r="K654" s="5">
        <f t="shared" si="32"/>
        <v>0</v>
      </c>
    </row>
    <row r="655" spans="3:11" x14ac:dyDescent="0.2">
      <c r="C655" t="s">
        <v>978</v>
      </c>
      <c r="D655" t="b">
        <f t="shared" ca="1" si="30"/>
        <v>1</v>
      </c>
      <c r="E655" s="5">
        <f t="shared" si="31"/>
        <v>5.0872980343790843E-6</v>
      </c>
      <c r="F655">
        <v>19656.8</v>
      </c>
      <c r="G655">
        <v>19656.900000000001</v>
      </c>
      <c r="H655">
        <v>19656.900000000001</v>
      </c>
      <c r="J655" s="5">
        <f t="shared" si="32"/>
        <v>5.0872980343790843E-6</v>
      </c>
      <c r="K655" s="5">
        <f t="shared" si="32"/>
        <v>0</v>
      </c>
    </row>
    <row r="656" spans="3:11" x14ac:dyDescent="0.2">
      <c r="C656" t="s">
        <v>977</v>
      </c>
      <c r="D656" t="b">
        <f t="shared" ca="1" si="30"/>
        <v>1</v>
      </c>
      <c r="E656" s="5">
        <f t="shared" si="31"/>
        <v>0</v>
      </c>
      <c r="F656" s="4">
        <v>44762</v>
      </c>
      <c r="G656" s="4">
        <v>44762</v>
      </c>
      <c r="H656" s="4">
        <v>44762</v>
      </c>
      <c r="I656" s="4"/>
      <c r="J656" s="5">
        <f t="shared" si="32"/>
        <v>0</v>
      </c>
      <c r="K656" s="5">
        <f t="shared" si="32"/>
        <v>0</v>
      </c>
    </row>
    <row r="657" spans="3:11" x14ac:dyDescent="0.2">
      <c r="C657" t="s">
        <v>976</v>
      </c>
      <c r="D657" t="b">
        <f t="shared" ca="1" si="30"/>
        <v>1</v>
      </c>
      <c r="E657" s="5">
        <f t="shared" si="31"/>
        <v>0</v>
      </c>
      <c r="F657">
        <v>15</v>
      </c>
      <c r="G657">
        <v>15</v>
      </c>
      <c r="H657">
        <v>15</v>
      </c>
      <c r="J657" s="5">
        <f t="shared" si="32"/>
        <v>0</v>
      </c>
      <c r="K657" s="5">
        <f t="shared" si="32"/>
        <v>0</v>
      </c>
    </row>
    <row r="658" spans="3:11" x14ac:dyDescent="0.2">
      <c r="C658" t="s">
        <v>975</v>
      </c>
      <c r="D658" t="b">
        <f t="shared" ref="D658:D721" ca="1" si="33">IF(CELL("format",F658)="G",IF(ABS(F658-G658) &lt;= ABS(F658*B$3),TRUE,FALSE),IF(F658=G658,TRUE,FALSE))</f>
        <v>1</v>
      </c>
      <c r="E658" s="5">
        <f t="shared" ref="E658:E721" si="34">ABS(F658-G658)/ABS(F658)</f>
        <v>0</v>
      </c>
      <c r="F658">
        <v>9079.35</v>
      </c>
      <c r="G658">
        <v>9079.35</v>
      </c>
      <c r="H658">
        <v>9079.35</v>
      </c>
      <c r="J658" s="5">
        <f t="shared" si="32"/>
        <v>0</v>
      </c>
      <c r="K658" s="5">
        <f t="shared" si="32"/>
        <v>0</v>
      </c>
    </row>
    <row r="659" spans="3:11" x14ac:dyDescent="0.2">
      <c r="C659" t="s">
        <v>974</v>
      </c>
      <c r="D659" t="b">
        <f t="shared" ca="1" si="33"/>
        <v>1</v>
      </c>
      <c r="E659" s="5">
        <f t="shared" si="34"/>
        <v>0</v>
      </c>
      <c r="F659" s="4">
        <v>44762</v>
      </c>
      <c r="G659" s="4">
        <v>44762</v>
      </c>
      <c r="H659" s="4">
        <v>44762</v>
      </c>
      <c r="I659" s="4"/>
      <c r="J659" s="5">
        <f t="shared" si="32"/>
        <v>0</v>
      </c>
      <c r="K659" s="5">
        <f t="shared" si="32"/>
        <v>0</v>
      </c>
    </row>
    <row r="660" spans="3:11" x14ac:dyDescent="0.2">
      <c r="C660" t="s">
        <v>973</v>
      </c>
      <c r="D660" t="b">
        <f t="shared" ca="1" si="33"/>
        <v>1</v>
      </c>
      <c r="E660" s="5">
        <f t="shared" si="34"/>
        <v>0</v>
      </c>
      <c r="F660">
        <v>15</v>
      </c>
      <c r="G660">
        <v>15</v>
      </c>
      <c r="H660">
        <v>15</v>
      </c>
      <c r="J660" s="5">
        <f t="shared" si="32"/>
        <v>0</v>
      </c>
      <c r="K660" s="5">
        <f t="shared" si="32"/>
        <v>0</v>
      </c>
    </row>
    <row r="661" spans="3:11" x14ac:dyDescent="0.2">
      <c r="C661" t="s">
        <v>972</v>
      </c>
      <c r="D661" t="b">
        <f t="shared" ca="1" si="33"/>
        <v>1</v>
      </c>
      <c r="E661" s="5">
        <f t="shared" si="34"/>
        <v>0</v>
      </c>
      <c r="F661">
        <v>19813</v>
      </c>
      <c r="G661">
        <v>19813</v>
      </c>
      <c r="H661">
        <v>19813</v>
      </c>
      <c r="J661" s="5">
        <f t="shared" si="32"/>
        <v>0</v>
      </c>
      <c r="K661" s="5">
        <f t="shared" si="32"/>
        <v>0</v>
      </c>
    </row>
    <row r="662" spans="3:11" x14ac:dyDescent="0.2">
      <c r="C662" t="s">
        <v>971</v>
      </c>
      <c r="D662" t="b">
        <f t="shared" ca="1" si="33"/>
        <v>1</v>
      </c>
      <c r="E662" s="5">
        <f t="shared" si="34"/>
        <v>0</v>
      </c>
      <c r="F662" s="4">
        <v>44762</v>
      </c>
      <c r="G662" s="4">
        <v>44762</v>
      </c>
      <c r="H662" s="4">
        <v>44762</v>
      </c>
      <c r="I662" s="4"/>
      <c r="J662" s="5">
        <f t="shared" si="32"/>
        <v>0</v>
      </c>
      <c r="K662" s="5">
        <f t="shared" si="32"/>
        <v>0</v>
      </c>
    </row>
    <row r="663" spans="3:11" x14ac:dyDescent="0.2">
      <c r="C663" t="s">
        <v>970</v>
      </c>
      <c r="D663" t="b">
        <f t="shared" ca="1" si="33"/>
        <v>1</v>
      </c>
      <c r="E663" s="5">
        <f t="shared" si="34"/>
        <v>0</v>
      </c>
      <c r="F663">
        <v>15</v>
      </c>
      <c r="G663">
        <v>15</v>
      </c>
      <c r="H663">
        <v>15</v>
      </c>
      <c r="J663" s="5">
        <f t="shared" si="32"/>
        <v>0</v>
      </c>
      <c r="K663" s="5">
        <f t="shared" si="32"/>
        <v>0</v>
      </c>
    </row>
    <row r="664" spans="3:11" x14ac:dyDescent="0.2">
      <c r="C664" t="s">
        <v>969</v>
      </c>
      <c r="D664" t="b">
        <f t="shared" ca="1" si="33"/>
        <v>0</v>
      </c>
      <c r="E664" s="5">
        <f t="shared" si="34"/>
        <v>5.2185654419054008E-3</v>
      </c>
      <c r="F664">
        <v>1644.13</v>
      </c>
      <c r="G664">
        <v>1652.71</v>
      </c>
      <c r="H664">
        <v>1652.71</v>
      </c>
      <c r="J664" s="5">
        <f t="shared" si="32"/>
        <v>5.2185654419054008E-3</v>
      </c>
      <c r="K664" s="5">
        <f t="shared" si="32"/>
        <v>0</v>
      </c>
    </row>
    <row r="665" spans="3:11" x14ac:dyDescent="0.2">
      <c r="C665" t="s">
        <v>968</v>
      </c>
      <c r="D665" t="b">
        <f t="shared" ca="1" si="33"/>
        <v>1</v>
      </c>
      <c r="E665" s="5">
        <f t="shared" si="34"/>
        <v>0</v>
      </c>
      <c r="F665" s="4">
        <v>44631</v>
      </c>
      <c r="G665" s="4">
        <v>44631</v>
      </c>
      <c r="H665" s="4">
        <v>44631</v>
      </c>
      <c r="I665" s="4"/>
      <c r="J665" s="5">
        <f t="shared" si="32"/>
        <v>0</v>
      </c>
      <c r="K665" s="5">
        <f t="shared" si="32"/>
        <v>0</v>
      </c>
    </row>
    <row r="666" spans="3:11" x14ac:dyDescent="0.2">
      <c r="C666" t="s">
        <v>967</v>
      </c>
      <c r="D666" t="b">
        <f t="shared" ca="1" si="33"/>
        <v>1</v>
      </c>
      <c r="E666" s="5">
        <f t="shared" si="34"/>
        <v>0</v>
      </c>
      <c r="F666">
        <v>10</v>
      </c>
      <c r="G666">
        <v>10</v>
      </c>
      <c r="H666">
        <v>10</v>
      </c>
      <c r="J666" s="5">
        <f t="shared" si="32"/>
        <v>0</v>
      </c>
      <c r="K666" s="5">
        <f t="shared" si="32"/>
        <v>0</v>
      </c>
    </row>
    <row r="667" spans="3:11" x14ac:dyDescent="0.2">
      <c r="C667" t="s">
        <v>966</v>
      </c>
      <c r="D667" t="b">
        <f t="shared" ca="1" si="33"/>
        <v>1</v>
      </c>
      <c r="E667" s="5">
        <f t="shared" si="34"/>
        <v>0</v>
      </c>
      <c r="F667">
        <v>19813</v>
      </c>
      <c r="G667">
        <v>19813</v>
      </c>
      <c r="H667">
        <v>19813</v>
      </c>
      <c r="J667" s="5">
        <f t="shared" si="32"/>
        <v>0</v>
      </c>
      <c r="K667" s="5">
        <f t="shared" si="32"/>
        <v>0</v>
      </c>
    </row>
    <row r="668" spans="3:11" x14ac:dyDescent="0.2">
      <c r="C668" t="s">
        <v>965</v>
      </c>
      <c r="D668" t="b">
        <f t="shared" ca="1" si="33"/>
        <v>1</v>
      </c>
      <c r="E668" s="5">
        <f t="shared" si="34"/>
        <v>0</v>
      </c>
      <c r="F668" s="4">
        <v>44762</v>
      </c>
      <c r="G668" s="4">
        <v>44762</v>
      </c>
      <c r="H668" s="4">
        <v>44762</v>
      </c>
      <c r="I668" s="4"/>
      <c r="J668" s="5">
        <f t="shared" si="32"/>
        <v>0</v>
      </c>
      <c r="K668" s="5">
        <f t="shared" si="32"/>
        <v>0</v>
      </c>
    </row>
    <row r="669" spans="3:11" x14ac:dyDescent="0.2">
      <c r="C669" t="s">
        <v>964</v>
      </c>
      <c r="D669" t="b">
        <f t="shared" ca="1" si="33"/>
        <v>1</v>
      </c>
      <c r="E669" s="5">
        <f t="shared" si="34"/>
        <v>0</v>
      </c>
      <c r="F669">
        <v>15</v>
      </c>
      <c r="G669">
        <v>15</v>
      </c>
      <c r="H669">
        <v>15</v>
      </c>
      <c r="J669" s="5">
        <f t="shared" si="32"/>
        <v>0</v>
      </c>
      <c r="K669" s="5">
        <f t="shared" si="32"/>
        <v>0</v>
      </c>
    </row>
    <row r="670" spans="3:11" x14ac:dyDescent="0.2">
      <c r="C670" t="s">
        <v>963</v>
      </c>
      <c r="D670" t="b">
        <f t="shared" ca="1" si="33"/>
        <v>1</v>
      </c>
      <c r="E670" s="5">
        <f t="shared" si="34"/>
        <v>6.8220989667705257E-5</v>
      </c>
      <c r="F670">
        <v>7768.87</v>
      </c>
      <c r="G670">
        <v>7768.34</v>
      </c>
      <c r="H670">
        <v>7768.34</v>
      </c>
      <c r="J670" s="5">
        <f t="shared" si="32"/>
        <v>6.8220989667705257E-5</v>
      </c>
      <c r="K670" s="5">
        <f t="shared" si="32"/>
        <v>0</v>
      </c>
    </row>
    <row r="671" spans="3:11" x14ac:dyDescent="0.2">
      <c r="C671" t="s">
        <v>962</v>
      </c>
      <c r="D671" t="b">
        <f t="shared" ca="1" si="33"/>
        <v>1</v>
      </c>
      <c r="E671" s="5">
        <f t="shared" si="34"/>
        <v>0</v>
      </c>
      <c r="F671" s="4">
        <v>44762</v>
      </c>
      <c r="G671" s="4">
        <v>44762</v>
      </c>
      <c r="H671" s="4">
        <v>44762</v>
      </c>
      <c r="I671" s="4"/>
      <c r="J671" s="5">
        <f t="shared" si="32"/>
        <v>0</v>
      </c>
      <c r="K671" s="5">
        <f t="shared" si="32"/>
        <v>0</v>
      </c>
    </row>
    <row r="672" spans="3:11" x14ac:dyDescent="0.2">
      <c r="C672" t="s">
        <v>961</v>
      </c>
      <c r="D672" t="b">
        <f t="shared" ca="1" si="33"/>
        <v>1</v>
      </c>
      <c r="E672" s="5">
        <f t="shared" si="34"/>
        <v>0</v>
      </c>
      <c r="F672">
        <v>15</v>
      </c>
      <c r="G672">
        <v>15</v>
      </c>
      <c r="H672">
        <v>15</v>
      </c>
      <c r="J672" s="5">
        <f t="shared" si="32"/>
        <v>0</v>
      </c>
      <c r="K672" s="5">
        <f t="shared" si="32"/>
        <v>0</v>
      </c>
    </row>
    <row r="673" spans="3:11" x14ac:dyDescent="0.2">
      <c r="C673" t="s">
        <v>960</v>
      </c>
      <c r="D673" t="b">
        <f t="shared" ca="1" si="33"/>
        <v>1</v>
      </c>
      <c r="E673" s="5">
        <f t="shared" si="34"/>
        <v>5.1179691897510013E-6</v>
      </c>
      <c r="F673">
        <v>19539</v>
      </c>
      <c r="G673">
        <v>19538.900000000001</v>
      </c>
      <c r="H673">
        <v>19538.900000000001</v>
      </c>
      <c r="J673" s="5">
        <f t="shared" si="32"/>
        <v>5.1179691897510013E-6</v>
      </c>
      <c r="K673" s="5">
        <f t="shared" si="32"/>
        <v>0</v>
      </c>
    </row>
    <row r="674" spans="3:11" x14ac:dyDescent="0.2">
      <c r="C674" t="s">
        <v>959</v>
      </c>
      <c r="D674" t="b">
        <f t="shared" ca="1" si="33"/>
        <v>1</v>
      </c>
      <c r="E674" s="5">
        <f t="shared" si="34"/>
        <v>0</v>
      </c>
      <c r="F674" s="4">
        <v>44762</v>
      </c>
      <c r="G674" s="4">
        <v>44762</v>
      </c>
      <c r="H674" s="4">
        <v>44762</v>
      </c>
      <c r="I674" s="4"/>
      <c r="J674" s="5">
        <f t="shared" si="32"/>
        <v>0</v>
      </c>
      <c r="K674" s="5">
        <f t="shared" si="32"/>
        <v>0</v>
      </c>
    </row>
    <row r="675" spans="3:11" x14ac:dyDescent="0.2">
      <c r="C675" t="s">
        <v>958</v>
      </c>
      <c r="D675" t="b">
        <f t="shared" ca="1" si="33"/>
        <v>1</v>
      </c>
      <c r="E675" s="5">
        <f t="shared" si="34"/>
        <v>0</v>
      </c>
      <c r="F675">
        <v>15</v>
      </c>
      <c r="G675">
        <v>15</v>
      </c>
      <c r="H675">
        <v>15</v>
      </c>
      <c r="J675" s="5">
        <f t="shared" si="32"/>
        <v>0</v>
      </c>
      <c r="K675" s="5">
        <f t="shared" si="32"/>
        <v>0</v>
      </c>
    </row>
    <row r="676" spans="3:11" x14ac:dyDescent="0.2">
      <c r="C676" t="s">
        <v>957</v>
      </c>
      <c r="D676" t="b">
        <f t="shared" ca="1" si="33"/>
        <v>0</v>
      </c>
      <c r="E676" s="5">
        <f t="shared" si="34"/>
        <v>0.12499931280545791</v>
      </c>
      <c r="F676" s="2">
        <v>7.2759600000000004E-12</v>
      </c>
      <c r="G676" s="2">
        <v>8.18545E-12</v>
      </c>
      <c r="H676" s="2">
        <v>6.3664599999999999E-12</v>
      </c>
      <c r="I676" s="2"/>
      <c r="J676" s="5">
        <f t="shared" si="32"/>
        <v>0.12499931280545791</v>
      </c>
      <c r="K676" s="5">
        <f t="shared" si="32"/>
        <v>0.2222223579644369</v>
      </c>
    </row>
    <row r="677" spans="3:11" x14ac:dyDescent="0.2">
      <c r="C677" t="s">
        <v>956</v>
      </c>
      <c r="D677" t="b">
        <f t="shared" ca="1" si="33"/>
        <v>0</v>
      </c>
      <c r="E677" s="5">
        <f t="shared" si="34"/>
        <v>2.6786312194468625E-4</v>
      </c>
      <c r="F677" s="4">
        <v>44799</v>
      </c>
      <c r="G677" s="4">
        <v>44787</v>
      </c>
      <c r="H677" s="4">
        <v>44791</v>
      </c>
      <c r="I677" s="4"/>
      <c r="J677" s="5">
        <f t="shared" si="32"/>
        <v>2.6786312194468625E-4</v>
      </c>
      <c r="K677" s="5">
        <f t="shared" si="32"/>
        <v>8.9311630607095811E-5</v>
      </c>
    </row>
    <row r="678" spans="3:11" x14ac:dyDescent="0.2">
      <c r="C678" t="s">
        <v>955</v>
      </c>
      <c r="D678" t="b">
        <f t="shared" ca="1" si="33"/>
        <v>0</v>
      </c>
      <c r="E678" s="5">
        <f t="shared" si="34"/>
        <v>0.14285714285714285</v>
      </c>
      <c r="F678">
        <v>14</v>
      </c>
      <c r="G678">
        <v>16</v>
      </c>
      <c r="H678">
        <v>15</v>
      </c>
      <c r="J678" s="5">
        <f t="shared" si="32"/>
        <v>0.14285714285714285</v>
      </c>
      <c r="K678" s="5">
        <f t="shared" si="32"/>
        <v>6.25E-2</v>
      </c>
    </row>
    <row r="679" spans="3:11" x14ac:dyDescent="0.2">
      <c r="C679" t="s">
        <v>954</v>
      </c>
      <c r="D679" t="b">
        <f t="shared" ca="1" si="33"/>
        <v>1</v>
      </c>
      <c r="E679" s="5">
        <f t="shared" si="34"/>
        <v>5.1179691897510013E-6</v>
      </c>
      <c r="F679">
        <v>19539</v>
      </c>
      <c r="G679">
        <v>19538.900000000001</v>
      </c>
      <c r="H679">
        <v>19538.900000000001</v>
      </c>
      <c r="J679" s="5">
        <f t="shared" si="32"/>
        <v>5.1179691897510013E-6</v>
      </c>
      <c r="K679" s="5">
        <f t="shared" si="32"/>
        <v>0</v>
      </c>
    </row>
    <row r="680" spans="3:11" x14ac:dyDescent="0.2">
      <c r="C680" t="s">
        <v>953</v>
      </c>
      <c r="D680" t="b">
        <f t="shared" ca="1" si="33"/>
        <v>1</v>
      </c>
      <c r="E680" s="5">
        <f t="shared" si="34"/>
        <v>0</v>
      </c>
      <c r="F680" s="4">
        <v>44762</v>
      </c>
      <c r="G680" s="4">
        <v>44762</v>
      </c>
      <c r="H680" s="4">
        <v>44762</v>
      </c>
      <c r="I680" s="4"/>
      <c r="J680" s="5">
        <f t="shared" si="32"/>
        <v>0</v>
      </c>
      <c r="K680" s="5">
        <f t="shared" si="32"/>
        <v>0</v>
      </c>
    </row>
    <row r="681" spans="3:11" x14ac:dyDescent="0.2">
      <c r="C681" t="s">
        <v>952</v>
      </c>
      <c r="D681" t="b">
        <f t="shared" ca="1" si="33"/>
        <v>1</v>
      </c>
      <c r="E681" s="5">
        <f t="shared" si="34"/>
        <v>0</v>
      </c>
      <c r="F681">
        <v>15</v>
      </c>
      <c r="G681">
        <v>15</v>
      </c>
      <c r="H681">
        <v>15</v>
      </c>
      <c r="J681" s="5">
        <f t="shared" si="32"/>
        <v>0</v>
      </c>
      <c r="K681" s="5">
        <f t="shared" si="32"/>
        <v>0</v>
      </c>
    </row>
    <row r="682" spans="3:11" x14ac:dyDescent="0.2">
      <c r="C682" t="s">
        <v>951</v>
      </c>
      <c r="D682" t="b">
        <f t="shared" ca="1" si="33"/>
        <v>1</v>
      </c>
      <c r="E682" s="5">
        <f t="shared" si="34"/>
        <v>1.0195082911578568E-5</v>
      </c>
      <c r="F682">
        <v>3.9234599999999999</v>
      </c>
      <c r="G682">
        <v>3.9235000000000002</v>
      </c>
      <c r="H682">
        <v>3.9235000000000002</v>
      </c>
      <c r="J682" s="5">
        <f t="shared" si="32"/>
        <v>1.0195082911578568E-5</v>
      </c>
      <c r="K682" s="5">
        <f t="shared" si="32"/>
        <v>0</v>
      </c>
    </row>
    <row r="683" spans="3:11" x14ac:dyDescent="0.2">
      <c r="C683" t="s">
        <v>950</v>
      </c>
      <c r="D683" t="b">
        <f t="shared" ca="1" si="33"/>
        <v>1</v>
      </c>
      <c r="E683" s="5">
        <f t="shared" si="34"/>
        <v>0</v>
      </c>
      <c r="F683" s="4">
        <v>44926</v>
      </c>
      <c r="G683" s="4">
        <v>44926</v>
      </c>
      <c r="H683" s="4">
        <v>44926</v>
      </c>
      <c r="I683" s="4"/>
      <c r="J683" s="5">
        <f t="shared" si="32"/>
        <v>0</v>
      </c>
      <c r="K683" s="5">
        <f t="shared" si="32"/>
        <v>0</v>
      </c>
    </row>
    <row r="684" spans="3:11" x14ac:dyDescent="0.2">
      <c r="C684" t="s">
        <v>949</v>
      </c>
      <c r="D684" t="b">
        <f t="shared" ca="1" si="33"/>
        <v>1</v>
      </c>
      <c r="E684" s="5">
        <f t="shared" si="34"/>
        <v>0</v>
      </c>
      <c r="F684">
        <v>23</v>
      </c>
      <c r="G684">
        <v>23</v>
      </c>
      <c r="H684">
        <v>23</v>
      </c>
      <c r="J684" s="5">
        <f t="shared" si="32"/>
        <v>0</v>
      </c>
      <c r="K684" s="5">
        <f t="shared" si="32"/>
        <v>0</v>
      </c>
    </row>
    <row r="685" spans="3:11" x14ac:dyDescent="0.2">
      <c r="C685" t="s">
        <v>948</v>
      </c>
      <c r="D685" t="b">
        <f t="shared" ca="1" si="33"/>
        <v>1</v>
      </c>
      <c r="E685" s="5">
        <f t="shared" si="34"/>
        <v>0</v>
      </c>
      <c r="F685">
        <v>2.7747700000000002</v>
      </c>
      <c r="G685">
        <v>2.7747700000000002</v>
      </c>
      <c r="H685">
        <v>2.7747700000000002</v>
      </c>
      <c r="J685" s="5">
        <f t="shared" si="32"/>
        <v>0</v>
      </c>
      <c r="K685" s="5">
        <f t="shared" si="32"/>
        <v>0</v>
      </c>
    </row>
    <row r="686" spans="3:11" x14ac:dyDescent="0.2">
      <c r="C686" t="s">
        <v>947</v>
      </c>
      <c r="D686" t="b">
        <f t="shared" ca="1" si="33"/>
        <v>1</v>
      </c>
      <c r="E686" s="5">
        <f t="shared" si="34"/>
        <v>0</v>
      </c>
      <c r="F686" s="4">
        <v>44725</v>
      </c>
      <c r="G686" s="4">
        <v>44725</v>
      </c>
      <c r="H686" s="4">
        <v>44725</v>
      </c>
      <c r="I686" s="4"/>
      <c r="J686" s="5">
        <f t="shared" si="32"/>
        <v>0</v>
      </c>
      <c r="K686" s="5">
        <f t="shared" si="32"/>
        <v>0</v>
      </c>
    </row>
    <row r="687" spans="3:11" x14ac:dyDescent="0.2">
      <c r="C687" t="s">
        <v>946</v>
      </c>
      <c r="D687" t="b">
        <f t="shared" ca="1" si="33"/>
        <v>1</v>
      </c>
      <c r="E687" s="5">
        <f t="shared" si="34"/>
        <v>0</v>
      </c>
      <c r="F687">
        <v>16</v>
      </c>
      <c r="G687">
        <v>16</v>
      </c>
      <c r="H687">
        <v>16</v>
      </c>
      <c r="J687" s="5">
        <f t="shared" si="32"/>
        <v>0</v>
      </c>
      <c r="K687" s="5">
        <f t="shared" si="32"/>
        <v>0</v>
      </c>
    </row>
    <row r="688" spans="3:11" x14ac:dyDescent="0.2">
      <c r="C688" t="s">
        <v>945</v>
      </c>
      <c r="D688" t="b">
        <f t="shared" ca="1" si="33"/>
        <v>1</v>
      </c>
      <c r="E688" s="5">
        <f t="shared" si="34"/>
        <v>0</v>
      </c>
      <c r="F688">
        <v>25.009799999999998</v>
      </c>
      <c r="G688">
        <v>25.009799999999998</v>
      </c>
      <c r="H688">
        <v>25.009799999999998</v>
      </c>
      <c r="J688" s="5">
        <f t="shared" si="32"/>
        <v>0</v>
      </c>
      <c r="K688" s="5">
        <f t="shared" si="32"/>
        <v>0</v>
      </c>
    </row>
    <row r="689" spans="3:11" x14ac:dyDescent="0.2">
      <c r="C689" t="s">
        <v>944</v>
      </c>
      <c r="D689" t="b">
        <f t="shared" ca="1" si="33"/>
        <v>1</v>
      </c>
      <c r="E689" s="5">
        <f t="shared" si="34"/>
        <v>0</v>
      </c>
      <c r="F689" s="4">
        <v>44845</v>
      </c>
      <c r="G689" s="4">
        <v>44845</v>
      </c>
      <c r="H689" s="4">
        <v>44845</v>
      </c>
      <c r="I689" s="4"/>
      <c r="J689" s="5">
        <f t="shared" si="32"/>
        <v>0</v>
      </c>
      <c r="K689" s="5">
        <f t="shared" si="32"/>
        <v>0</v>
      </c>
    </row>
    <row r="690" spans="3:11" x14ac:dyDescent="0.2">
      <c r="C690" t="s">
        <v>943</v>
      </c>
      <c r="D690" t="b">
        <f t="shared" ca="1" si="33"/>
        <v>1</v>
      </c>
      <c r="E690" s="5">
        <f t="shared" si="34"/>
        <v>0</v>
      </c>
      <c r="F690">
        <v>16</v>
      </c>
      <c r="G690">
        <v>16</v>
      </c>
      <c r="H690">
        <v>16</v>
      </c>
      <c r="J690" s="5">
        <f t="shared" si="32"/>
        <v>0</v>
      </c>
      <c r="K690" s="5">
        <f t="shared" si="32"/>
        <v>0</v>
      </c>
    </row>
    <row r="691" spans="3:11" x14ac:dyDescent="0.2">
      <c r="C691" t="s">
        <v>942</v>
      </c>
      <c r="D691" t="b">
        <f t="shared" ca="1" si="33"/>
        <v>1</v>
      </c>
      <c r="E691" s="5">
        <f t="shared" si="34"/>
        <v>0</v>
      </c>
      <c r="F691">
        <v>8.7244899999999994</v>
      </c>
      <c r="G691">
        <v>8.7244899999999994</v>
      </c>
      <c r="H691">
        <v>8.7244899999999994</v>
      </c>
      <c r="J691" s="5">
        <f t="shared" si="32"/>
        <v>0</v>
      </c>
      <c r="K691" s="5">
        <f t="shared" si="32"/>
        <v>0</v>
      </c>
    </row>
    <row r="692" spans="3:11" x14ac:dyDescent="0.2">
      <c r="C692" t="s">
        <v>941</v>
      </c>
      <c r="D692" t="b">
        <f t="shared" ca="1" si="33"/>
        <v>1</v>
      </c>
      <c r="E692" s="5">
        <f t="shared" si="34"/>
        <v>0</v>
      </c>
      <c r="F692" s="4">
        <v>44567</v>
      </c>
      <c r="G692" s="4">
        <v>44567</v>
      </c>
      <c r="H692" s="4">
        <v>44567</v>
      </c>
      <c r="I692" s="4"/>
      <c r="J692" s="5">
        <f t="shared" si="32"/>
        <v>0</v>
      </c>
      <c r="K692" s="5">
        <f t="shared" si="32"/>
        <v>0</v>
      </c>
    </row>
    <row r="693" spans="3:11" x14ac:dyDescent="0.2">
      <c r="C693" t="s">
        <v>940</v>
      </c>
      <c r="D693" t="b">
        <f t="shared" ca="1" si="33"/>
        <v>1</v>
      </c>
      <c r="E693" s="5">
        <f t="shared" si="34"/>
        <v>0</v>
      </c>
      <c r="F693">
        <v>6</v>
      </c>
      <c r="G693">
        <v>6</v>
      </c>
      <c r="H693">
        <v>6</v>
      </c>
      <c r="J693" s="5">
        <f t="shared" si="32"/>
        <v>0</v>
      </c>
      <c r="K693" s="5">
        <f t="shared" si="32"/>
        <v>0</v>
      </c>
    </row>
    <row r="694" spans="3:11" x14ac:dyDescent="0.2">
      <c r="C694" t="s">
        <v>939</v>
      </c>
      <c r="D694" t="b">
        <f t="shared" ca="1" si="33"/>
        <v>1</v>
      </c>
      <c r="E694" s="5">
        <f t="shared" si="34"/>
        <v>1.4811084615766914E-5</v>
      </c>
      <c r="F694">
        <v>1.35034E-2</v>
      </c>
      <c r="G694">
        <v>1.35032E-2</v>
      </c>
      <c r="H694">
        <v>1.35032E-2</v>
      </c>
      <c r="J694" s="5">
        <f t="shared" si="32"/>
        <v>1.4811084615766914E-5</v>
      </c>
      <c r="K694" s="5">
        <f t="shared" si="32"/>
        <v>0</v>
      </c>
    </row>
    <row r="695" spans="3:11" x14ac:dyDescent="0.2">
      <c r="C695" t="s">
        <v>938</v>
      </c>
      <c r="D695" t="b">
        <f t="shared" ca="1" si="33"/>
        <v>1</v>
      </c>
      <c r="E695" s="5">
        <f t="shared" si="34"/>
        <v>0</v>
      </c>
      <c r="F695" s="4">
        <v>44881</v>
      </c>
      <c r="G695" s="4">
        <v>44881</v>
      </c>
      <c r="H695" s="4">
        <v>44881</v>
      </c>
      <c r="I695" s="4"/>
      <c r="J695" s="5">
        <f t="shared" si="32"/>
        <v>0</v>
      </c>
      <c r="K695" s="5">
        <f t="shared" si="32"/>
        <v>0</v>
      </c>
    </row>
    <row r="696" spans="3:11" x14ac:dyDescent="0.2">
      <c r="C696" t="s">
        <v>937</v>
      </c>
      <c r="D696" t="b">
        <f t="shared" ca="1" si="33"/>
        <v>1</v>
      </c>
      <c r="E696" s="5">
        <f t="shared" si="34"/>
        <v>0</v>
      </c>
      <c r="F696">
        <v>17</v>
      </c>
      <c r="G696">
        <v>17</v>
      </c>
      <c r="H696">
        <v>17</v>
      </c>
      <c r="J696" s="5">
        <f t="shared" si="32"/>
        <v>0</v>
      </c>
      <c r="K696" s="5">
        <f t="shared" si="32"/>
        <v>0</v>
      </c>
    </row>
    <row r="697" spans="3:11" x14ac:dyDescent="0.2">
      <c r="C697" t="s">
        <v>936</v>
      </c>
      <c r="D697" t="b">
        <f t="shared" ca="1" si="33"/>
        <v>1</v>
      </c>
      <c r="E697" s="5">
        <f t="shared" si="34"/>
        <v>0</v>
      </c>
      <c r="F697">
        <v>1.9291899999999999E-3</v>
      </c>
      <c r="G697">
        <v>1.9291899999999999E-3</v>
      </c>
      <c r="H697">
        <v>1.9291899999999999E-3</v>
      </c>
      <c r="J697" s="5">
        <f t="shared" si="32"/>
        <v>0</v>
      </c>
      <c r="K697" s="5">
        <f t="shared" si="32"/>
        <v>0</v>
      </c>
    </row>
    <row r="698" spans="3:11" x14ac:dyDescent="0.2">
      <c r="C698" t="s">
        <v>935</v>
      </c>
      <c r="D698" t="b">
        <f t="shared" ca="1" si="33"/>
        <v>1</v>
      </c>
      <c r="E698" s="5">
        <f t="shared" si="34"/>
        <v>0</v>
      </c>
      <c r="F698" s="4">
        <v>44572</v>
      </c>
      <c r="G698" s="4">
        <v>44572</v>
      </c>
      <c r="H698" s="4">
        <v>44572</v>
      </c>
      <c r="I698" s="4"/>
      <c r="J698" s="5">
        <f t="shared" si="32"/>
        <v>0</v>
      </c>
      <c r="K698" s="5">
        <f t="shared" si="32"/>
        <v>0</v>
      </c>
    </row>
    <row r="699" spans="3:11" x14ac:dyDescent="0.2">
      <c r="C699" t="s">
        <v>934</v>
      </c>
      <c r="D699" t="b">
        <f t="shared" ca="1" si="33"/>
        <v>1</v>
      </c>
      <c r="E699" s="5">
        <f t="shared" si="34"/>
        <v>0</v>
      </c>
      <c r="F699">
        <v>3</v>
      </c>
      <c r="G699">
        <v>3</v>
      </c>
      <c r="H699">
        <v>3</v>
      </c>
      <c r="J699" s="5">
        <f t="shared" si="32"/>
        <v>0</v>
      </c>
      <c r="K699" s="5">
        <f t="shared" si="32"/>
        <v>0</v>
      </c>
    </row>
    <row r="700" spans="3:11" x14ac:dyDescent="0.2">
      <c r="C700" t="s">
        <v>933</v>
      </c>
      <c r="D700" t="b">
        <f t="shared" ca="1" si="33"/>
        <v>1</v>
      </c>
      <c r="E700" s="5">
        <f t="shared" si="34"/>
        <v>1.6249737788231699E-5</v>
      </c>
      <c r="F700">
        <v>67.693399999999997</v>
      </c>
      <c r="G700">
        <v>67.692300000000003</v>
      </c>
      <c r="H700">
        <v>67.692300000000003</v>
      </c>
      <c r="J700" s="5">
        <f t="shared" si="32"/>
        <v>1.6249737788231699E-5</v>
      </c>
      <c r="K700" s="5">
        <f t="shared" si="32"/>
        <v>0</v>
      </c>
    </row>
    <row r="701" spans="3:11" x14ac:dyDescent="0.2">
      <c r="C701" t="s">
        <v>932</v>
      </c>
      <c r="D701" t="b">
        <f t="shared" ca="1" si="33"/>
        <v>1</v>
      </c>
      <c r="E701" s="5">
        <f t="shared" si="34"/>
        <v>0</v>
      </c>
      <c r="F701" s="4">
        <v>44881</v>
      </c>
      <c r="G701" s="4">
        <v>44881</v>
      </c>
      <c r="H701" s="4">
        <v>44881</v>
      </c>
      <c r="I701" s="4"/>
      <c r="J701" s="5">
        <f t="shared" si="32"/>
        <v>0</v>
      </c>
      <c r="K701" s="5">
        <f t="shared" si="32"/>
        <v>0</v>
      </c>
    </row>
    <row r="702" spans="3:11" x14ac:dyDescent="0.2">
      <c r="C702" t="s">
        <v>931</v>
      </c>
      <c r="D702" t="b">
        <f t="shared" ca="1" si="33"/>
        <v>1</v>
      </c>
      <c r="E702" s="5">
        <f t="shared" si="34"/>
        <v>0</v>
      </c>
      <c r="F702">
        <v>17</v>
      </c>
      <c r="G702">
        <v>17</v>
      </c>
      <c r="H702">
        <v>17</v>
      </c>
      <c r="J702" s="5">
        <f t="shared" si="32"/>
        <v>0</v>
      </c>
      <c r="K702" s="5">
        <f t="shared" si="32"/>
        <v>0</v>
      </c>
    </row>
    <row r="703" spans="3:11" x14ac:dyDescent="0.2">
      <c r="C703" t="s">
        <v>930</v>
      </c>
      <c r="D703" t="b">
        <f t="shared" ca="1" si="33"/>
        <v>1</v>
      </c>
      <c r="E703" s="5">
        <f t="shared" si="34"/>
        <v>0</v>
      </c>
      <c r="F703">
        <v>14.3847</v>
      </c>
      <c r="G703">
        <v>14.3847</v>
      </c>
      <c r="H703">
        <v>14.3847</v>
      </c>
      <c r="J703" s="5">
        <f t="shared" si="32"/>
        <v>0</v>
      </c>
      <c r="K703" s="5">
        <f t="shared" si="32"/>
        <v>0</v>
      </c>
    </row>
    <row r="704" spans="3:11" x14ac:dyDescent="0.2">
      <c r="C704" t="s">
        <v>929</v>
      </c>
      <c r="D704" t="b">
        <f t="shared" ca="1" si="33"/>
        <v>1</v>
      </c>
      <c r="E704" s="5">
        <f t="shared" si="34"/>
        <v>0</v>
      </c>
      <c r="F704" s="4">
        <v>44871</v>
      </c>
      <c r="G704" s="4">
        <v>44871</v>
      </c>
      <c r="H704" s="4">
        <v>44871</v>
      </c>
      <c r="I704" s="4"/>
      <c r="J704" s="5">
        <f t="shared" si="32"/>
        <v>0</v>
      </c>
      <c r="K704" s="5">
        <f t="shared" si="32"/>
        <v>0</v>
      </c>
    </row>
    <row r="705" spans="3:11" x14ac:dyDescent="0.2">
      <c r="C705" t="s">
        <v>928</v>
      </c>
      <c r="D705" t="b">
        <f t="shared" ca="1" si="33"/>
        <v>1</v>
      </c>
      <c r="E705" s="5">
        <f t="shared" si="34"/>
        <v>0</v>
      </c>
      <c r="F705">
        <v>6</v>
      </c>
      <c r="G705">
        <v>6</v>
      </c>
      <c r="H705">
        <v>6</v>
      </c>
      <c r="J705" s="5">
        <f t="shared" si="32"/>
        <v>0</v>
      </c>
      <c r="K705" s="5">
        <f t="shared" si="32"/>
        <v>0</v>
      </c>
    </row>
    <row r="706" spans="3:11" x14ac:dyDescent="0.2">
      <c r="C706" t="s">
        <v>927</v>
      </c>
      <c r="D706" t="b">
        <f t="shared" ca="1" si="33"/>
        <v>1</v>
      </c>
      <c r="E706" s="5">
        <f t="shared" si="34"/>
        <v>1.191736025700585E-5</v>
      </c>
      <c r="F706">
        <v>4.1955600000000004</v>
      </c>
      <c r="G706">
        <v>4.1956100000000003</v>
      </c>
      <c r="H706">
        <v>4.1956100000000003</v>
      </c>
      <c r="J706" s="5">
        <f t="shared" si="32"/>
        <v>1.191736025700585E-5</v>
      </c>
      <c r="K706" s="5">
        <f t="shared" si="32"/>
        <v>0</v>
      </c>
    </row>
    <row r="707" spans="3:11" x14ac:dyDescent="0.2">
      <c r="C707" t="s">
        <v>926</v>
      </c>
      <c r="D707" t="b">
        <f t="shared" ca="1" si="33"/>
        <v>1</v>
      </c>
      <c r="E707" s="5">
        <f t="shared" si="34"/>
        <v>0</v>
      </c>
      <c r="F707" s="4">
        <v>44926</v>
      </c>
      <c r="G707" s="4">
        <v>44926</v>
      </c>
      <c r="H707" s="4">
        <v>44926</v>
      </c>
      <c r="I707" s="4"/>
      <c r="J707" s="5">
        <f t="shared" si="32"/>
        <v>0</v>
      </c>
      <c r="K707" s="5">
        <f t="shared" si="32"/>
        <v>0</v>
      </c>
    </row>
    <row r="708" spans="3:11" x14ac:dyDescent="0.2">
      <c r="C708" t="s">
        <v>925</v>
      </c>
      <c r="D708" t="b">
        <f t="shared" ca="1" si="33"/>
        <v>1</v>
      </c>
      <c r="E708" s="5">
        <f t="shared" si="34"/>
        <v>0</v>
      </c>
      <c r="F708">
        <v>23</v>
      </c>
      <c r="G708">
        <v>23</v>
      </c>
      <c r="H708">
        <v>23</v>
      </c>
      <c r="J708" s="5">
        <f t="shared" si="32"/>
        <v>0</v>
      </c>
      <c r="K708" s="5">
        <f t="shared" si="32"/>
        <v>0</v>
      </c>
    </row>
    <row r="709" spans="3:11" x14ac:dyDescent="0.2">
      <c r="C709" t="s">
        <v>924</v>
      </c>
      <c r="D709" t="b">
        <f t="shared" ca="1" si="33"/>
        <v>1</v>
      </c>
      <c r="E709" s="5">
        <f t="shared" si="34"/>
        <v>0</v>
      </c>
      <c r="F709">
        <v>2.86782</v>
      </c>
      <c r="G709">
        <v>2.86782</v>
      </c>
      <c r="H709">
        <v>2.86782</v>
      </c>
      <c r="J709" s="5">
        <f t="shared" si="32"/>
        <v>0</v>
      </c>
      <c r="K709" s="5">
        <f t="shared" si="32"/>
        <v>0</v>
      </c>
    </row>
    <row r="710" spans="3:11" x14ac:dyDescent="0.2">
      <c r="C710" t="s">
        <v>923</v>
      </c>
      <c r="D710" t="b">
        <f t="shared" ca="1" si="33"/>
        <v>1</v>
      </c>
      <c r="E710" s="5">
        <f t="shared" si="34"/>
        <v>0</v>
      </c>
      <c r="F710" s="4">
        <v>44896</v>
      </c>
      <c r="G710" s="4">
        <v>44896</v>
      </c>
      <c r="H710" s="4">
        <v>44896</v>
      </c>
      <c r="I710" s="4"/>
      <c r="J710" s="5">
        <f t="shared" si="32"/>
        <v>0</v>
      </c>
      <c r="K710" s="5">
        <f t="shared" si="32"/>
        <v>0</v>
      </c>
    </row>
    <row r="711" spans="3:11" x14ac:dyDescent="0.2">
      <c r="C711" t="s">
        <v>922</v>
      </c>
      <c r="D711" t="b">
        <f t="shared" ca="1" si="33"/>
        <v>1</v>
      </c>
      <c r="E711" s="5">
        <f t="shared" si="34"/>
        <v>0</v>
      </c>
      <c r="F711">
        <v>14</v>
      </c>
      <c r="G711">
        <v>14</v>
      </c>
      <c r="H711">
        <v>14</v>
      </c>
      <c r="J711" s="5">
        <f t="shared" ref="J711:K774" si="35">ABS(F711-G711)/ABS(F711)</f>
        <v>0</v>
      </c>
      <c r="K711" s="5">
        <f t="shared" si="35"/>
        <v>0</v>
      </c>
    </row>
    <row r="712" spans="3:11" x14ac:dyDescent="0.2">
      <c r="C712" t="s">
        <v>921</v>
      </c>
      <c r="D712" t="b">
        <f t="shared" ca="1" si="33"/>
        <v>1</v>
      </c>
      <c r="E712" s="5">
        <f t="shared" si="34"/>
        <v>0</v>
      </c>
      <c r="F712">
        <v>26.599399999999999</v>
      </c>
      <c r="G712">
        <v>26.599399999999999</v>
      </c>
      <c r="H712">
        <v>26.599399999999999</v>
      </c>
      <c r="J712" s="5">
        <f t="shared" si="35"/>
        <v>0</v>
      </c>
      <c r="K712" s="5">
        <f t="shared" si="35"/>
        <v>0</v>
      </c>
    </row>
    <row r="713" spans="3:11" x14ac:dyDescent="0.2">
      <c r="C713" t="s">
        <v>920</v>
      </c>
      <c r="D713" t="b">
        <f t="shared" ca="1" si="33"/>
        <v>1</v>
      </c>
      <c r="E713" s="5">
        <f t="shared" si="34"/>
        <v>0</v>
      </c>
      <c r="F713" s="4">
        <v>44762</v>
      </c>
      <c r="G713" s="4">
        <v>44762</v>
      </c>
      <c r="H713" s="4">
        <v>44762</v>
      </c>
      <c r="I713" s="4"/>
      <c r="J713" s="5">
        <f t="shared" si="35"/>
        <v>0</v>
      </c>
      <c r="K713" s="5">
        <f t="shared" si="35"/>
        <v>0</v>
      </c>
    </row>
    <row r="714" spans="3:11" x14ac:dyDescent="0.2">
      <c r="C714" t="s">
        <v>919</v>
      </c>
      <c r="D714" t="b">
        <f t="shared" ca="1" si="33"/>
        <v>1</v>
      </c>
      <c r="E714" s="5">
        <f t="shared" si="34"/>
        <v>0</v>
      </c>
      <c r="F714">
        <v>16</v>
      </c>
      <c r="G714">
        <v>16</v>
      </c>
      <c r="H714">
        <v>16</v>
      </c>
      <c r="J714" s="5">
        <f t="shared" si="35"/>
        <v>0</v>
      </c>
      <c r="K714" s="5">
        <f t="shared" si="35"/>
        <v>0</v>
      </c>
    </row>
    <row r="715" spans="3:11" x14ac:dyDescent="0.2">
      <c r="C715" t="s">
        <v>918</v>
      </c>
      <c r="D715" t="b">
        <f t="shared" ca="1" si="33"/>
        <v>1</v>
      </c>
      <c r="E715" s="5">
        <f t="shared" si="34"/>
        <v>0</v>
      </c>
      <c r="F715">
        <v>8.7244100000000007</v>
      </c>
      <c r="G715">
        <v>8.7244100000000007</v>
      </c>
      <c r="H715">
        <v>8.7244100000000007</v>
      </c>
      <c r="J715" s="5">
        <f t="shared" si="35"/>
        <v>0</v>
      </c>
      <c r="K715" s="5">
        <f t="shared" si="35"/>
        <v>0</v>
      </c>
    </row>
    <row r="716" spans="3:11" x14ac:dyDescent="0.2">
      <c r="C716" t="s">
        <v>917</v>
      </c>
      <c r="D716" t="b">
        <f t="shared" ca="1" si="33"/>
        <v>1</v>
      </c>
      <c r="E716" s="5">
        <f t="shared" si="34"/>
        <v>0</v>
      </c>
      <c r="F716" s="4">
        <v>44567</v>
      </c>
      <c r="G716" s="4">
        <v>44567</v>
      </c>
      <c r="H716" s="4">
        <v>44567</v>
      </c>
      <c r="I716" s="4"/>
      <c r="J716" s="5">
        <f t="shared" si="35"/>
        <v>0</v>
      </c>
      <c r="K716" s="5">
        <f t="shared" si="35"/>
        <v>0</v>
      </c>
    </row>
    <row r="717" spans="3:11" x14ac:dyDescent="0.2">
      <c r="C717" t="s">
        <v>916</v>
      </c>
      <c r="D717" t="b">
        <f t="shared" ca="1" si="33"/>
        <v>1</v>
      </c>
      <c r="E717" s="5">
        <f t="shared" si="34"/>
        <v>0</v>
      </c>
      <c r="F717">
        <v>6</v>
      </c>
      <c r="G717">
        <v>6</v>
      </c>
      <c r="H717">
        <v>6</v>
      </c>
      <c r="J717" s="5">
        <f t="shared" si="35"/>
        <v>0</v>
      </c>
      <c r="K717" s="5">
        <f t="shared" si="35"/>
        <v>0</v>
      </c>
    </row>
    <row r="718" spans="3:11" x14ac:dyDescent="0.2">
      <c r="C718" t="s">
        <v>915</v>
      </c>
      <c r="D718" t="b">
        <f t="shared" ca="1" si="33"/>
        <v>1</v>
      </c>
      <c r="E718" s="5">
        <f t="shared" si="34"/>
        <v>0</v>
      </c>
      <c r="F718">
        <v>1.5486099999999999E-2</v>
      </c>
      <c r="G718">
        <v>1.5486099999999999E-2</v>
      </c>
      <c r="H718">
        <v>1.5486099999999999E-2</v>
      </c>
      <c r="J718" s="5">
        <f t="shared" si="35"/>
        <v>0</v>
      </c>
      <c r="K718" s="5">
        <f t="shared" si="35"/>
        <v>0</v>
      </c>
    </row>
    <row r="719" spans="3:11" x14ac:dyDescent="0.2">
      <c r="C719" t="s">
        <v>914</v>
      </c>
      <c r="D719" t="b">
        <f t="shared" ca="1" si="33"/>
        <v>1</v>
      </c>
      <c r="E719" s="5">
        <f t="shared" si="34"/>
        <v>0</v>
      </c>
      <c r="F719" s="4">
        <v>44835</v>
      </c>
      <c r="G719" s="4">
        <v>44835</v>
      </c>
      <c r="H719" s="4">
        <v>44835</v>
      </c>
      <c r="I719" s="4"/>
      <c r="J719" s="5">
        <f t="shared" si="35"/>
        <v>0</v>
      </c>
      <c r="K719" s="5">
        <f t="shared" si="35"/>
        <v>0</v>
      </c>
    </row>
    <row r="720" spans="3:11" x14ac:dyDescent="0.2">
      <c r="C720" t="s">
        <v>913</v>
      </c>
      <c r="D720" t="b">
        <f t="shared" ca="1" si="33"/>
        <v>1</v>
      </c>
      <c r="E720" s="5">
        <f t="shared" si="34"/>
        <v>0</v>
      </c>
      <c r="F720">
        <v>8</v>
      </c>
      <c r="G720">
        <v>8</v>
      </c>
      <c r="H720">
        <v>8</v>
      </c>
      <c r="J720" s="5">
        <f t="shared" si="35"/>
        <v>0</v>
      </c>
      <c r="K720" s="5">
        <f t="shared" si="35"/>
        <v>0</v>
      </c>
    </row>
    <row r="721" spans="3:11" x14ac:dyDescent="0.2">
      <c r="C721" t="s">
        <v>912</v>
      </c>
      <c r="D721" t="b">
        <f t="shared" ca="1" si="33"/>
        <v>1</v>
      </c>
      <c r="E721" s="5">
        <f t="shared" si="34"/>
        <v>0</v>
      </c>
      <c r="F721">
        <v>1.9434700000000001E-3</v>
      </c>
      <c r="G721">
        <v>1.9434700000000001E-3</v>
      </c>
      <c r="H721">
        <v>1.9434700000000001E-3</v>
      </c>
      <c r="J721" s="5">
        <f t="shared" si="35"/>
        <v>0</v>
      </c>
      <c r="K721" s="5">
        <f t="shared" si="35"/>
        <v>0</v>
      </c>
    </row>
    <row r="722" spans="3:11" x14ac:dyDescent="0.2">
      <c r="C722" t="s">
        <v>911</v>
      </c>
      <c r="D722" t="b">
        <f t="shared" ref="D722:D785" ca="1" si="36">IF(CELL("format",F722)="G",IF(ABS(F722-G722) &lt;= ABS(F722*B$3),TRUE,FALSE),IF(F722=G722,TRUE,FALSE))</f>
        <v>1</v>
      </c>
      <c r="E722" s="5">
        <f t="shared" ref="E722:E785" si="37">ABS(F722-G722)/ABS(F722)</f>
        <v>0</v>
      </c>
      <c r="F722" s="4">
        <v>44566</v>
      </c>
      <c r="G722" s="4">
        <v>44566</v>
      </c>
      <c r="H722" s="4">
        <v>44566</v>
      </c>
      <c r="I722" s="4"/>
      <c r="J722" s="5">
        <f t="shared" si="35"/>
        <v>0</v>
      </c>
      <c r="K722" s="5">
        <f t="shared" si="35"/>
        <v>0</v>
      </c>
    </row>
    <row r="723" spans="3:11" x14ac:dyDescent="0.2">
      <c r="C723" t="s">
        <v>910</v>
      </c>
      <c r="D723" t="b">
        <f t="shared" ca="1" si="36"/>
        <v>1</v>
      </c>
      <c r="E723" s="5">
        <f t="shared" si="37"/>
        <v>0</v>
      </c>
      <c r="F723">
        <v>7</v>
      </c>
      <c r="G723">
        <v>7</v>
      </c>
      <c r="H723">
        <v>7</v>
      </c>
      <c r="J723" s="5">
        <f t="shared" si="35"/>
        <v>0</v>
      </c>
      <c r="K723" s="5">
        <f t="shared" si="35"/>
        <v>0</v>
      </c>
    </row>
    <row r="724" spans="3:11" x14ac:dyDescent="0.2">
      <c r="C724" t="s">
        <v>909</v>
      </c>
      <c r="D724" t="b">
        <f t="shared" ca="1" si="36"/>
        <v>1</v>
      </c>
      <c r="E724" s="5">
        <f t="shared" si="37"/>
        <v>0</v>
      </c>
      <c r="F724">
        <v>77.815299999999993</v>
      </c>
      <c r="G724">
        <v>77.815299999999993</v>
      </c>
      <c r="H724">
        <v>77.815299999999993</v>
      </c>
      <c r="J724" s="5">
        <f t="shared" si="35"/>
        <v>0</v>
      </c>
      <c r="K724" s="5">
        <f t="shared" si="35"/>
        <v>0</v>
      </c>
    </row>
    <row r="725" spans="3:11" x14ac:dyDescent="0.2">
      <c r="C725" t="s">
        <v>908</v>
      </c>
      <c r="D725" t="b">
        <f t="shared" ca="1" si="36"/>
        <v>1</v>
      </c>
      <c r="E725" s="5">
        <f t="shared" si="37"/>
        <v>0</v>
      </c>
      <c r="F725" s="4">
        <v>44836</v>
      </c>
      <c r="G725" s="4">
        <v>44836</v>
      </c>
      <c r="H725" s="4">
        <v>44836</v>
      </c>
      <c r="I725" s="4"/>
      <c r="J725" s="5">
        <f t="shared" si="35"/>
        <v>0</v>
      </c>
      <c r="K725" s="5">
        <f t="shared" si="35"/>
        <v>0</v>
      </c>
    </row>
    <row r="726" spans="3:11" x14ac:dyDescent="0.2">
      <c r="C726" t="s">
        <v>907</v>
      </c>
      <c r="D726" t="b">
        <f t="shared" ca="1" si="36"/>
        <v>1</v>
      </c>
      <c r="E726" s="5">
        <f t="shared" si="37"/>
        <v>0</v>
      </c>
      <c r="F726">
        <v>8</v>
      </c>
      <c r="G726">
        <v>8</v>
      </c>
      <c r="H726">
        <v>8</v>
      </c>
      <c r="J726" s="5">
        <f t="shared" si="35"/>
        <v>0</v>
      </c>
      <c r="K726" s="5">
        <f t="shared" si="35"/>
        <v>0</v>
      </c>
    </row>
    <row r="727" spans="3:11" x14ac:dyDescent="0.2">
      <c r="C727" t="s">
        <v>906</v>
      </c>
      <c r="D727" t="b">
        <f t="shared" ca="1" si="36"/>
        <v>1</v>
      </c>
      <c r="E727" s="5">
        <f t="shared" si="37"/>
        <v>0</v>
      </c>
      <c r="F727">
        <v>15.467499999999999</v>
      </c>
      <c r="G727">
        <v>15.467499999999999</v>
      </c>
      <c r="H727">
        <v>15.467499999999999</v>
      </c>
      <c r="J727" s="5">
        <f t="shared" si="35"/>
        <v>0</v>
      </c>
      <c r="K727" s="5">
        <f t="shared" si="35"/>
        <v>0</v>
      </c>
    </row>
    <row r="728" spans="3:11" x14ac:dyDescent="0.2">
      <c r="C728" t="s">
        <v>905</v>
      </c>
      <c r="D728" t="b">
        <f t="shared" ca="1" si="36"/>
        <v>1</v>
      </c>
      <c r="E728" s="5">
        <f t="shared" si="37"/>
        <v>0</v>
      </c>
      <c r="F728" s="4">
        <v>44871</v>
      </c>
      <c r="G728" s="4">
        <v>44871</v>
      </c>
      <c r="H728" s="4">
        <v>44871</v>
      </c>
      <c r="I728" s="4"/>
      <c r="J728" s="5">
        <f t="shared" si="35"/>
        <v>0</v>
      </c>
      <c r="K728" s="5">
        <f t="shared" si="35"/>
        <v>0</v>
      </c>
    </row>
    <row r="729" spans="3:11" x14ac:dyDescent="0.2">
      <c r="C729" t="s">
        <v>904</v>
      </c>
      <c r="D729" t="b">
        <f t="shared" ca="1" si="36"/>
        <v>1</v>
      </c>
      <c r="E729" s="5">
        <f t="shared" si="37"/>
        <v>0</v>
      </c>
      <c r="F729">
        <v>8</v>
      </c>
      <c r="G729">
        <v>8</v>
      </c>
      <c r="H729">
        <v>8</v>
      </c>
      <c r="J729" s="5">
        <f t="shared" si="35"/>
        <v>0</v>
      </c>
      <c r="K729" s="5">
        <f t="shared" si="35"/>
        <v>0</v>
      </c>
    </row>
    <row r="730" spans="3:11" x14ac:dyDescent="0.2">
      <c r="C730" t="s">
        <v>903</v>
      </c>
      <c r="D730" t="b">
        <f t="shared" ca="1" si="36"/>
        <v>1</v>
      </c>
      <c r="E730" s="5">
        <f t="shared" si="37"/>
        <v>0</v>
      </c>
      <c r="F730">
        <v>3.96522</v>
      </c>
      <c r="G730">
        <v>3.96522</v>
      </c>
      <c r="H730">
        <v>3.96522</v>
      </c>
      <c r="J730" s="5">
        <f t="shared" si="35"/>
        <v>0</v>
      </c>
      <c r="K730" s="5">
        <f t="shared" si="35"/>
        <v>0</v>
      </c>
    </row>
    <row r="731" spans="3:11" x14ac:dyDescent="0.2">
      <c r="C731" t="s">
        <v>902</v>
      </c>
      <c r="D731" t="b">
        <f t="shared" ca="1" si="36"/>
        <v>1</v>
      </c>
      <c r="E731" s="5">
        <f t="shared" si="37"/>
        <v>0</v>
      </c>
      <c r="F731" s="4">
        <v>44926</v>
      </c>
      <c r="G731" s="4">
        <v>44926</v>
      </c>
      <c r="H731" s="4">
        <v>44926</v>
      </c>
      <c r="I731" s="4"/>
      <c r="J731" s="5">
        <f t="shared" si="35"/>
        <v>0</v>
      </c>
      <c r="K731" s="5">
        <f t="shared" si="35"/>
        <v>0</v>
      </c>
    </row>
    <row r="732" spans="3:11" x14ac:dyDescent="0.2">
      <c r="C732" t="s">
        <v>901</v>
      </c>
      <c r="D732" t="b">
        <f t="shared" ca="1" si="36"/>
        <v>1</v>
      </c>
      <c r="E732" s="5">
        <f t="shared" si="37"/>
        <v>0</v>
      </c>
      <c r="F732">
        <v>23</v>
      </c>
      <c r="G732">
        <v>23</v>
      </c>
      <c r="H732">
        <v>23</v>
      </c>
      <c r="J732" s="5">
        <f t="shared" si="35"/>
        <v>0</v>
      </c>
      <c r="K732" s="5">
        <f t="shared" si="35"/>
        <v>0</v>
      </c>
    </row>
    <row r="733" spans="3:11" x14ac:dyDescent="0.2">
      <c r="C733" t="s">
        <v>900</v>
      </c>
      <c r="D733" t="b">
        <f t="shared" ca="1" si="36"/>
        <v>1</v>
      </c>
      <c r="E733" s="5">
        <f t="shared" si="37"/>
        <v>0</v>
      </c>
      <c r="F733">
        <v>2.8233600000000001</v>
      </c>
      <c r="G733">
        <v>2.8233600000000001</v>
      </c>
      <c r="H733">
        <v>2.8233600000000001</v>
      </c>
      <c r="J733" s="5">
        <f t="shared" si="35"/>
        <v>0</v>
      </c>
      <c r="K733" s="5">
        <f t="shared" si="35"/>
        <v>0</v>
      </c>
    </row>
    <row r="734" spans="3:11" x14ac:dyDescent="0.2">
      <c r="C734" t="s">
        <v>899</v>
      </c>
      <c r="D734" t="b">
        <f t="shared" ca="1" si="36"/>
        <v>1</v>
      </c>
      <c r="E734" s="5">
        <f t="shared" si="37"/>
        <v>0</v>
      </c>
      <c r="F734" s="4">
        <v>44651</v>
      </c>
      <c r="G734" s="4">
        <v>44651</v>
      </c>
      <c r="H734" s="4">
        <v>44651</v>
      </c>
      <c r="I734" s="4"/>
      <c r="J734" s="5">
        <f t="shared" si="35"/>
        <v>0</v>
      </c>
      <c r="K734" s="5">
        <f t="shared" si="35"/>
        <v>0</v>
      </c>
    </row>
    <row r="735" spans="3:11" x14ac:dyDescent="0.2">
      <c r="C735" t="s">
        <v>898</v>
      </c>
      <c r="D735" t="b">
        <f t="shared" ca="1" si="36"/>
        <v>1</v>
      </c>
      <c r="E735" s="5">
        <f t="shared" si="37"/>
        <v>0</v>
      </c>
      <c r="F735">
        <v>14</v>
      </c>
      <c r="G735">
        <v>14</v>
      </c>
      <c r="H735">
        <v>14</v>
      </c>
      <c r="J735" s="5">
        <f t="shared" si="35"/>
        <v>0</v>
      </c>
      <c r="K735" s="5">
        <f t="shared" si="35"/>
        <v>0</v>
      </c>
    </row>
    <row r="736" spans="3:11" x14ac:dyDescent="0.2">
      <c r="C736" t="s">
        <v>897</v>
      </c>
      <c r="D736" t="b">
        <f t="shared" ca="1" si="36"/>
        <v>1</v>
      </c>
      <c r="E736" s="5">
        <f t="shared" si="37"/>
        <v>0</v>
      </c>
      <c r="F736">
        <v>31.8734</v>
      </c>
      <c r="G736">
        <v>31.8734</v>
      </c>
      <c r="H736">
        <v>31.8734</v>
      </c>
      <c r="J736" s="5">
        <f t="shared" si="35"/>
        <v>0</v>
      </c>
      <c r="K736" s="5">
        <f t="shared" si="35"/>
        <v>0</v>
      </c>
    </row>
    <row r="737" spans="3:11" x14ac:dyDescent="0.2">
      <c r="C737" t="s">
        <v>896</v>
      </c>
      <c r="D737" t="b">
        <f t="shared" ca="1" si="36"/>
        <v>1</v>
      </c>
      <c r="E737" s="5">
        <f t="shared" si="37"/>
        <v>0</v>
      </c>
      <c r="F737" s="4">
        <v>44762</v>
      </c>
      <c r="G737" s="4">
        <v>44762</v>
      </c>
      <c r="H737" s="4">
        <v>44762</v>
      </c>
      <c r="I737" s="4"/>
      <c r="J737" s="5">
        <f t="shared" si="35"/>
        <v>0</v>
      </c>
      <c r="K737" s="5">
        <f t="shared" si="35"/>
        <v>0</v>
      </c>
    </row>
    <row r="738" spans="3:11" x14ac:dyDescent="0.2">
      <c r="C738" t="s">
        <v>895</v>
      </c>
      <c r="D738" t="b">
        <f t="shared" ca="1" si="36"/>
        <v>1</v>
      </c>
      <c r="E738" s="5">
        <f t="shared" si="37"/>
        <v>0</v>
      </c>
      <c r="F738">
        <v>15</v>
      </c>
      <c r="G738">
        <v>15</v>
      </c>
      <c r="H738">
        <v>15</v>
      </c>
      <c r="J738" s="5">
        <f t="shared" si="35"/>
        <v>0</v>
      </c>
      <c r="K738" s="5">
        <f t="shared" si="35"/>
        <v>0</v>
      </c>
    </row>
    <row r="739" spans="3:11" x14ac:dyDescent="0.2">
      <c r="C739" t="s">
        <v>894</v>
      </c>
      <c r="D739" t="b">
        <f t="shared" ca="1" si="36"/>
        <v>1</v>
      </c>
      <c r="E739" s="5">
        <f t="shared" si="37"/>
        <v>0</v>
      </c>
      <c r="F739">
        <v>7.7583200000000003</v>
      </c>
      <c r="G739">
        <v>7.7583200000000003</v>
      </c>
      <c r="H739">
        <v>7.7583200000000003</v>
      </c>
      <c r="J739" s="5">
        <f t="shared" si="35"/>
        <v>0</v>
      </c>
      <c r="K739" s="5">
        <f t="shared" si="35"/>
        <v>0</v>
      </c>
    </row>
    <row r="740" spans="3:11" x14ac:dyDescent="0.2">
      <c r="C740" t="s">
        <v>893</v>
      </c>
      <c r="D740" t="b">
        <f t="shared" ca="1" si="36"/>
        <v>1</v>
      </c>
      <c r="E740" s="5">
        <f t="shared" si="37"/>
        <v>0</v>
      </c>
      <c r="F740" s="4">
        <v>44567</v>
      </c>
      <c r="G740" s="4">
        <v>44567</v>
      </c>
      <c r="H740" s="4">
        <v>44567</v>
      </c>
      <c r="I740" s="4"/>
      <c r="J740" s="5">
        <f t="shared" si="35"/>
        <v>0</v>
      </c>
      <c r="K740" s="5">
        <f t="shared" si="35"/>
        <v>0</v>
      </c>
    </row>
    <row r="741" spans="3:11" x14ac:dyDescent="0.2">
      <c r="C741" t="s">
        <v>892</v>
      </c>
      <c r="D741" t="b">
        <f t="shared" ca="1" si="36"/>
        <v>1</v>
      </c>
      <c r="E741" s="5">
        <f t="shared" si="37"/>
        <v>0</v>
      </c>
      <c r="F741">
        <v>6</v>
      </c>
      <c r="G741">
        <v>6</v>
      </c>
      <c r="H741">
        <v>6</v>
      </c>
      <c r="J741" s="5">
        <f t="shared" si="35"/>
        <v>0</v>
      </c>
      <c r="K741" s="5">
        <f t="shared" si="35"/>
        <v>0</v>
      </c>
    </row>
    <row r="742" spans="3:11" x14ac:dyDescent="0.2">
      <c r="C742" t="s">
        <v>891</v>
      </c>
      <c r="D742" t="b">
        <f t="shared" ca="1" si="36"/>
        <v>1</v>
      </c>
      <c r="E742" s="5">
        <f t="shared" si="37"/>
        <v>0</v>
      </c>
      <c r="F742">
        <v>1.7695499999999999E-2</v>
      </c>
      <c r="G742">
        <v>1.7695499999999999E-2</v>
      </c>
      <c r="H742">
        <v>1.7695499999999999E-2</v>
      </c>
      <c r="J742" s="5">
        <f t="shared" si="35"/>
        <v>0</v>
      </c>
      <c r="K742" s="5">
        <f t="shared" si="35"/>
        <v>0</v>
      </c>
    </row>
    <row r="743" spans="3:11" x14ac:dyDescent="0.2">
      <c r="C743" t="s">
        <v>890</v>
      </c>
      <c r="D743" t="b">
        <f t="shared" ca="1" si="36"/>
        <v>1</v>
      </c>
      <c r="E743" s="5">
        <f t="shared" si="37"/>
        <v>0</v>
      </c>
      <c r="F743" s="4">
        <v>44835</v>
      </c>
      <c r="G743" s="4">
        <v>44835</v>
      </c>
      <c r="H743" s="4">
        <v>44835</v>
      </c>
      <c r="I743" s="4"/>
      <c r="J743" s="5">
        <f t="shared" si="35"/>
        <v>0</v>
      </c>
      <c r="K743" s="5">
        <f t="shared" si="35"/>
        <v>0</v>
      </c>
    </row>
    <row r="744" spans="3:11" x14ac:dyDescent="0.2">
      <c r="C744" t="s">
        <v>889</v>
      </c>
      <c r="D744" t="b">
        <f t="shared" ca="1" si="36"/>
        <v>1</v>
      </c>
      <c r="E744" s="5">
        <f t="shared" si="37"/>
        <v>0</v>
      </c>
      <c r="F744">
        <v>11</v>
      </c>
      <c r="G744">
        <v>11</v>
      </c>
      <c r="H744">
        <v>11</v>
      </c>
      <c r="J744" s="5">
        <f t="shared" si="35"/>
        <v>0</v>
      </c>
      <c r="K744" s="5">
        <f t="shared" si="35"/>
        <v>0</v>
      </c>
    </row>
    <row r="745" spans="3:11" x14ac:dyDescent="0.2">
      <c r="C745" t="s">
        <v>888</v>
      </c>
      <c r="D745" t="b">
        <f t="shared" ca="1" si="36"/>
        <v>1</v>
      </c>
      <c r="E745" s="5">
        <f t="shared" si="37"/>
        <v>0</v>
      </c>
      <c r="F745">
        <v>1.9351100000000001E-3</v>
      </c>
      <c r="G745">
        <v>1.9351100000000001E-3</v>
      </c>
      <c r="H745">
        <v>1.9351100000000001E-3</v>
      </c>
      <c r="J745" s="5">
        <f t="shared" si="35"/>
        <v>0</v>
      </c>
      <c r="K745" s="5">
        <f t="shared" si="35"/>
        <v>0</v>
      </c>
    </row>
    <row r="746" spans="3:11" x14ac:dyDescent="0.2">
      <c r="C746" t="s">
        <v>887</v>
      </c>
      <c r="D746" t="b">
        <f t="shared" ca="1" si="36"/>
        <v>1</v>
      </c>
      <c r="E746" s="5">
        <f t="shared" si="37"/>
        <v>0</v>
      </c>
      <c r="F746" s="4">
        <v>44572</v>
      </c>
      <c r="G746" s="4">
        <v>44572</v>
      </c>
      <c r="H746" s="4">
        <v>44572</v>
      </c>
      <c r="I746" s="4"/>
      <c r="J746" s="5">
        <f t="shared" si="35"/>
        <v>0</v>
      </c>
      <c r="K746" s="5">
        <f t="shared" si="35"/>
        <v>0</v>
      </c>
    </row>
    <row r="747" spans="3:11" x14ac:dyDescent="0.2">
      <c r="C747" t="s">
        <v>886</v>
      </c>
      <c r="D747" t="b">
        <f t="shared" ca="1" si="36"/>
        <v>1</v>
      </c>
      <c r="E747" s="5">
        <f t="shared" si="37"/>
        <v>0</v>
      </c>
      <c r="F747">
        <v>3</v>
      </c>
      <c r="G747">
        <v>3</v>
      </c>
      <c r="H747">
        <v>3</v>
      </c>
      <c r="J747" s="5">
        <f t="shared" si="35"/>
        <v>0</v>
      </c>
      <c r="K747" s="5">
        <f t="shared" si="35"/>
        <v>0</v>
      </c>
    </row>
    <row r="748" spans="3:11" x14ac:dyDescent="0.2">
      <c r="C748" t="s">
        <v>885</v>
      </c>
      <c r="D748" t="b">
        <f t="shared" ca="1" si="36"/>
        <v>1</v>
      </c>
      <c r="E748" s="5">
        <f t="shared" si="37"/>
        <v>9.678925832788516E-6</v>
      </c>
      <c r="F748">
        <v>82.653800000000004</v>
      </c>
      <c r="G748">
        <v>82.653000000000006</v>
      </c>
      <c r="H748">
        <v>82.653000000000006</v>
      </c>
      <c r="J748" s="5">
        <f t="shared" si="35"/>
        <v>9.678925832788516E-6</v>
      </c>
      <c r="K748" s="5">
        <f t="shared" si="35"/>
        <v>0</v>
      </c>
    </row>
    <row r="749" spans="3:11" x14ac:dyDescent="0.2">
      <c r="C749" t="s">
        <v>884</v>
      </c>
      <c r="D749" t="b">
        <f t="shared" ca="1" si="36"/>
        <v>1</v>
      </c>
      <c r="E749" s="5">
        <f t="shared" si="37"/>
        <v>0</v>
      </c>
      <c r="F749" s="4">
        <v>44822</v>
      </c>
      <c r="G749" s="4">
        <v>44822</v>
      </c>
      <c r="H749" s="4">
        <v>44822</v>
      </c>
      <c r="I749" s="4"/>
      <c r="J749" s="5">
        <f t="shared" si="35"/>
        <v>0</v>
      </c>
      <c r="K749" s="5">
        <f t="shared" si="35"/>
        <v>0</v>
      </c>
    </row>
    <row r="750" spans="3:11" x14ac:dyDescent="0.2">
      <c r="C750" t="s">
        <v>883</v>
      </c>
      <c r="D750" t="b">
        <f t="shared" ca="1" si="36"/>
        <v>1</v>
      </c>
      <c r="E750" s="5">
        <f t="shared" si="37"/>
        <v>0</v>
      </c>
      <c r="F750">
        <v>10</v>
      </c>
      <c r="G750">
        <v>10</v>
      </c>
      <c r="H750">
        <v>10</v>
      </c>
      <c r="J750" s="5">
        <f t="shared" si="35"/>
        <v>0</v>
      </c>
      <c r="K750" s="5">
        <f t="shared" si="35"/>
        <v>0</v>
      </c>
    </row>
    <row r="751" spans="3:11" x14ac:dyDescent="0.2">
      <c r="C751" t="s">
        <v>882</v>
      </c>
      <c r="D751" t="b">
        <f t="shared" ca="1" si="36"/>
        <v>1</v>
      </c>
      <c r="E751" s="5">
        <f t="shared" si="37"/>
        <v>0</v>
      </c>
      <c r="F751">
        <v>14.792999999999999</v>
      </c>
      <c r="G751">
        <v>14.792999999999999</v>
      </c>
      <c r="H751">
        <v>14.792999999999999</v>
      </c>
      <c r="J751" s="5">
        <f t="shared" si="35"/>
        <v>0</v>
      </c>
      <c r="K751" s="5">
        <f t="shared" si="35"/>
        <v>0</v>
      </c>
    </row>
    <row r="752" spans="3:11" x14ac:dyDescent="0.2">
      <c r="C752" t="s">
        <v>881</v>
      </c>
      <c r="D752" t="b">
        <f t="shared" ca="1" si="36"/>
        <v>1</v>
      </c>
      <c r="E752" s="5">
        <f t="shared" si="37"/>
        <v>0</v>
      </c>
      <c r="F752" s="4">
        <v>44871</v>
      </c>
      <c r="G752" s="4">
        <v>44871</v>
      </c>
      <c r="H752" s="4">
        <v>44871</v>
      </c>
      <c r="I752" s="4"/>
      <c r="J752" s="5">
        <f t="shared" si="35"/>
        <v>0</v>
      </c>
      <c r="K752" s="5">
        <f t="shared" si="35"/>
        <v>0</v>
      </c>
    </row>
    <row r="753" spans="3:11" x14ac:dyDescent="0.2">
      <c r="C753" t="s">
        <v>880</v>
      </c>
      <c r="D753" t="b">
        <f t="shared" ca="1" si="36"/>
        <v>1</v>
      </c>
      <c r="E753" s="5">
        <f t="shared" si="37"/>
        <v>0</v>
      </c>
      <c r="F753">
        <v>6</v>
      </c>
      <c r="G753">
        <v>6</v>
      </c>
      <c r="H753">
        <v>6</v>
      </c>
      <c r="J753" s="5">
        <f t="shared" si="35"/>
        <v>0</v>
      </c>
      <c r="K753" s="5">
        <f t="shared" si="35"/>
        <v>0</v>
      </c>
    </row>
    <row r="754" spans="3:11" x14ac:dyDescent="0.2">
      <c r="C754" t="s">
        <v>879</v>
      </c>
      <c r="D754" t="b">
        <f t="shared" ca="1" si="36"/>
        <v>1</v>
      </c>
      <c r="E754" s="5">
        <f t="shared" si="37"/>
        <v>2.4418474040880221E-5</v>
      </c>
      <c r="F754">
        <v>4.0952599999999997</v>
      </c>
      <c r="G754">
        <v>4.0953600000000003</v>
      </c>
      <c r="H754">
        <v>4.0953600000000003</v>
      </c>
      <c r="J754" s="5">
        <f t="shared" si="35"/>
        <v>2.4418474040880221E-5</v>
      </c>
      <c r="K754" s="5">
        <f t="shared" si="35"/>
        <v>0</v>
      </c>
    </row>
    <row r="755" spans="3:11" x14ac:dyDescent="0.2">
      <c r="C755" t="s">
        <v>878</v>
      </c>
      <c r="D755" t="b">
        <f t="shared" ca="1" si="36"/>
        <v>1</v>
      </c>
      <c r="E755" s="5">
        <f t="shared" si="37"/>
        <v>0</v>
      </c>
      <c r="F755" s="4">
        <v>44926</v>
      </c>
      <c r="G755" s="4">
        <v>44926</v>
      </c>
      <c r="H755" s="4">
        <v>44926</v>
      </c>
      <c r="I755" s="4"/>
      <c r="J755" s="5">
        <f t="shared" si="35"/>
        <v>0</v>
      </c>
      <c r="K755" s="5">
        <f t="shared" si="35"/>
        <v>0</v>
      </c>
    </row>
    <row r="756" spans="3:11" x14ac:dyDescent="0.2">
      <c r="C756" t="s">
        <v>877</v>
      </c>
      <c r="D756" t="b">
        <f t="shared" ca="1" si="36"/>
        <v>1</v>
      </c>
      <c r="E756" s="5">
        <f t="shared" si="37"/>
        <v>0</v>
      </c>
      <c r="F756">
        <v>23</v>
      </c>
      <c r="G756">
        <v>23</v>
      </c>
      <c r="H756">
        <v>23</v>
      </c>
      <c r="J756" s="5">
        <f t="shared" si="35"/>
        <v>0</v>
      </c>
      <c r="K756" s="5">
        <f t="shared" si="35"/>
        <v>0</v>
      </c>
    </row>
    <row r="757" spans="3:11" x14ac:dyDescent="0.2">
      <c r="C757" t="s">
        <v>876</v>
      </c>
      <c r="D757" t="b">
        <f t="shared" ca="1" si="36"/>
        <v>1</v>
      </c>
      <c r="E757" s="5">
        <f t="shared" si="37"/>
        <v>0</v>
      </c>
      <c r="F757">
        <v>2.8290199999999999</v>
      </c>
      <c r="G757">
        <v>2.8290199999999999</v>
      </c>
      <c r="H757">
        <v>2.8290199999999999</v>
      </c>
      <c r="J757" s="5">
        <f t="shared" si="35"/>
        <v>0</v>
      </c>
      <c r="K757" s="5">
        <f t="shared" si="35"/>
        <v>0</v>
      </c>
    </row>
    <row r="758" spans="3:11" x14ac:dyDescent="0.2">
      <c r="C758" t="s">
        <v>875</v>
      </c>
      <c r="D758" t="b">
        <f t="shared" ca="1" si="36"/>
        <v>1</v>
      </c>
      <c r="E758" s="5">
        <f t="shared" si="37"/>
        <v>0</v>
      </c>
      <c r="F758" s="4">
        <v>44651</v>
      </c>
      <c r="G758" s="4">
        <v>44651</v>
      </c>
      <c r="H758" s="4">
        <v>44651</v>
      </c>
      <c r="I758" s="4"/>
      <c r="J758" s="5">
        <f t="shared" si="35"/>
        <v>0</v>
      </c>
      <c r="K758" s="5">
        <f t="shared" si="35"/>
        <v>0</v>
      </c>
    </row>
    <row r="759" spans="3:11" x14ac:dyDescent="0.2">
      <c r="C759" t="s">
        <v>874</v>
      </c>
      <c r="D759" t="b">
        <f t="shared" ca="1" si="36"/>
        <v>1</v>
      </c>
      <c r="E759" s="5">
        <f t="shared" si="37"/>
        <v>0</v>
      </c>
      <c r="F759">
        <v>14</v>
      </c>
      <c r="G759">
        <v>14</v>
      </c>
      <c r="H759">
        <v>14</v>
      </c>
      <c r="J759" s="5">
        <f t="shared" si="35"/>
        <v>0</v>
      </c>
      <c r="K759" s="5">
        <f t="shared" si="35"/>
        <v>0</v>
      </c>
    </row>
    <row r="760" spans="3:11" x14ac:dyDescent="0.2">
      <c r="C760" t="s">
        <v>873</v>
      </c>
      <c r="D760" t="b">
        <f t="shared" ca="1" si="36"/>
        <v>1</v>
      </c>
      <c r="E760" s="5">
        <f t="shared" si="37"/>
        <v>0</v>
      </c>
      <c r="F760">
        <v>31.55</v>
      </c>
      <c r="G760">
        <v>31.55</v>
      </c>
      <c r="H760">
        <v>31.55</v>
      </c>
      <c r="J760" s="5">
        <f t="shared" si="35"/>
        <v>0</v>
      </c>
      <c r="K760" s="5">
        <f t="shared" si="35"/>
        <v>0</v>
      </c>
    </row>
    <row r="761" spans="3:11" x14ac:dyDescent="0.2">
      <c r="C761" t="s">
        <v>872</v>
      </c>
      <c r="D761" t="b">
        <f t="shared" ca="1" si="36"/>
        <v>1</v>
      </c>
      <c r="E761" s="5">
        <f t="shared" si="37"/>
        <v>0</v>
      </c>
      <c r="F761" s="4">
        <v>44762</v>
      </c>
      <c r="G761" s="4">
        <v>44762</v>
      </c>
      <c r="H761" s="4">
        <v>44762</v>
      </c>
      <c r="I761" s="4"/>
      <c r="J761" s="5">
        <f t="shared" si="35"/>
        <v>0</v>
      </c>
      <c r="K761" s="5">
        <f t="shared" si="35"/>
        <v>0</v>
      </c>
    </row>
    <row r="762" spans="3:11" x14ac:dyDescent="0.2">
      <c r="C762" t="s">
        <v>871</v>
      </c>
      <c r="D762" t="b">
        <f t="shared" ca="1" si="36"/>
        <v>1</v>
      </c>
      <c r="E762" s="5">
        <f t="shared" si="37"/>
        <v>0</v>
      </c>
      <c r="F762">
        <v>15</v>
      </c>
      <c r="G762">
        <v>15</v>
      </c>
      <c r="H762">
        <v>15</v>
      </c>
      <c r="J762" s="5">
        <f t="shared" si="35"/>
        <v>0</v>
      </c>
      <c r="K762" s="5">
        <f t="shared" si="35"/>
        <v>0</v>
      </c>
    </row>
    <row r="763" spans="3:11" x14ac:dyDescent="0.2">
      <c r="C763" t="s">
        <v>870</v>
      </c>
      <c r="D763" t="b">
        <f t="shared" ca="1" si="36"/>
        <v>1</v>
      </c>
      <c r="E763" s="5">
        <f t="shared" si="37"/>
        <v>0</v>
      </c>
      <c r="F763">
        <v>8.7254299999999994</v>
      </c>
      <c r="G763">
        <v>8.7254299999999994</v>
      </c>
      <c r="H763">
        <v>8.7254299999999994</v>
      </c>
      <c r="J763" s="5">
        <f t="shared" si="35"/>
        <v>0</v>
      </c>
      <c r="K763" s="5">
        <f t="shared" si="35"/>
        <v>0</v>
      </c>
    </row>
    <row r="764" spans="3:11" x14ac:dyDescent="0.2">
      <c r="C764" t="s">
        <v>869</v>
      </c>
      <c r="D764" t="b">
        <f t="shared" ca="1" si="36"/>
        <v>1</v>
      </c>
      <c r="E764" s="5">
        <f t="shared" si="37"/>
        <v>0</v>
      </c>
      <c r="F764" s="4">
        <v>44567</v>
      </c>
      <c r="G764" s="4">
        <v>44567</v>
      </c>
      <c r="H764" s="4">
        <v>44567</v>
      </c>
      <c r="I764" s="4"/>
      <c r="J764" s="5">
        <f t="shared" si="35"/>
        <v>0</v>
      </c>
      <c r="K764" s="5">
        <f t="shared" si="35"/>
        <v>0</v>
      </c>
    </row>
    <row r="765" spans="3:11" x14ac:dyDescent="0.2">
      <c r="C765" t="s">
        <v>868</v>
      </c>
      <c r="D765" t="b">
        <f t="shared" ca="1" si="36"/>
        <v>1</v>
      </c>
      <c r="E765" s="5">
        <f t="shared" si="37"/>
        <v>0</v>
      </c>
      <c r="F765">
        <v>6</v>
      </c>
      <c r="G765">
        <v>6</v>
      </c>
      <c r="H765">
        <v>6</v>
      </c>
      <c r="J765" s="5">
        <f t="shared" si="35"/>
        <v>0</v>
      </c>
      <c r="K765" s="5">
        <f t="shared" si="35"/>
        <v>0</v>
      </c>
    </row>
    <row r="766" spans="3:11" x14ac:dyDescent="0.2">
      <c r="C766" t="s">
        <v>867</v>
      </c>
      <c r="D766" t="b">
        <f t="shared" ca="1" si="36"/>
        <v>1</v>
      </c>
      <c r="E766" s="5">
        <f t="shared" si="37"/>
        <v>0</v>
      </c>
      <c r="F766">
        <v>1.7804E-2</v>
      </c>
      <c r="G766">
        <v>1.7804E-2</v>
      </c>
      <c r="H766">
        <v>1.7804E-2</v>
      </c>
      <c r="J766" s="5">
        <f t="shared" si="35"/>
        <v>0</v>
      </c>
      <c r="K766" s="5">
        <f t="shared" si="35"/>
        <v>0</v>
      </c>
    </row>
    <row r="767" spans="3:11" x14ac:dyDescent="0.2">
      <c r="C767" t="s">
        <v>866</v>
      </c>
      <c r="D767" t="b">
        <f t="shared" ca="1" si="36"/>
        <v>1</v>
      </c>
      <c r="E767" s="5">
        <f t="shared" si="37"/>
        <v>0</v>
      </c>
      <c r="F767" s="4">
        <v>44752</v>
      </c>
      <c r="G767" s="4">
        <v>44752</v>
      </c>
      <c r="H767" s="4">
        <v>44752</v>
      </c>
      <c r="I767" s="4"/>
      <c r="J767" s="5">
        <f t="shared" si="35"/>
        <v>0</v>
      </c>
      <c r="K767" s="5">
        <f t="shared" si="35"/>
        <v>0</v>
      </c>
    </row>
    <row r="768" spans="3:11" x14ac:dyDescent="0.2">
      <c r="C768" t="s">
        <v>865</v>
      </c>
      <c r="D768" t="b">
        <f t="shared" ca="1" si="36"/>
        <v>1</v>
      </c>
      <c r="E768" s="5">
        <f t="shared" si="37"/>
        <v>0</v>
      </c>
      <c r="F768">
        <v>12</v>
      </c>
      <c r="G768">
        <v>12</v>
      </c>
      <c r="H768">
        <v>12</v>
      </c>
      <c r="J768" s="5">
        <f t="shared" si="35"/>
        <v>0</v>
      </c>
      <c r="K768" s="5">
        <f t="shared" si="35"/>
        <v>0</v>
      </c>
    </row>
    <row r="769" spans="3:11" x14ac:dyDescent="0.2">
      <c r="C769" t="s">
        <v>864</v>
      </c>
      <c r="D769" t="b">
        <f t="shared" ca="1" si="36"/>
        <v>1</v>
      </c>
      <c r="E769" s="5">
        <f t="shared" si="37"/>
        <v>0</v>
      </c>
      <c r="F769">
        <v>1.9292000000000001E-3</v>
      </c>
      <c r="G769">
        <v>1.9292000000000001E-3</v>
      </c>
      <c r="H769">
        <v>1.9292000000000001E-3</v>
      </c>
      <c r="J769" s="5">
        <f t="shared" si="35"/>
        <v>0</v>
      </c>
      <c r="K769" s="5">
        <f t="shared" si="35"/>
        <v>0</v>
      </c>
    </row>
    <row r="770" spans="3:11" x14ac:dyDescent="0.2">
      <c r="C770" t="s">
        <v>863</v>
      </c>
      <c r="D770" t="b">
        <f t="shared" ca="1" si="36"/>
        <v>1</v>
      </c>
      <c r="E770" s="5">
        <f t="shared" si="37"/>
        <v>0</v>
      </c>
      <c r="F770" s="4">
        <v>44572</v>
      </c>
      <c r="G770" s="4">
        <v>44572</v>
      </c>
      <c r="H770" s="4">
        <v>44572</v>
      </c>
      <c r="I770" s="4"/>
      <c r="J770" s="5">
        <f t="shared" si="35"/>
        <v>0</v>
      </c>
      <c r="K770" s="5">
        <f t="shared" si="35"/>
        <v>0</v>
      </c>
    </row>
    <row r="771" spans="3:11" x14ac:dyDescent="0.2">
      <c r="C771" t="s">
        <v>862</v>
      </c>
      <c r="D771" t="b">
        <f t="shared" ca="1" si="36"/>
        <v>1</v>
      </c>
      <c r="E771" s="5">
        <f t="shared" si="37"/>
        <v>0</v>
      </c>
      <c r="F771">
        <v>3</v>
      </c>
      <c r="G771">
        <v>3</v>
      </c>
      <c r="H771">
        <v>3</v>
      </c>
      <c r="J771" s="5">
        <f t="shared" si="35"/>
        <v>0</v>
      </c>
      <c r="K771" s="5">
        <f t="shared" si="35"/>
        <v>0</v>
      </c>
    </row>
    <row r="772" spans="3:11" x14ac:dyDescent="0.2">
      <c r="C772" t="s">
        <v>861</v>
      </c>
      <c r="D772" t="b">
        <f t="shared" ca="1" si="36"/>
        <v>1</v>
      </c>
      <c r="E772" s="5">
        <f t="shared" si="37"/>
        <v>0</v>
      </c>
      <c r="F772">
        <v>76.6464</v>
      </c>
      <c r="G772">
        <v>76.6464</v>
      </c>
      <c r="H772">
        <v>76.6464</v>
      </c>
      <c r="J772" s="5">
        <f t="shared" si="35"/>
        <v>0</v>
      </c>
      <c r="K772" s="5">
        <f t="shared" si="35"/>
        <v>0</v>
      </c>
    </row>
    <row r="773" spans="3:11" x14ac:dyDescent="0.2">
      <c r="C773" t="s">
        <v>860</v>
      </c>
      <c r="D773" t="b">
        <f t="shared" ca="1" si="36"/>
        <v>1</v>
      </c>
      <c r="E773" s="5">
        <f t="shared" si="37"/>
        <v>0</v>
      </c>
      <c r="F773" s="4">
        <v>44826</v>
      </c>
      <c r="G773" s="4">
        <v>44826</v>
      </c>
      <c r="H773" s="4">
        <v>44826</v>
      </c>
      <c r="I773" s="4"/>
      <c r="J773" s="5">
        <f t="shared" si="35"/>
        <v>0</v>
      </c>
      <c r="K773" s="5">
        <f t="shared" si="35"/>
        <v>0</v>
      </c>
    </row>
    <row r="774" spans="3:11" x14ac:dyDescent="0.2">
      <c r="C774" t="s">
        <v>859</v>
      </c>
      <c r="D774" t="b">
        <f t="shared" ca="1" si="36"/>
        <v>1</v>
      </c>
      <c r="E774" s="5">
        <f t="shared" si="37"/>
        <v>0</v>
      </c>
      <c r="F774">
        <v>20</v>
      </c>
      <c r="G774">
        <v>20</v>
      </c>
      <c r="H774">
        <v>20</v>
      </c>
      <c r="J774" s="5">
        <f t="shared" si="35"/>
        <v>0</v>
      </c>
      <c r="K774" s="5">
        <f t="shared" si="35"/>
        <v>0</v>
      </c>
    </row>
    <row r="775" spans="3:11" x14ac:dyDescent="0.2">
      <c r="C775" t="s">
        <v>858</v>
      </c>
      <c r="D775" t="b">
        <f t="shared" ca="1" si="36"/>
        <v>1</v>
      </c>
      <c r="E775" s="5">
        <f t="shared" si="37"/>
        <v>0</v>
      </c>
      <c r="F775">
        <v>14.384600000000001</v>
      </c>
      <c r="G775">
        <v>14.384600000000001</v>
      </c>
      <c r="H775">
        <v>14.384600000000001</v>
      </c>
      <c r="J775" s="5">
        <f t="shared" ref="J775:K838" si="38">ABS(F775-G775)/ABS(F775)</f>
        <v>0</v>
      </c>
      <c r="K775" s="5">
        <f t="shared" si="38"/>
        <v>0</v>
      </c>
    </row>
    <row r="776" spans="3:11" x14ac:dyDescent="0.2">
      <c r="C776" t="s">
        <v>857</v>
      </c>
      <c r="D776" t="b">
        <f t="shared" ca="1" si="36"/>
        <v>1</v>
      </c>
      <c r="E776" s="5">
        <f t="shared" si="37"/>
        <v>0</v>
      </c>
      <c r="F776" s="4">
        <v>44871</v>
      </c>
      <c r="G776" s="4">
        <v>44871</v>
      </c>
      <c r="H776" s="4">
        <v>44871</v>
      </c>
      <c r="I776" s="4"/>
      <c r="J776" s="5">
        <f t="shared" si="38"/>
        <v>0</v>
      </c>
      <c r="K776" s="5">
        <f t="shared" si="38"/>
        <v>0</v>
      </c>
    </row>
    <row r="777" spans="3:11" x14ac:dyDescent="0.2">
      <c r="C777" t="s">
        <v>856</v>
      </c>
      <c r="D777" t="b">
        <f t="shared" ca="1" si="36"/>
        <v>1</v>
      </c>
      <c r="E777" s="5">
        <f t="shared" si="37"/>
        <v>0</v>
      </c>
      <c r="F777">
        <v>6</v>
      </c>
      <c r="G777">
        <v>6</v>
      </c>
      <c r="H777">
        <v>6</v>
      </c>
      <c r="J777" s="5">
        <f t="shared" si="38"/>
        <v>0</v>
      </c>
      <c r="K777" s="5">
        <f t="shared" si="38"/>
        <v>0</v>
      </c>
    </row>
    <row r="778" spans="3:11" x14ac:dyDescent="0.2">
      <c r="C778" t="s">
        <v>855</v>
      </c>
      <c r="D778" t="b">
        <f t="shared" ca="1" si="36"/>
        <v>1</v>
      </c>
      <c r="E778" s="5">
        <f t="shared" si="37"/>
        <v>7.4720172951677078E-6</v>
      </c>
      <c r="F778">
        <v>4.0149800000000004</v>
      </c>
      <c r="G778">
        <v>4.0150100000000002</v>
      </c>
      <c r="H778">
        <v>4.0150100000000002</v>
      </c>
      <c r="J778" s="5">
        <f t="shared" si="38"/>
        <v>7.4720172951677078E-6</v>
      </c>
      <c r="K778" s="5">
        <f t="shared" si="38"/>
        <v>0</v>
      </c>
    </row>
    <row r="779" spans="3:11" x14ac:dyDescent="0.2">
      <c r="C779" t="s">
        <v>854</v>
      </c>
      <c r="D779" t="b">
        <f t="shared" ca="1" si="36"/>
        <v>1</v>
      </c>
      <c r="E779" s="5">
        <f t="shared" si="37"/>
        <v>0</v>
      </c>
      <c r="F779" s="4">
        <v>44926</v>
      </c>
      <c r="G779" s="4">
        <v>44926</v>
      </c>
      <c r="H779" s="4">
        <v>44926</v>
      </c>
      <c r="I779" s="4"/>
      <c r="J779" s="5">
        <f t="shared" si="38"/>
        <v>0</v>
      </c>
      <c r="K779" s="5">
        <f t="shared" si="38"/>
        <v>0</v>
      </c>
    </row>
    <row r="780" spans="3:11" x14ac:dyDescent="0.2">
      <c r="C780" t="s">
        <v>853</v>
      </c>
      <c r="D780" t="b">
        <f t="shared" ca="1" si="36"/>
        <v>1</v>
      </c>
      <c r="E780" s="5">
        <f t="shared" si="37"/>
        <v>0</v>
      </c>
      <c r="F780">
        <v>23</v>
      </c>
      <c r="G780">
        <v>23</v>
      </c>
      <c r="H780">
        <v>23</v>
      </c>
      <c r="J780" s="5">
        <f t="shared" si="38"/>
        <v>0</v>
      </c>
      <c r="K780" s="5">
        <f t="shared" si="38"/>
        <v>0</v>
      </c>
    </row>
    <row r="781" spans="3:11" x14ac:dyDescent="0.2">
      <c r="C781" t="s">
        <v>852</v>
      </c>
      <c r="D781" t="b">
        <f t="shared" ca="1" si="36"/>
        <v>1</v>
      </c>
      <c r="E781" s="5">
        <f t="shared" si="37"/>
        <v>0</v>
      </c>
      <c r="F781">
        <v>2.8290199999999999</v>
      </c>
      <c r="G781">
        <v>2.8290199999999999</v>
      </c>
      <c r="H781">
        <v>2.8290199999999999</v>
      </c>
      <c r="J781" s="5">
        <f t="shared" si="38"/>
        <v>0</v>
      </c>
      <c r="K781" s="5">
        <f t="shared" si="38"/>
        <v>0</v>
      </c>
    </row>
    <row r="782" spans="3:11" x14ac:dyDescent="0.2">
      <c r="C782" t="s">
        <v>851</v>
      </c>
      <c r="D782" t="b">
        <f t="shared" ca="1" si="36"/>
        <v>1</v>
      </c>
      <c r="E782" s="5">
        <f t="shared" si="37"/>
        <v>0</v>
      </c>
      <c r="F782" s="4">
        <v>44651</v>
      </c>
      <c r="G782" s="4">
        <v>44651</v>
      </c>
      <c r="H782" s="4">
        <v>44651</v>
      </c>
      <c r="I782" s="4"/>
      <c r="J782" s="5">
        <f t="shared" si="38"/>
        <v>0</v>
      </c>
      <c r="K782" s="5">
        <f t="shared" si="38"/>
        <v>0</v>
      </c>
    </row>
    <row r="783" spans="3:11" x14ac:dyDescent="0.2">
      <c r="C783" t="s">
        <v>850</v>
      </c>
      <c r="D783" t="b">
        <f t="shared" ca="1" si="36"/>
        <v>1</v>
      </c>
      <c r="E783" s="5">
        <f t="shared" si="37"/>
        <v>0</v>
      </c>
      <c r="F783">
        <v>14</v>
      </c>
      <c r="G783">
        <v>14</v>
      </c>
      <c r="H783">
        <v>14</v>
      </c>
      <c r="J783" s="5">
        <f t="shared" si="38"/>
        <v>0</v>
      </c>
      <c r="K783" s="5">
        <f t="shared" si="38"/>
        <v>0</v>
      </c>
    </row>
    <row r="784" spans="3:11" x14ac:dyDescent="0.2">
      <c r="C784" t="s">
        <v>849</v>
      </c>
      <c r="D784" t="b">
        <f t="shared" ca="1" si="36"/>
        <v>1</v>
      </c>
      <c r="E784" s="5">
        <f t="shared" si="37"/>
        <v>0</v>
      </c>
      <c r="F784">
        <v>31.7866</v>
      </c>
      <c r="G784">
        <v>31.7866</v>
      </c>
      <c r="H784">
        <v>31.7866</v>
      </c>
      <c r="J784" s="5">
        <f t="shared" si="38"/>
        <v>0</v>
      </c>
      <c r="K784" s="5">
        <f t="shared" si="38"/>
        <v>0</v>
      </c>
    </row>
    <row r="785" spans="3:11" x14ac:dyDescent="0.2">
      <c r="C785" t="s">
        <v>848</v>
      </c>
      <c r="D785" t="b">
        <f t="shared" ca="1" si="36"/>
        <v>1</v>
      </c>
      <c r="E785" s="5">
        <f t="shared" si="37"/>
        <v>0</v>
      </c>
      <c r="F785" s="4">
        <v>44762</v>
      </c>
      <c r="G785" s="4">
        <v>44762</v>
      </c>
      <c r="H785" s="4">
        <v>44762</v>
      </c>
      <c r="I785" s="4"/>
      <c r="J785" s="5">
        <f t="shared" si="38"/>
        <v>0</v>
      </c>
      <c r="K785" s="5">
        <f t="shared" si="38"/>
        <v>0</v>
      </c>
    </row>
    <row r="786" spans="3:11" x14ac:dyDescent="0.2">
      <c r="C786" t="s">
        <v>847</v>
      </c>
      <c r="D786" t="b">
        <f t="shared" ref="D786:D849" ca="1" si="39">IF(CELL("format",F786)="G",IF(ABS(F786-G786) &lt;= ABS(F786*B$3),TRUE,FALSE),IF(F786=G786,TRUE,FALSE))</f>
        <v>1</v>
      </c>
      <c r="E786" s="5">
        <f t="shared" ref="E786:E849" si="40">ABS(F786-G786)/ABS(F786)</f>
        <v>0</v>
      </c>
      <c r="F786">
        <v>15</v>
      </c>
      <c r="G786">
        <v>15</v>
      </c>
      <c r="H786">
        <v>15</v>
      </c>
      <c r="J786" s="5">
        <f t="shared" si="38"/>
        <v>0</v>
      </c>
      <c r="K786" s="5">
        <f t="shared" si="38"/>
        <v>0</v>
      </c>
    </row>
    <row r="787" spans="3:11" x14ac:dyDescent="0.2">
      <c r="C787" t="s">
        <v>846</v>
      </c>
      <c r="D787" t="b">
        <f t="shared" ca="1" si="39"/>
        <v>1</v>
      </c>
      <c r="E787" s="5">
        <f t="shared" si="40"/>
        <v>0</v>
      </c>
      <c r="F787">
        <v>8.7254299999999994</v>
      </c>
      <c r="G787">
        <v>8.7254299999999994</v>
      </c>
      <c r="H787">
        <v>8.7254299999999994</v>
      </c>
      <c r="J787" s="5">
        <f t="shared" si="38"/>
        <v>0</v>
      </c>
      <c r="K787" s="5">
        <f t="shared" si="38"/>
        <v>0</v>
      </c>
    </row>
    <row r="788" spans="3:11" x14ac:dyDescent="0.2">
      <c r="C788" t="s">
        <v>845</v>
      </c>
      <c r="D788" t="b">
        <f t="shared" ca="1" si="39"/>
        <v>1</v>
      </c>
      <c r="E788" s="5">
        <f t="shared" si="40"/>
        <v>0</v>
      </c>
      <c r="F788" s="4">
        <v>44567</v>
      </c>
      <c r="G788" s="4">
        <v>44567</v>
      </c>
      <c r="H788" s="4">
        <v>44567</v>
      </c>
      <c r="I788" s="4"/>
      <c r="J788" s="5">
        <f t="shared" si="38"/>
        <v>0</v>
      </c>
      <c r="K788" s="5">
        <f t="shared" si="38"/>
        <v>0</v>
      </c>
    </row>
    <row r="789" spans="3:11" x14ac:dyDescent="0.2">
      <c r="C789" t="s">
        <v>844</v>
      </c>
      <c r="D789" t="b">
        <f t="shared" ca="1" si="39"/>
        <v>1</v>
      </c>
      <c r="E789" s="5">
        <f t="shared" si="40"/>
        <v>0</v>
      </c>
      <c r="F789">
        <v>6</v>
      </c>
      <c r="G789">
        <v>6</v>
      </c>
      <c r="H789">
        <v>6</v>
      </c>
      <c r="J789" s="5">
        <f t="shared" si="38"/>
        <v>0</v>
      </c>
      <c r="K789" s="5">
        <f t="shared" si="38"/>
        <v>0</v>
      </c>
    </row>
    <row r="790" spans="3:11" x14ac:dyDescent="0.2">
      <c r="C790" t="s">
        <v>843</v>
      </c>
      <c r="D790" t="b">
        <f t="shared" ca="1" si="39"/>
        <v>1</v>
      </c>
      <c r="E790" s="5">
        <f t="shared" si="40"/>
        <v>0</v>
      </c>
      <c r="F790">
        <v>1.7695499999999999E-2</v>
      </c>
      <c r="G790">
        <v>1.7695499999999999E-2</v>
      </c>
      <c r="H790">
        <v>1.7695499999999999E-2</v>
      </c>
      <c r="J790" s="5">
        <f t="shared" si="38"/>
        <v>0</v>
      </c>
      <c r="K790" s="5">
        <f t="shared" si="38"/>
        <v>0</v>
      </c>
    </row>
    <row r="791" spans="3:11" x14ac:dyDescent="0.2">
      <c r="C791" t="s">
        <v>842</v>
      </c>
      <c r="D791" t="b">
        <f t="shared" ca="1" si="39"/>
        <v>1</v>
      </c>
      <c r="E791" s="5">
        <f t="shared" si="40"/>
        <v>0</v>
      </c>
      <c r="F791" s="4">
        <v>44752</v>
      </c>
      <c r="G791" s="4">
        <v>44752</v>
      </c>
      <c r="H791" s="4">
        <v>44752</v>
      </c>
      <c r="I791" s="4"/>
      <c r="J791" s="5">
        <f t="shared" si="38"/>
        <v>0</v>
      </c>
      <c r="K791" s="5">
        <f t="shared" si="38"/>
        <v>0</v>
      </c>
    </row>
    <row r="792" spans="3:11" x14ac:dyDescent="0.2">
      <c r="C792" t="s">
        <v>841</v>
      </c>
      <c r="D792" t="b">
        <f t="shared" ca="1" si="39"/>
        <v>1</v>
      </c>
      <c r="E792" s="5">
        <f t="shared" si="40"/>
        <v>0</v>
      </c>
      <c r="F792">
        <v>12</v>
      </c>
      <c r="G792">
        <v>12</v>
      </c>
      <c r="H792">
        <v>12</v>
      </c>
      <c r="J792" s="5">
        <f t="shared" si="38"/>
        <v>0</v>
      </c>
      <c r="K792" s="5">
        <f t="shared" si="38"/>
        <v>0</v>
      </c>
    </row>
    <row r="793" spans="3:11" x14ac:dyDescent="0.2">
      <c r="C793" t="s">
        <v>840</v>
      </c>
      <c r="D793" t="b">
        <f t="shared" ca="1" si="39"/>
        <v>1</v>
      </c>
      <c r="E793" s="5">
        <f t="shared" si="40"/>
        <v>0</v>
      </c>
      <c r="F793">
        <v>1.9292000000000001E-3</v>
      </c>
      <c r="G793">
        <v>1.9292000000000001E-3</v>
      </c>
      <c r="H793">
        <v>1.9292000000000001E-3</v>
      </c>
      <c r="J793" s="5">
        <f t="shared" si="38"/>
        <v>0</v>
      </c>
      <c r="K793" s="5">
        <f t="shared" si="38"/>
        <v>0</v>
      </c>
    </row>
    <row r="794" spans="3:11" x14ac:dyDescent="0.2">
      <c r="C794" t="s">
        <v>839</v>
      </c>
      <c r="D794" t="b">
        <f t="shared" ca="1" si="39"/>
        <v>1</v>
      </c>
      <c r="E794" s="5">
        <f t="shared" si="40"/>
        <v>0</v>
      </c>
      <c r="F794" s="4">
        <v>44572</v>
      </c>
      <c r="G794" s="4">
        <v>44572</v>
      </c>
      <c r="H794" s="4">
        <v>44572</v>
      </c>
      <c r="I794" s="4"/>
      <c r="J794" s="5">
        <f t="shared" si="38"/>
        <v>0</v>
      </c>
      <c r="K794" s="5">
        <f t="shared" si="38"/>
        <v>0</v>
      </c>
    </row>
    <row r="795" spans="3:11" x14ac:dyDescent="0.2">
      <c r="C795" t="s">
        <v>838</v>
      </c>
      <c r="D795" t="b">
        <f t="shared" ca="1" si="39"/>
        <v>1</v>
      </c>
      <c r="E795" s="5">
        <f t="shared" si="40"/>
        <v>0</v>
      </c>
      <c r="F795">
        <v>3</v>
      </c>
      <c r="G795">
        <v>3</v>
      </c>
      <c r="H795">
        <v>3</v>
      </c>
      <c r="J795" s="5">
        <f t="shared" si="38"/>
        <v>0</v>
      </c>
      <c r="K795" s="5">
        <f t="shared" si="38"/>
        <v>0</v>
      </c>
    </row>
    <row r="796" spans="3:11" x14ac:dyDescent="0.2">
      <c r="C796" t="s">
        <v>837</v>
      </c>
      <c r="D796" t="b">
        <f t="shared" ca="1" si="39"/>
        <v>1</v>
      </c>
      <c r="E796" s="5">
        <f t="shared" si="40"/>
        <v>1.4906869333802113E-5</v>
      </c>
      <c r="F796">
        <v>80.499799999999993</v>
      </c>
      <c r="G796">
        <v>80.498599999999996</v>
      </c>
      <c r="H796">
        <v>80.498599999999996</v>
      </c>
      <c r="J796" s="5">
        <f t="shared" si="38"/>
        <v>1.4906869333802113E-5</v>
      </c>
      <c r="K796" s="5">
        <f t="shared" si="38"/>
        <v>0</v>
      </c>
    </row>
    <row r="797" spans="3:11" x14ac:dyDescent="0.2">
      <c r="C797" t="s">
        <v>836</v>
      </c>
      <c r="D797" t="b">
        <f t="shared" ca="1" si="39"/>
        <v>1</v>
      </c>
      <c r="E797" s="5">
        <f t="shared" si="40"/>
        <v>0</v>
      </c>
      <c r="F797" s="4">
        <v>44822</v>
      </c>
      <c r="G797" s="4">
        <v>44822</v>
      </c>
      <c r="H797" s="4">
        <v>44822</v>
      </c>
      <c r="I797" s="4"/>
      <c r="J797" s="5">
        <f t="shared" si="38"/>
        <v>0</v>
      </c>
      <c r="K797" s="5">
        <f t="shared" si="38"/>
        <v>0</v>
      </c>
    </row>
    <row r="798" spans="3:11" x14ac:dyDescent="0.2">
      <c r="C798" t="s">
        <v>835</v>
      </c>
      <c r="D798" t="b">
        <f t="shared" ca="1" si="39"/>
        <v>1</v>
      </c>
      <c r="E798" s="5">
        <f t="shared" si="40"/>
        <v>0</v>
      </c>
      <c r="F798">
        <v>10</v>
      </c>
      <c r="G798">
        <v>10</v>
      </c>
      <c r="H798">
        <v>10</v>
      </c>
      <c r="J798" s="5">
        <f t="shared" si="38"/>
        <v>0</v>
      </c>
      <c r="K798" s="5">
        <f t="shared" si="38"/>
        <v>0</v>
      </c>
    </row>
    <row r="799" spans="3:11" x14ac:dyDescent="0.2">
      <c r="C799" t="s">
        <v>834</v>
      </c>
      <c r="D799" t="b">
        <f t="shared" ca="1" si="39"/>
        <v>1</v>
      </c>
      <c r="E799" s="5">
        <f t="shared" si="40"/>
        <v>0</v>
      </c>
      <c r="F799">
        <v>14.384600000000001</v>
      </c>
      <c r="G799">
        <v>14.384600000000001</v>
      </c>
      <c r="H799">
        <v>14.384600000000001</v>
      </c>
      <c r="J799" s="5">
        <f t="shared" si="38"/>
        <v>0</v>
      </c>
      <c r="K799" s="5">
        <f t="shared" si="38"/>
        <v>0</v>
      </c>
    </row>
    <row r="800" spans="3:11" x14ac:dyDescent="0.2">
      <c r="C800" t="s">
        <v>833</v>
      </c>
      <c r="D800" t="b">
        <f t="shared" ca="1" si="39"/>
        <v>1</v>
      </c>
      <c r="E800" s="5">
        <f t="shared" si="40"/>
        <v>0</v>
      </c>
      <c r="F800" s="4">
        <v>44871</v>
      </c>
      <c r="G800" s="4">
        <v>44871</v>
      </c>
      <c r="H800" s="4">
        <v>44871</v>
      </c>
      <c r="I800" s="4"/>
      <c r="J800" s="5">
        <f t="shared" si="38"/>
        <v>0</v>
      </c>
      <c r="K800" s="5">
        <f t="shared" si="38"/>
        <v>0</v>
      </c>
    </row>
    <row r="801" spans="3:11" x14ac:dyDescent="0.2">
      <c r="C801" t="s">
        <v>832</v>
      </c>
      <c r="D801" t="b">
        <f t="shared" ca="1" si="39"/>
        <v>1</v>
      </c>
      <c r="E801" s="5">
        <f t="shared" si="40"/>
        <v>0</v>
      </c>
      <c r="F801">
        <v>6</v>
      </c>
      <c r="G801">
        <v>6</v>
      </c>
      <c r="H801">
        <v>6</v>
      </c>
      <c r="J801" s="5">
        <f t="shared" si="38"/>
        <v>0</v>
      </c>
      <c r="K801" s="5">
        <f t="shared" si="38"/>
        <v>0</v>
      </c>
    </row>
    <row r="802" spans="3:11" x14ac:dyDescent="0.2">
      <c r="C802" t="s">
        <v>831</v>
      </c>
      <c r="D802" t="b">
        <f t="shared" ca="1" si="39"/>
        <v>1</v>
      </c>
      <c r="E802" s="5">
        <f t="shared" si="40"/>
        <v>0</v>
      </c>
      <c r="F802">
        <v>4.3445099999999996</v>
      </c>
      <c r="G802">
        <v>4.3445099999999996</v>
      </c>
      <c r="H802">
        <v>4.3445099999999996</v>
      </c>
      <c r="J802" s="5">
        <f t="shared" si="38"/>
        <v>0</v>
      </c>
      <c r="K802" s="5">
        <f t="shared" si="38"/>
        <v>0</v>
      </c>
    </row>
    <row r="803" spans="3:11" x14ac:dyDescent="0.2">
      <c r="C803" t="s">
        <v>830</v>
      </c>
      <c r="D803" t="b">
        <f t="shared" ca="1" si="39"/>
        <v>1</v>
      </c>
      <c r="E803" s="5">
        <f t="shared" si="40"/>
        <v>0</v>
      </c>
      <c r="F803" s="4">
        <v>44926</v>
      </c>
      <c r="G803" s="4">
        <v>44926</v>
      </c>
      <c r="H803" s="4">
        <v>44926</v>
      </c>
      <c r="I803" s="4"/>
      <c r="J803" s="5">
        <f t="shared" si="38"/>
        <v>0</v>
      </c>
      <c r="K803" s="5">
        <f t="shared" si="38"/>
        <v>0</v>
      </c>
    </row>
    <row r="804" spans="3:11" x14ac:dyDescent="0.2">
      <c r="C804" t="s">
        <v>829</v>
      </c>
      <c r="D804" t="b">
        <f t="shared" ca="1" si="39"/>
        <v>1</v>
      </c>
      <c r="E804" s="5">
        <f t="shared" si="40"/>
        <v>0</v>
      </c>
      <c r="F804">
        <v>23</v>
      </c>
      <c r="G804">
        <v>23</v>
      </c>
      <c r="H804">
        <v>23</v>
      </c>
      <c r="J804" s="5">
        <f t="shared" si="38"/>
        <v>0</v>
      </c>
      <c r="K804" s="5">
        <f t="shared" si="38"/>
        <v>0</v>
      </c>
    </row>
    <row r="805" spans="3:11" x14ac:dyDescent="0.2">
      <c r="C805" t="s">
        <v>828</v>
      </c>
      <c r="D805" t="b">
        <f t="shared" ca="1" si="39"/>
        <v>1</v>
      </c>
      <c r="E805" s="5">
        <f t="shared" si="40"/>
        <v>0</v>
      </c>
      <c r="F805">
        <v>2.7747700000000002</v>
      </c>
      <c r="G805">
        <v>2.7747700000000002</v>
      </c>
      <c r="H805">
        <v>2.7747700000000002</v>
      </c>
      <c r="J805" s="5">
        <f t="shared" si="38"/>
        <v>0</v>
      </c>
      <c r="K805" s="5">
        <f t="shared" si="38"/>
        <v>0</v>
      </c>
    </row>
    <row r="806" spans="3:11" x14ac:dyDescent="0.2">
      <c r="C806" t="s">
        <v>827</v>
      </c>
      <c r="D806" t="b">
        <f t="shared" ca="1" si="39"/>
        <v>1</v>
      </c>
      <c r="E806" s="5">
        <f t="shared" si="40"/>
        <v>0</v>
      </c>
      <c r="F806" s="4">
        <v>44725</v>
      </c>
      <c r="G806" s="4">
        <v>44725</v>
      </c>
      <c r="H806" s="4">
        <v>44725</v>
      </c>
      <c r="I806" s="4"/>
      <c r="J806" s="5">
        <f t="shared" si="38"/>
        <v>0</v>
      </c>
      <c r="K806" s="5">
        <f t="shared" si="38"/>
        <v>0</v>
      </c>
    </row>
    <row r="807" spans="3:11" x14ac:dyDescent="0.2">
      <c r="C807" t="s">
        <v>826</v>
      </c>
      <c r="D807" t="b">
        <f t="shared" ca="1" si="39"/>
        <v>1</v>
      </c>
      <c r="E807" s="5">
        <f t="shared" si="40"/>
        <v>0</v>
      </c>
      <c r="F807">
        <v>16</v>
      </c>
      <c r="G807">
        <v>16</v>
      </c>
      <c r="H807">
        <v>16</v>
      </c>
      <c r="J807" s="5">
        <f t="shared" si="38"/>
        <v>0</v>
      </c>
      <c r="K807" s="5">
        <f t="shared" si="38"/>
        <v>0</v>
      </c>
    </row>
    <row r="808" spans="3:11" x14ac:dyDescent="0.2">
      <c r="C808" t="s">
        <v>825</v>
      </c>
      <c r="D808" t="b">
        <f t="shared" ca="1" si="39"/>
        <v>1</v>
      </c>
      <c r="E808" s="5">
        <f t="shared" si="40"/>
        <v>0</v>
      </c>
      <c r="F808">
        <v>35.003999999999998</v>
      </c>
      <c r="G808">
        <v>35.003999999999998</v>
      </c>
      <c r="H808">
        <v>35.003999999999998</v>
      </c>
      <c r="J808" s="5">
        <f t="shared" si="38"/>
        <v>0</v>
      </c>
      <c r="K808" s="5">
        <f t="shared" si="38"/>
        <v>0</v>
      </c>
    </row>
    <row r="809" spans="3:11" x14ac:dyDescent="0.2">
      <c r="C809" t="s">
        <v>824</v>
      </c>
      <c r="D809" t="b">
        <f t="shared" ca="1" si="39"/>
        <v>1</v>
      </c>
      <c r="E809" s="5">
        <f t="shared" si="40"/>
        <v>0</v>
      </c>
      <c r="F809" s="4">
        <v>44711</v>
      </c>
      <c r="G809" s="4">
        <v>44711</v>
      </c>
      <c r="H809" s="4">
        <v>44711</v>
      </c>
      <c r="I809" s="4"/>
      <c r="J809" s="5">
        <f t="shared" si="38"/>
        <v>0</v>
      </c>
      <c r="K809" s="5">
        <f t="shared" si="38"/>
        <v>0</v>
      </c>
    </row>
    <row r="810" spans="3:11" x14ac:dyDescent="0.2">
      <c r="C810" t="s">
        <v>823</v>
      </c>
      <c r="D810" t="b">
        <f t="shared" ca="1" si="39"/>
        <v>1</v>
      </c>
      <c r="E810" s="5">
        <f t="shared" si="40"/>
        <v>0</v>
      </c>
      <c r="F810">
        <v>5</v>
      </c>
      <c r="G810">
        <v>5</v>
      </c>
      <c r="H810">
        <v>5</v>
      </c>
      <c r="J810" s="5">
        <f t="shared" si="38"/>
        <v>0</v>
      </c>
      <c r="K810" s="5">
        <f t="shared" si="38"/>
        <v>0</v>
      </c>
    </row>
    <row r="811" spans="3:11" x14ac:dyDescent="0.2">
      <c r="C811" t="s">
        <v>822</v>
      </c>
      <c r="D811" t="b">
        <f t="shared" ca="1" si="39"/>
        <v>1</v>
      </c>
      <c r="E811" s="5">
        <f t="shared" si="40"/>
        <v>0</v>
      </c>
      <c r="F811">
        <v>8.7244899999999994</v>
      </c>
      <c r="G811">
        <v>8.7244899999999994</v>
      </c>
      <c r="H811">
        <v>8.7244899999999994</v>
      </c>
      <c r="J811" s="5">
        <f t="shared" si="38"/>
        <v>0</v>
      </c>
      <c r="K811" s="5">
        <f t="shared" si="38"/>
        <v>0</v>
      </c>
    </row>
    <row r="812" spans="3:11" x14ac:dyDescent="0.2">
      <c r="C812" t="s">
        <v>821</v>
      </c>
      <c r="D812" t="b">
        <f t="shared" ca="1" si="39"/>
        <v>1</v>
      </c>
      <c r="E812" s="5">
        <f t="shared" si="40"/>
        <v>0</v>
      </c>
      <c r="F812" s="4">
        <v>44567</v>
      </c>
      <c r="G812" s="4">
        <v>44567</v>
      </c>
      <c r="H812" s="4">
        <v>44567</v>
      </c>
      <c r="I812" s="4"/>
      <c r="J812" s="5">
        <f t="shared" si="38"/>
        <v>0</v>
      </c>
      <c r="K812" s="5">
        <f t="shared" si="38"/>
        <v>0</v>
      </c>
    </row>
    <row r="813" spans="3:11" x14ac:dyDescent="0.2">
      <c r="C813" t="s">
        <v>820</v>
      </c>
      <c r="D813" t="b">
        <f t="shared" ca="1" si="39"/>
        <v>1</v>
      </c>
      <c r="E813" s="5">
        <f t="shared" si="40"/>
        <v>0</v>
      </c>
      <c r="F813">
        <v>6</v>
      </c>
      <c r="G813">
        <v>6</v>
      </c>
      <c r="H813">
        <v>6</v>
      </c>
      <c r="J813" s="5">
        <f t="shared" si="38"/>
        <v>0</v>
      </c>
      <c r="K813" s="5">
        <f t="shared" si="38"/>
        <v>0</v>
      </c>
    </row>
    <row r="814" spans="3:11" x14ac:dyDescent="0.2">
      <c r="C814" t="s">
        <v>819</v>
      </c>
      <c r="D814" t="b">
        <f t="shared" ca="1" si="39"/>
        <v>1</v>
      </c>
      <c r="E814" s="5">
        <f t="shared" si="40"/>
        <v>0</v>
      </c>
      <c r="F814">
        <v>1.6909500000000001E-2</v>
      </c>
      <c r="G814">
        <v>1.6909500000000001E-2</v>
      </c>
      <c r="H814">
        <v>1.6909500000000001E-2</v>
      </c>
      <c r="J814" s="5">
        <f t="shared" si="38"/>
        <v>0</v>
      </c>
      <c r="K814" s="5">
        <f t="shared" si="38"/>
        <v>0</v>
      </c>
    </row>
    <row r="815" spans="3:11" x14ac:dyDescent="0.2">
      <c r="C815" t="s">
        <v>818</v>
      </c>
      <c r="D815" t="b">
        <f t="shared" ca="1" si="39"/>
        <v>1</v>
      </c>
      <c r="E815" s="5">
        <f t="shared" si="40"/>
        <v>0</v>
      </c>
      <c r="F815" s="4">
        <v>44836</v>
      </c>
      <c r="G815" s="4">
        <v>44836</v>
      </c>
      <c r="H815" s="4">
        <v>44836</v>
      </c>
      <c r="I815" s="4"/>
      <c r="J815" s="5">
        <f t="shared" si="38"/>
        <v>0</v>
      </c>
      <c r="K815" s="5">
        <f t="shared" si="38"/>
        <v>0</v>
      </c>
    </row>
    <row r="816" spans="3:11" x14ac:dyDescent="0.2">
      <c r="C816" t="s">
        <v>817</v>
      </c>
      <c r="D816" t="b">
        <f t="shared" ca="1" si="39"/>
        <v>1</v>
      </c>
      <c r="E816" s="5">
        <f t="shared" si="40"/>
        <v>0</v>
      </c>
      <c r="F816">
        <v>1</v>
      </c>
      <c r="G816">
        <v>1</v>
      </c>
      <c r="H816">
        <v>1</v>
      </c>
      <c r="J816" s="5">
        <f t="shared" si="38"/>
        <v>0</v>
      </c>
      <c r="K816" s="5">
        <f t="shared" si="38"/>
        <v>0</v>
      </c>
    </row>
    <row r="817" spans="3:11" x14ac:dyDescent="0.2">
      <c r="C817" t="s">
        <v>816</v>
      </c>
      <c r="D817" t="b">
        <f t="shared" ca="1" si="39"/>
        <v>1</v>
      </c>
      <c r="E817" s="5">
        <f t="shared" si="40"/>
        <v>0</v>
      </c>
      <c r="F817">
        <v>1.9291899999999999E-3</v>
      </c>
      <c r="G817">
        <v>1.9291899999999999E-3</v>
      </c>
      <c r="H817">
        <v>1.9291899999999999E-3</v>
      </c>
      <c r="J817" s="5">
        <f t="shared" si="38"/>
        <v>0</v>
      </c>
      <c r="K817" s="5">
        <f t="shared" si="38"/>
        <v>0</v>
      </c>
    </row>
    <row r="818" spans="3:11" x14ac:dyDescent="0.2">
      <c r="C818" t="s">
        <v>815</v>
      </c>
      <c r="D818" t="b">
        <f t="shared" ca="1" si="39"/>
        <v>1</v>
      </c>
      <c r="E818" s="5">
        <f t="shared" si="40"/>
        <v>0</v>
      </c>
      <c r="F818" s="4">
        <v>44572</v>
      </c>
      <c r="G818" s="4">
        <v>44572</v>
      </c>
      <c r="H818" s="4">
        <v>44572</v>
      </c>
      <c r="I818" s="4"/>
      <c r="J818" s="5">
        <f t="shared" si="38"/>
        <v>0</v>
      </c>
      <c r="K818" s="5">
        <f t="shared" si="38"/>
        <v>0</v>
      </c>
    </row>
    <row r="819" spans="3:11" x14ac:dyDescent="0.2">
      <c r="C819" t="s">
        <v>814</v>
      </c>
      <c r="D819" t="b">
        <f t="shared" ca="1" si="39"/>
        <v>1</v>
      </c>
      <c r="E819" s="5">
        <f t="shared" si="40"/>
        <v>0</v>
      </c>
      <c r="F819">
        <v>3</v>
      </c>
      <c r="G819">
        <v>3</v>
      </c>
      <c r="H819">
        <v>3</v>
      </c>
      <c r="J819" s="5">
        <f t="shared" si="38"/>
        <v>0</v>
      </c>
      <c r="K819" s="5">
        <f t="shared" si="38"/>
        <v>0</v>
      </c>
    </row>
    <row r="820" spans="3:11" x14ac:dyDescent="0.2">
      <c r="C820" t="s">
        <v>813</v>
      </c>
      <c r="D820" t="b">
        <f t="shared" ca="1" si="39"/>
        <v>1</v>
      </c>
      <c r="E820" s="5">
        <f t="shared" si="40"/>
        <v>1.6249737788231699E-5</v>
      </c>
      <c r="F820">
        <v>67.693399999999997</v>
      </c>
      <c r="G820">
        <v>67.692300000000003</v>
      </c>
      <c r="H820">
        <v>67.692300000000003</v>
      </c>
      <c r="J820" s="5">
        <f t="shared" si="38"/>
        <v>1.6249737788231699E-5</v>
      </c>
      <c r="K820" s="5">
        <f t="shared" si="38"/>
        <v>0</v>
      </c>
    </row>
    <row r="821" spans="3:11" x14ac:dyDescent="0.2">
      <c r="C821" t="s">
        <v>812</v>
      </c>
      <c r="D821" t="b">
        <f t="shared" ca="1" si="39"/>
        <v>1</v>
      </c>
      <c r="E821" s="5">
        <f t="shared" si="40"/>
        <v>0</v>
      </c>
      <c r="F821" s="4">
        <v>44881</v>
      </c>
      <c r="G821" s="4">
        <v>44881</v>
      </c>
      <c r="H821" s="4">
        <v>44881</v>
      </c>
      <c r="I821" s="4"/>
      <c r="J821" s="5">
        <f t="shared" si="38"/>
        <v>0</v>
      </c>
      <c r="K821" s="5">
        <f t="shared" si="38"/>
        <v>0</v>
      </c>
    </row>
    <row r="822" spans="3:11" x14ac:dyDescent="0.2">
      <c r="C822" t="s">
        <v>811</v>
      </c>
      <c r="D822" t="b">
        <f t="shared" ca="1" si="39"/>
        <v>1</v>
      </c>
      <c r="E822" s="5">
        <f t="shared" si="40"/>
        <v>0</v>
      </c>
      <c r="F822">
        <v>17</v>
      </c>
      <c r="G822">
        <v>17</v>
      </c>
      <c r="H822">
        <v>17</v>
      </c>
      <c r="J822" s="5">
        <f t="shared" si="38"/>
        <v>0</v>
      </c>
      <c r="K822" s="5">
        <f t="shared" si="38"/>
        <v>0</v>
      </c>
    </row>
    <row r="823" spans="3:11" x14ac:dyDescent="0.2">
      <c r="C823" t="s">
        <v>810</v>
      </c>
      <c r="D823" t="b">
        <f t="shared" ca="1" si="39"/>
        <v>1</v>
      </c>
      <c r="E823" s="5">
        <f t="shared" si="40"/>
        <v>0</v>
      </c>
      <c r="F823">
        <v>14.3847</v>
      </c>
      <c r="G823">
        <v>14.3847</v>
      </c>
      <c r="H823">
        <v>14.3847</v>
      </c>
      <c r="J823" s="5">
        <f t="shared" si="38"/>
        <v>0</v>
      </c>
      <c r="K823" s="5">
        <f t="shared" si="38"/>
        <v>0</v>
      </c>
    </row>
    <row r="824" spans="3:11" x14ac:dyDescent="0.2">
      <c r="C824" t="s">
        <v>809</v>
      </c>
      <c r="D824" t="b">
        <f t="shared" ca="1" si="39"/>
        <v>1</v>
      </c>
      <c r="E824" s="5">
        <f t="shared" si="40"/>
        <v>0</v>
      </c>
      <c r="F824" s="4">
        <v>44871</v>
      </c>
      <c r="G824" s="4">
        <v>44871</v>
      </c>
      <c r="H824" s="4">
        <v>44871</v>
      </c>
      <c r="I824" s="4"/>
      <c r="J824" s="5">
        <f t="shared" si="38"/>
        <v>0</v>
      </c>
      <c r="K824" s="5">
        <f t="shared" si="38"/>
        <v>0</v>
      </c>
    </row>
    <row r="825" spans="3:11" x14ac:dyDescent="0.2">
      <c r="C825" t="s">
        <v>808</v>
      </c>
      <c r="D825" t="b">
        <f t="shared" ca="1" si="39"/>
        <v>1</v>
      </c>
      <c r="E825" s="5">
        <f t="shared" si="40"/>
        <v>0</v>
      </c>
      <c r="F825">
        <v>6</v>
      </c>
      <c r="G825">
        <v>6</v>
      </c>
      <c r="H825">
        <v>6</v>
      </c>
      <c r="J825" s="5">
        <f t="shared" si="38"/>
        <v>0</v>
      </c>
      <c r="K825" s="5">
        <f t="shared" si="38"/>
        <v>0</v>
      </c>
    </row>
    <row r="826" spans="3:11" x14ac:dyDescent="0.2">
      <c r="C826" t="s">
        <v>807</v>
      </c>
      <c r="D826" t="b">
        <f t="shared" ca="1" si="39"/>
        <v>1</v>
      </c>
      <c r="E826" s="5">
        <f t="shared" si="40"/>
        <v>0</v>
      </c>
      <c r="F826">
        <v>4.4310400000000003</v>
      </c>
      <c r="G826">
        <v>4.4310400000000003</v>
      </c>
      <c r="H826">
        <v>4.4310400000000003</v>
      </c>
      <c r="J826" s="5">
        <f t="shared" si="38"/>
        <v>0</v>
      </c>
      <c r="K826" s="5">
        <f t="shared" si="38"/>
        <v>0</v>
      </c>
    </row>
    <row r="827" spans="3:11" x14ac:dyDescent="0.2">
      <c r="C827" t="s">
        <v>806</v>
      </c>
      <c r="D827" t="b">
        <f t="shared" ca="1" si="39"/>
        <v>1</v>
      </c>
      <c r="E827" s="5">
        <f t="shared" si="40"/>
        <v>0</v>
      </c>
      <c r="F827" s="4">
        <v>44926</v>
      </c>
      <c r="G827" s="4">
        <v>44926</v>
      </c>
      <c r="H827" s="4">
        <v>44926</v>
      </c>
      <c r="I827" s="4"/>
      <c r="J827" s="5">
        <f t="shared" si="38"/>
        <v>0</v>
      </c>
      <c r="K827" s="5">
        <f t="shared" si="38"/>
        <v>0</v>
      </c>
    </row>
    <row r="828" spans="3:11" x14ac:dyDescent="0.2">
      <c r="C828" t="s">
        <v>805</v>
      </c>
      <c r="D828" t="b">
        <f t="shared" ca="1" si="39"/>
        <v>1</v>
      </c>
      <c r="E828" s="5">
        <f t="shared" si="40"/>
        <v>0</v>
      </c>
      <c r="F828">
        <v>23</v>
      </c>
      <c r="G828">
        <v>23</v>
      </c>
      <c r="H828">
        <v>23</v>
      </c>
      <c r="J828" s="5">
        <f t="shared" si="38"/>
        <v>0</v>
      </c>
      <c r="K828" s="5">
        <f t="shared" si="38"/>
        <v>0</v>
      </c>
    </row>
    <row r="829" spans="3:11" x14ac:dyDescent="0.2">
      <c r="C829" t="s">
        <v>804</v>
      </c>
      <c r="D829" t="b">
        <f t="shared" ca="1" si="39"/>
        <v>1</v>
      </c>
      <c r="E829" s="5">
        <f t="shared" si="40"/>
        <v>0</v>
      </c>
      <c r="F829">
        <v>2.8290299999999999</v>
      </c>
      <c r="G829">
        <v>2.8290299999999999</v>
      </c>
      <c r="H829">
        <v>2.8290299999999999</v>
      </c>
      <c r="J829" s="5">
        <f t="shared" si="38"/>
        <v>0</v>
      </c>
      <c r="K829" s="5">
        <f t="shared" si="38"/>
        <v>0</v>
      </c>
    </row>
    <row r="830" spans="3:11" x14ac:dyDescent="0.2">
      <c r="C830" t="s">
        <v>803</v>
      </c>
      <c r="D830" t="b">
        <f t="shared" ca="1" si="39"/>
        <v>1</v>
      </c>
      <c r="E830" s="5">
        <f t="shared" si="40"/>
        <v>0</v>
      </c>
      <c r="F830" s="4">
        <v>44651</v>
      </c>
      <c r="G830" s="4">
        <v>44651</v>
      </c>
      <c r="H830" s="4">
        <v>44651</v>
      </c>
      <c r="I830" s="4"/>
      <c r="J830" s="5">
        <f t="shared" si="38"/>
        <v>0</v>
      </c>
      <c r="K830" s="5">
        <f t="shared" si="38"/>
        <v>0</v>
      </c>
    </row>
    <row r="831" spans="3:11" x14ac:dyDescent="0.2">
      <c r="C831" t="s">
        <v>802</v>
      </c>
      <c r="D831" t="b">
        <f t="shared" ca="1" si="39"/>
        <v>1</v>
      </c>
      <c r="E831" s="5">
        <f t="shared" si="40"/>
        <v>0</v>
      </c>
      <c r="F831">
        <v>14</v>
      </c>
      <c r="G831">
        <v>14</v>
      </c>
      <c r="H831">
        <v>14</v>
      </c>
      <c r="J831" s="5">
        <f t="shared" si="38"/>
        <v>0</v>
      </c>
      <c r="K831" s="5">
        <f t="shared" si="38"/>
        <v>0</v>
      </c>
    </row>
    <row r="832" spans="3:11" x14ac:dyDescent="0.2">
      <c r="C832" t="s">
        <v>801</v>
      </c>
      <c r="D832" t="b">
        <f t="shared" ca="1" si="39"/>
        <v>1</v>
      </c>
      <c r="E832" s="5">
        <f t="shared" si="40"/>
        <v>0</v>
      </c>
      <c r="F832">
        <v>32.899099999999997</v>
      </c>
      <c r="G832">
        <v>32.899099999999997</v>
      </c>
      <c r="H832">
        <v>32.899099999999997</v>
      </c>
      <c r="J832" s="5">
        <f t="shared" si="38"/>
        <v>0</v>
      </c>
      <c r="K832" s="5">
        <f t="shared" si="38"/>
        <v>0</v>
      </c>
    </row>
    <row r="833" spans="3:11" x14ac:dyDescent="0.2">
      <c r="C833" t="s">
        <v>800</v>
      </c>
      <c r="D833" t="b">
        <f t="shared" ca="1" si="39"/>
        <v>1</v>
      </c>
      <c r="E833" s="5">
        <f t="shared" si="40"/>
        <v>0</v>
      </c>
      <c r="F833" s="4">
        <v>44752</v>
      </c>
      <c r="G833" s="4">
        <v>44752</v>
      </c>
      <c r="H833" s="4">
        <v>44752</v>
      </c>
      <c r="I833" s="4"/>
      <c r="J833" s="5">
        <f t="shared" si="38"/>
        <v>0</v>
      </c>
      <c r="K833" s="5">
        <f t="shared" si="38"/>
        <v>0</v>
      </c>
    </row>
    <row r="834" spans="3:11" x14ac:dyDescent="0.2">
      <c r="C834" t="s">
        <v>799</v>
      </c>
      <c r="D834" t="b">
        <f t="shared" ca="1" si="39"/>
        <v>1</v>
      </c>
      <c r="E834" s="5">
        <f t="shared" si="40"/>
        <v>0</v>
      </c>
      <c r="F834">
        <v>13</v>
      </c>
      <c r="G834">
        <v>13</v>
      </c>
      <c r="H834">
        <v>13</v>
      </c>
      <c r="J834" s="5">
        <f t="shared" si="38"/>
        <v>0</v>
      </c>
      <c r="K834" s="5">
        <f t="shared" si="38"/>
        <v>0</v>
      </c>
    </row>
    <row r="835" spans="3:11" x14ac:dyDescent="0.2">
      <c r="C835" t="s">
        <v>798</v>
      </c>
      <c r="D835" t="b">
        <f t="shared" ca="1" si="39"/>
        <v>1</v>
      </c>
      <c r="E835" s="5">
        <f t="shared" si="40"/>
        <v>0</v>
      </c>
      <c r="F835">
        <v>8.7246699999999997</v>
      </c>
      <c r="G835">
        <v>8.7246699999999997</v>
      </c>
      <c r="H835">
        <v>8.7246699999999997</v>
      </c>
      <c r="J835" s="5">
        <f t="shared" si="38"/>
        <v>0</v>
      </c>
      <c r="K835" s="5">
        <f t="shared" si="38"/>
        <v>0</v>
      </c>
    </row>
    <row r="836" spans="3:11" x14ac:dyDescent="0.2">
      <c r="C836" t="s">
        <v>797</v>
      </c>
      <c r="D836" t="b">
        <f t="shared" ca="1" si="39"/>
        <v>1</v>
      </c>
      <c r="E836" s="5">
        <f t="shared" si="40"/>
        <v>0</v>
      </c>
      <c r="F836" s="4">
        <v>44567</v>
      </c>
      <c r="G836" s="4">
        <v>44567</v>
      </c>
      <c r="H836" s="4">
        <v>44567</v>
      </c>
      <c r="I836" s="4"/>
      <c r="J836" s="5">
        <f t="shared" si="38"/>
        <v>0</v>
      </c>
      <c r="K836" s="5">
        <f t="shared" si="38"/>
        <v>0</v>
      </c>
    </row>
    <row r="837" spans="3:11" x14ac:dyDescent="0.2">
      <c r="C837" t="s">
        <v>796</v>
      </c>
      <c r="D837" t="b">
        <f t="shared" ca="1" si="39"/>
        <v>1</v>
      </c>
      <c r="E837" s="5">
        <f t="shared" si="40"/>
        <v>0</v>
      </c>
      <c r="F837">
        <v>6</v>
      </c>
      <c r="G837">
        <v>6</v>
      </c>
      <c r="H837">
        <v>6</v>
      </c>
      <c r="J837" s="5">
        <f t="shared" si="38"/>
        <v>0</v>
      </c>
      <c r="K837" s="5">
        <f t="shared" si="38"/>
        <v>0</v>
      </c>
    </row>
    <row r="838" spans="3:11" x14ac:dyDescent="0.2">
      <c r="C838" t="s">
        <v>795</v>
      </c>
      <c r="D838" t="b">
        <f t="shared" ca="1" si="39"/>
        <v>1</v>
      </c>
      <c r="E838" s="5">
        <f t="shared" si="40"/>
        <v>1.4811084615766914E-5</v>
      </c>
      <c r="F838">
        <v>1.35034E-2</v>
      </c>
      <c r="G838">
        <v>1.35032E-2</v>
      </c>
      <c r="H838">
        <v>1.35032E-2</v>
      </c>
      <c r="J838" s="5">
        <f t="shared" si="38"/>
        <v>1.4811084615766914E-5</v>
      </c>
      <c r="K838" s="5">
        <f t="shared" si="38"/>
        <v>0</v>
      </c>
    </row>
    <row r="839" spans="3:11" x14ac:dyDescent="0.2">
      <c r="C839" t="s">
        <v>794</v>
      </c>
      <c r="D839" t="b">
        <f t="shared" ca="1" si="39"/>
        <v>1</v>
      </c>
      <c r="E839" s="5">
        <f t="shared" si="40"/>
        <v>0</v>
      </c>
      <c r="F839" s="4">
        <v>44881</v>
      </c>
      <c r="G839" s="4">
        <v>44881</v>
      </c>
      <c r="H839" s="4">
        <v>44881</v>
      </c>
      <c r="I839" s="4"/>
      <c r="J839" s="5">
        <f t="shared" ref="J839:K902" si="41">ABS(F839-G839)/ABS(F839)</f>
        <v>0</v>
      </c>
      <c r="K839" s="5">
        <f t="shared" si="41"/>
        <v>0</v>
      </c>
    </row>
    <row r="840" spans="3:11" x14ac:dyDescent="0.2">
      <c r="C840" t="s">
        <v>793</v>
      </c>
      <c r="D840" t="b">
        <f t="shared" ca="1" si="39"/>
        <v>1</v>
      </c>
      <c r="E840" s="5">
        <f t="shared" si="40"/>
        <v>0</v>
      </c>
      <c r="F840">
        <v>17</v>
      </c>
      <c r="G840">
        <v>17</v>
      </c>
      <c r="H840">
        <v>17</v>
      </c>
      <c r="J840" s="5">
        <f t="shared" si="41"/>
        <v>0</v>
      </c>
      <c r="K840" s="5">
        <f t="shared" si="41"/>
        <v>0</v>
      </c>
    </row>
    <row r="841" spans="3:11" x14ac:dyDescent="0.2">
      <c r="C841" t="s">
        <v>792</v>
      </c>
      <c r="D841" t="b">
        <f t="shared" ca="1" si="39"/>
        <v>1</v>
      </c>
      <c r="E841" s="5">
        <f t="shared" si="40"/>
        <v>0</v>
      </c>
      <c r="F841">
        <v>1.9291899999999999E-3</v>
      </c>
      <c r="G841">
        <v>1.9291899999999999E-3</v>
      </c>
      <c r="H841">
        <v>1.9291899999999999E-3</v>
      </c>
      <c r="J841" s="5">
        <f t="shared" si="41"/>
        <v>0</v>
      </c>
      <c r="K841" s="5">
        <f t="shared" si="41"/>
        <v>0</v>
      </c>
    </row>
    <row r="842" spans="3:11" x14ac:dyDescent="0.2">
      <c r="C842" t="s">
        <v>791</v>
      </c>
      <c r="D842" t="b">
        <f t="shared" ca="1" si="39"/>
        <v>1</v>
      </c>
      <c r="E842" s="5">
        <f t="shared" si="40"/>
        <v>0</v>
      </c>
      <c r="F842" s="4">
        <v>44572</v>
      </c>
      <c r="G842" s="4">
        <v>44572</v>
      </c>
      <c r="H842" s="4">
        <v>44572</v>
      </c>
      <c r="I842" s="4"/>
      <c r="J842" s="5">
        <f t="shared" si="41"/>
        <v>0</v>
      </c>
      <c r="K842" s="5">
        <f t="shared" si="41"/>
        <v>0</v>
      </c>
    </row>
    <row r="843" spans="3:11" x14ac:dyDescent="0.2">
      <c r="C843" t="s">
        <v>790</v>
      </c>
      <c r="D843" t="b">
        <f t="shared" ca="1" si="39"/>
        <v>1</v>
      </c>
      <c r="E843" s="5">
        <f t="shared" si="40"/>
        <v>0</v>
      </c>
      <c r="F843">
        <v>3</v>
      </c>
      <c r="G843">
        <v>3</v>
      </c>
      <c r="H843">
        <v>3</v>
      </c>
      <c r="J843" s="5">
        <f t="shared" si="41"/>
        <v>0</v>
      </c>
      <c r="K843" s="5">
        <f t="shared" si="41"/>
        <v>0</v>
      </c>
    </row>
    <row r="844" spans="3:11" x14ac:dyDescent="0.2">
      <c r="C844" t="s">
        <v>789</v>
      </c>
      <c r="D844" t="b">
        <f t="shared" ca="1" si="39"/>
        <v>1</v>
      </c>
      <c r="E844" s="5">
        <f t="shared" si="40"/>
        <v>1.6249785798397688E-5</v>
      </c>
      <c r="F844">
        <v>67.693200000000004</v>
      </c>
      <c r="G844">
        <v>67.692099999999996</v>
      </c>
      <c r="H844">
        <v>67.692099999999996</v>
      </c>
      <c r="J844" s="5">
        <f t="shared" si="41"/>
        <v>1.6249785798397688E-5</v>
      </c>
      <c r="K844" s="5">
        <f t="shared" si="41"/>
        <v>0</v>
      </c>
    </row>
    <row r="845" spans="3:11" x14ac:dyDescent="0.2">
      <c r="C845" t="s">
        <v>788</v>
      </c>
      <c r="D845" t="b">
        <f t="shared" ca="1" si="39"/>
        <v>1</v>
      </c>
      <c r="E845" s="5">
        <f t="shared" si="40"/>
        <v>0</v>
      </c>
      <c r="F845" s="4">
        <v>44881</v>
      </c>
      <c r="G845" s="4">
        <v>44881</v>
      </c>
      <c r="H845" s="4">
        <v>44881</v>
      </c>
      <c r="I845" s="4"/>
      <c r="J845" s="5">
        <f t="shared" si="41"/>
        <v>0</v>
      </c>
      <c r="K845" s="5">
        <f t="shared" si="41"/>
        <v>0</v>
      </c>
    </row>
    <row r="846" spans="3:11" x14ac:dyDescent="0.2">
      <c r="C846" t="s">
        <v>787</v>
      </c>
      <c r="D846" t="b">
        <f t="shared" ca="1" si="39"/>
        <v>1</v>
      </c>
      <c r="E846" s="5">
        <f t="shared" si="40"/>
        <v>0</v>
      </c>
      <c r="F846">
        <v>17</v>
      </c>
      <c r="G846">
        <v>17</v>
      </c>
      <c r="H846">
        <v>17</v>
      </c>
      <c r="J846" s="5">
        <f t="shared" si="41"/>
        <v>0</v>
      </c>
      <c r="K846" s="5">
        <f t="shared" si="41"/>
        <v>0</v>
      </c>
    </row>
    <row r="847" spans="3:11" x14ac:dyDescent="0.2">
      <c r="C847" t="s">
        <v>786</v>
      </c>
      <c r="D847" t="b">
        <f t="shared" ca="1" si="39"/>
        <v>1</v>
      </c>
      <c r="E847" s="5">
        <f t="shared" si="40"/>
        <v>0</v>
      </c>
      <c r="F847">
        <v>14.384600000000001</v>
      </c>
      <c r="G847">
        <v>14.384600000000001</v>
      </c>
      <c r="H847">
        <v>14.384600000000001</v>
      </c>
      <c r="J847" s="5">
        <f t="shared" si="41"/>
        <v>0</v>
      </c>
      <c r="K847" s="5">
        <f t="shared" si="41"/>
        <v>0</v>
      </c>
    </row>
    <row r="848" spans="3:11" x14ac:dyDescent="0.2">
      <c r="C848" t="s">
        <v>785</v>
      </c>
      <c r="D848" t="b">
        <f t="shared" ca="1" si="39"/>
        <v>1</v>
      </c>
      <c r="E848" s="5">
        <f t="shared" si="40"/>
        <v>0</v>
      </c>
      <c r="F848" s="4">
        <v>44871</v>
      </c>
      <c r="G848" s="4">
        <v>44871</v>
      </c>
      <c r="H848" s="4">
        <v>44871</v>
      </c>
      <c r="I848" s="4"/>
      <c r="J848" s="5">
        <f t="shared" si="41"/>
        <v>0</v>
      </c>
      <c r="K848" s="5">
        <f t="shared" si="41"/>
        <v>0</v>
      </c>
    </row>
    <row r="849" spans="3:11" x14ac:dyDescent="0.2">
      <c r="C849" t="s">
        <v>784</v>
      </c>
      <c r="D849" t="b">
        <f t="shared" ca="1" si="39"/>
        <v>1</v>
      </c>
      <c r="E849" s="5">
        <f t="shared" si="40"/>
        <v>0</v>
      </c>
      <c r="F849">
        <v>6</v>
      </c>
      <c r="G849">
        <v>6</v>
      </c>
      <c r="H849">
        <v>6</v>
      </c>
      <c r="J849" s="5">
        <f t="shared" si="41"/>
        <v>0</v>
      </c>
      <c r="K849" s="5">
        <f t="shared" si="41"/>
        <v>0</v>
      </c>
    </row>
    <row r="850" spans="3:11" x14ac:dyDescent="0.2">
      <c r="C850" t="s">
        <v>783</v>
      </c>
      <c r="D850" t="b">
        <f t="shared" ref="D850:D913" ca="1" si="42">IF(CELL("format",F850)="G",IF(ABS(F850-G850) &lt;= ABS(F850*B$3),TRUE,FALSE),IF(F850=G850,TRUE,FALSE))</f>
        <v>1</v>
      </c>
      <c r="E850" s="5">
        <f t="shared" ref="E850:E913" si="43">ABS(F850-G850)/ABS(F850)</f>
        <v>7.3397188887711843E-5</v>
      </c>
      <c r="F850">
        <v>4.0873499999999998</v>
      </c>
      <c r="G850">
        <v>4.08765</v>
      </c>
      <c r="H850">
        <v>4.08765</v>
      </c>
      <c r="J850" s="5">
        <f t="shared" si="41"/>
        <v>7.3397188887711843E-5</v>
      </c>
      <c r="K850" s="5">
        <f t="shared" si="41"/>
        <v>0</v>
      </c>
    </row>
    <row r="851" spans="3:11" x14ac:dyDescent="0.2">
      <c r="C851" t="s">
        <v>782</v>
      </c>
      <c r="D851" t="b">
        <f t="shared" ca="1" si="42"/>
        <v>1</v>
      </c>
      <c r="E851" s="5">
        <f t="shared" si="43"/>
        <v>0</v>
      </c>
      <c r="F851" s="4">
        <v>44926</v>
      </c>
      <c r="G851" s="4">
        <v>44926</v>
      </c>
      <c r="H851" s="4">
        <v>44926</v>
      </c>
      <c r="I851" s="4"/>
      <c r="J851" s="5">
        <f t="shared" si="41"/>
        <v>0</v>
      </c>
      <c r="K851" s="5">
        <f t="shared" si="41"/>
        <v>0</v>
      </c>
    </row>
    <row r="852" spans="3:11" x14ac:dyDescent="0.2">
      <c r="C852" t="s">
        <v>781</v>
      </c>
      <c r="D852" t="b">
        <f t="shared" ca="1" si="42"/>
        <v>1</v>
      </c>
      <c r="E852" s="5">
        <f t="shared" si="43"/>
        <v>0</v>
      </c>
      <c r="F852">
        <v>23</v>
      </c>
      <c r="G852">
        <v>23</v>
      </c>
      <c r="H852">
        <v>23</v>
      </c>
      <c r="J852" s="5">
        <f t="shared" si="41"/>
        <v>0</v>
      </c>
      <c r="K852" s="5">
        <f t="shared" si="41"/>
        <v>0</v>
      </c>
    </row>
    <row r="853" spans="3:11" x14ac:dyDescent="0.2">
      <c r="C853" t="s">
        <v>780</v>
      </c>
      <c r="D853" t="b">
        <f t="shared" ca="1" si="42"/>
        <v>1</v>
      </c>
      <c r="E853" s="5">
        <f t="shared" si="43"/>
        <v>0</v>
      </c>
      <c r="F853">
        <v>2.7747700000000002</v>
      </c>
      <c r="G853">
        <v>2.7747700000000002</v>
      </c>
      <c r="H853">
        <v>2.7747700000000002</v>
      </c>
      <c r="J853" s="5">
        <f t="shared" si="41"/>
        <v>0</v>
      </c>
      <c r="K853" s="5">
        <f t="shared" si="41"/>
        <v>0</v>
      </c>
    </row>
    <row r="854" spans="3:11" x14ac:dyDescent="0.2">
      <c r="C854" t="s">
        <v>779</v>
      </c>
      <c r="D854" t="b">
        <f t="shared" ca="1" si="42"/>
        <v>1</v>
      </c>
      <c r="E854" s="5">
        <f t="shared" si="43"/>
        <v>0</v>
      </c>
      <c r="F854" s="4">
        <v>44725</v>
      </c>
      <c r="G854" s="4">
        <v>44725</v>
      </c>
      <c r="H854" s="4">
        <v>44725</v>
      </c>
      <c r="I854" s="4"/>
      <c r="J854" s="5">
        <f t="shared" si="41"/>
        <v>0</v>
      </c>
      <c r="K854" s="5">
        <f t="shared" si="41"/>
        <v>0</v>
      </c>
    </row>
    <row r="855" spans="3:11" x14ac:dyDescent="0.2">
      <c r="C855" t="s">
        <v>778</v>
      </c>
      <c r="D855" t="b">
        <f t="shared" ca="1" si="42"/>
        <v>1</v>
      </c>
      <c r="E855" s="5">
        <f t="shared" si="43"/>
        <v>0</v>
      </c>
      <c r="F855">
        <v>16</v>
      </c>
      <c r="G855">
        <v>16</v>
      </c>
      <c r="H855">
        <v>16</v>
      </c>
      <c r="J855" s="5">
        <f t="shared" si="41"/>
        <v>0</v>
      </c>
      <c r="K855" s="5">
        <f t="shared" si="41"/>
        <v>0</v>
      </c>
    </row>
    <row r="856" spans="3:11" x14ac:dyDescent="0.2">
      <c r="C856" t="s">
        <v>777</v>
      </c>
      <c r="D856" t="b">
        <f t="shared" ca="1" si="42"/>
        <v>1</v>
      </c>
      <c r="E856" s="5">
        <f t="shared" si="43"/>
        <v>3.1643942360625767E-5</v>
      </c>
      <c r="F856">
        <v>25.281300000000002</v>
      </c>
      <c r="G856">
        <v>25.2805</v>
      </c>
      <c r="H856">
        <v>25.2805</v>
      </c>
      <c r="J856" s="5">
        <f t="shared" si="41"/>
        <v>3.1643942360625767E-5</v>
      </c>
      <c r="K856" s="5">
        <f t="shared" si="41"/>
        <v>0</v>
      </c>
    </row>
    <row r="857" spans="3:11" x14ac:dyDescent="0.2">
      <c r="C857" t="s">
        <v>776</v>
      </c>
      <c r="D857" t="b">
        <f t="shared" ca="1" si="42"/>
        <v>1</v>
      </c>
      <c r="E857" s="5">
        <f t="shared" si="43"/>
        <v>0</v>
      </c>
      <c r="F857" s="4">
        <v>44728</v>
      </c>
      <c r="G857" s="4">
        <v>44728</v>
      </c>
      <c r="H857" s="4">
        <v>44728</v>
      </c>
      <c r="I857" s="4"/>
      <c r="J857" s="5">
        <f t="shared" si="41"/>
        <v>0</v>
      </c>
      <c r="K857" s="5">
        <f t="shared" si="41"/>
        <v>0</v>
      </c>
    </row>
    <row r="858" spans="3:11" x14ac:dyDescent="0.2">
      <c r="C858" t="s">
        <v>775</v>
      </c>
      <c r="D858" t="b">
        <f t="shared" ca="1" si="42"/>
        <v>1</v>
      </c>
      <c r="E858" s="5">
        <f t="shared" si="43"/>
        <v>0</v>
      </c>
      <c r="F858">
        <v>15</v>
      </c>
      <c r="G858">
        <v>15</v>
      </c>
      <c r="H858">
        <v>15</v>
      </c>
      <c r="J858" s="5">
        <f t="shared" si="41"/>
        <v>0</v>
      </c>
      <c r="K858" s="5">
        <f t="shared" si="41"/>
        <v>0</v>
      </c>
    </row>
    <row r="859" spans="3:11" x14ac:dyDescent="0.2">
      <c r="C859" t="s">
        <v>774</v>
      </c>
      <c r="D859" t="b">
        <f t="shared" ca="1" si="42"/>
        <v>1</v>
      </c>
      <c r="E859" s="5">
        <f t="shared" si="43"/>
        <v>0</v>
      </c>
      <c r="F859">
        <v>8.7244899999999994</v>
      </c>
      <c r="G859">
        <v>8.7244899999999994</v>
      </c>
      <c r="H859">
        <v>8.7244899999999994</v>
      </c>
      <c r="J859" s="5">
        <f t="shared" si="41"/>
        <v>0</v>
      </c>
      <c r="K859" s="5">
        <f t="shared" si="41"/>
        <v>0</v>
      </c>
    </row>
    <row r="860" spans="3:11" x14ac:dyDescent="0.2">
      <c r="C860" t="s">
        <v>773</v>
      </c>
      <c r="D860" t="b">
        <f t="shared" ca="1" si="42"/>
        <v>1</v>
      </c>
      <c r="E860" s="5">
        <f t="shared" si="43"/>
        <v>0</v>
      </c>
      <c r="F860" s="4">
        <v>44567</v>
      </c>
      <c r="G860" s="4">
        <v>44567</v>
      </c>
      <c r="H860" s="4">
        <v>44567</v>
      </c>
      <c r="I860" s="4"/>
      <c r="J860" s="5">
        <f t="shared" si="41"/>
        <v>0</v>
      </c>
      <c r="K860" s="5">
        <f t="shared" si="41"/>
        <v>0</v>
      </c>
    </row>
    <row r="861" spans="3:11" x14ac:dyDescent="0.2">
      <c r="C861" t="s">
        <v>772</v>
      </c>
      <c r="D861" t="b">
        <f t="shared" ca="1" si="42"/>
        <v>1</v>
      </c>
      <c r="E861" s="5">
        <f t="shared" si="43"/>
        <v>0</v>
      </c>
      <c r="F861">
        <v>6</v>
      </c>
      <c r="G861">
        <v>6</v>
      </c>
      <c r="H861">
        <v>6</v>
      </c>
      <c r="J861" s="5">
        <f t="shared" si="41"/>
        <v>0</v>
      </c>
      <c r="K861" s="5">
        <f t="shared" si="41"/>
        <v>0</v>
      </c>
    </row>
    <row r="862" spans="3:11" x14ac:dyDescent="0.2">
      <c r="C862" t="s">
        <v>771</v>
      </c>
      <c r="D862" t="b">
        <f t="shared" ca="1" si="42"/>
        <v>1</v>
      </c>
      <c r="E862" s="5">
        <f t="shared" si="43"/>
        <v>1.2449424214272126E-5</v>
      </c>
      <c r="F862">
        <v>1.6064999999999999E-2</v>
      </c>
      <c r="G862">
        <v>1.6065200000000002E-2</v>
      </c>
      <c r="H862">
        <v>1.6065200000000002E-2</v>
      </c>
      <c r="J862" s="5">
        <f t="shared" si="41"/>
        <v>1.2449424214272126E-5</v>
      </c>
      <c r="K862" s="5">
        <f t="shared" si="41"/>
        <v>0</v>
      </c>
    </row>
    <row r="863" spans="3:11" x14ac:dyDescent="0.2">
      <c r="C863" t="s">
        <v>770</v>
      </c>
      <c r="D863" t="b">
        <f t="shared" ca="1" si="42"/>
        <v>1</v>
      </c>
      <c r="E863" s="5">
        <f t="shared" si="43"/>
        <v>0</v>
      </c>
      <c r="F863" s="4">
        <v>44653</v>
      </c>
      <c r="G863" s="4">
        <v>44653</v>
      </c>
      <c r="H863" s="4">
        <v>44653</v>
      </c>
      <c r="I863" s="4"/>
      <c r="J863" s="5">
        <f t="shared" si="41"/>
        <v>0</v>
      </c>
      <c r="K863" s="5">
        <f t="shared" si="41"/>
        <v>0</v>
      </c>
    </row>
    <row r="864" spans="3:11" x14ac:dyDescent="0.2">
      <c r="C864" t="s">
        <v>769</v>
      </c>
      <c r="D864" t="b">
        <f t="shared" ca="1" si="42"/>
        <v>1</v>
      </c>
      <c r="E864" s="5">
        <f t="shared" si="43"/>
        <v>0</v>
      </c>
      <c r="F864">
        <v>5</v>
      </c>
      <c r="G864">
        <v>5</v>
      </c>
      <c r="H864">
        <v>5</v>
      </c>
      <c r="J864" s="5">
        <f t="shared" si="41"/>
        <v>0</v>
      </c>
      <c r="K864" s="5">
        <f t="shared" si="41"/>
        <v>0</v>
      </c>
    </row>
    <row r="865" spans="3:11" x14ac:dyDescent="0.2">
      <c r="C865" t="s">
        <v>768</v>
      </c>
      <c r="D865" t="b">
        <f t="shared" ca="1" si="42"/>
        <v>1</v>
      </c>
      <c r="E865" s="5">
        <f t="shared" si="43"/>
        <v>0</v>
      </c>
      <c r="F865">
        <v>1.9291899999999999E-3</v>
      </c>
      <c r="G865">
        <v>1.9291899999999999E-3</v>
      </c>
      <c r="H865">
        <v>1.9291899999999999E-3</v>
      </c>
      <c r="J865" s="5">
        <f t="shared" si="41"/>
        <v>0</v>
      </c>
      <c r="K865" s="5">
        <f t="shared" si="41"/>
        <v>0</v>
      </c>
    </row>
    <row r="866" spans="3:11" x14ac:dyDescent="0.2">
      <c r="C866" t="s">
        <v>767</v>
      </c>
      <c r="D866" t="b">
        <f t="shared" ca="1" si="42"/>
        <v>1</v>
      </c>
      <c r="E866" s="5">
        <f t="shared" si="43"/>
        <v>0</v>
      </c>
      <c r="F866" s="4">
        <v>44572</v>
      </c>
      <c r="G866" s="4">
        <v>44572</v>
      </c>
      <c r="H866" s="4">
        <v>44572</v>
      </c>
      <c r="I866" s="4"/>
      <c r="J866" s="5">
        <f t="shared" si="41"/>
        <v>0</v>
      </c>
      <c r="K866" s="5">
        <f t="shared" si="41"/>
        <v>0</v>
      </c>
    </row>
    <row r="867" spans="3:11" x14ac:dyDescent="0.2">
      <c r="C867" t="s">
        <v>766</v>
      </c>
      <c r="D867" t="b">
        <f t="shared" ca="1" si="42"/>
        <v>1</v>
      </c>
      <c r="E867" s="5">
        <f t="shared" si="43"/>
        <v>0</v>
      </c>
      <c r="F867">
        <v>3</v>
      </c>
      <c r="G867">
        <v>3</v>
      </c>
      <c r="H867">
        <v>3</v>
      </c>
      <c r="J867" s="5">
        <f t="shared" si="41"/>
        <v>0</v>
      </c>
      <c r="K867" s="5">
        <f t="shared" si="41"/>
        <v>0</v>
      </c>
    </row>
    <row r="868" spans="3:11" x14ac:dyDescent="0.2">
      <c r="C868" t="s">
        <v>765</v>
      </c>
      <c r="D868" t="b">
        <f t="shared" ca="1" si="42"/>
        <v>1</v>
      </c>
      <c r="E868" s="5">
        <f t="shared" si="43"/>
        <v>5.5709685684635998E-6</v>
      </c>
      <c r="F868">
        <v>89.751000000000005</v>
      </c>
      <c r="G868">
        <v>89.751499999999993</v>
      </c>
      <c r="H868">
        <v>89.751499999999993</v>
      </c>
      <c r="J868" s="5">
        <f t="shared" si="41"/>
        <v>5.5709685684635998E-6</v>
      </c>
      <c r="K868" s="5">
        <f t="shared" si="41"/>
        <v>0</v>
      </c>
    </row>
    <row r="869" spans="3:11" x14ac:dyDescent="0.2">
      <c r="C869" t="s">
        <v>764</v>
      </c>
      <c r="D869" t="b">
        <f t="shared" ca="1" si="42"/>
        <v>1</v>
      </c>
      <c r="E869" s="5">
        <f t="shared" si="43"/>
        <v>0</v>
      </c>
      <c r="F869" s="4">
        <v>44653</v>
      </c>
      <c r="G869" s="4">
        <v>44653</v>
      </c>
      <c r="H869" s="4">
        <v>44653</v>
      </c>
      <c r="I869" s="4"/>
      <c r="J869" s="5">
        <f t="shared" si="41"/>
        <v>0</v>
      </c>
      <c r="K869" s="5">
        <f t="shared" si="41"/>
        <v>0</v>
      </c>
    </row>
    <row r="870" spans="3:11" x14ac:dyDescent="0.2">
      <c r="C870" t="s">
        <v>763</v>
      </c>
      <c r="D870" t="b">
        <f t="shared" ca="1" si="42"/>
        <v>1</v>
      </c>
      <c r="E870" s="5">
        <f t="shared" si="43"/>
        <v>0</v>
      </c>
      <c r="F870">
        <v>2</v>
      </c>
      <c r="G870">
        <v>2</v>
      </c>
      <c r="H870">
        <v>2</v>
      </c>
      <c r="J870" s="5">
        <f t="shared" si="41"/>
        <v>0</v>
      </c>
      <c r="K870" s="5">
        <f t="shared" si="41"/>
        <v>0</v>
      </c>
    </row>
    <row r="871" spans="3:11" x14ac:dyDescent="0.2">
      <c r="C871" t="s">
        <v>762</v>
      </c>
      <c r="D871" t="b">
        <f t="shared" ca="1" si="42"/>
        <v>1</v>
      </c>
      <c r="E871" s="5">
        <f t="shared" si="43"/>
        <v>0</v>
      </c>
      <c r="F871">
        <v>16.328099999999999</v>
      </c>
      <c r="G871">
        <v>16.328099999999999</v>
      </c>
      <c r="H871">
        <v>16.328099999999999</v>
      </c>
      <c r="J871" s="5">
        <f t="shared" si="41"/>
        <v>0</v>
      </c>
      <c r="K871" s="5">
        <f t="shared" si="41"/>
        <v>0</v>
      </c>
    </row>
    <row r="872" spans="3:11" x14ac:dyDescent="0.2">
      <c r="C872" t="s">
        <v>761</v>
      </c>
      <c r="D872" t="b">
        <f t="shared" ca="1" si="42"/>
        <v>1</v>
      </c>
      <c r="E872" s="5">
        <f t="shared" si="43"/>
        <v>0</v>
      </c>
      <c r="F872" s="4">
        <v>44871</v>
      </c>
      <c r="G872" s="4">
        <v>44871</v>
      </c>
      <c r="H872" s="4">
        <v>44871</v>
      </c>
      <c r="I872" s="4"/>
      <c r="J872" s="5">
        <f t="shared" si="41"/>
        <v>0</v>
      </c>
      <c r="K872" s="5">
        <f t="shared" si="41"/>
        <v>0</v>
      </c>
    </row>
    <row r="873" spans="3:11" x14ac:dyDescent="0.2">
      <c r="C873" t="s">
        <v>760</v>
      </c>
      <c r="D873" t="b">
        <f t="shared" ca="1" si="42"/>
        <v>1</v>
      </c>
      <c r="E873" s="5">
        <f t="shared" si="43"/>
        <v>0</v>
      </c>
      <c r="F873">
        <v>6</v>
      </c>
      <c r="G873">
        <v>6</v>
      </c>
      <c r="H873">
        <v>6</v>
      </c>
      <c r="J873" s="5">
        <f t="shared" si="41"/>
        <v>0</v>
      </c>
      <c r="K873" s="5">
        <f t="shared" si="41"/>
        <v>0</v>
      </c>
    </row>
    <row r="874" spans="3:11" x14ac:dyDescent="0.2">
      <c r="C874" t="s">
        <v>759</v>
      </c>
      <c r="D874" t="b">
        <f t="shared" ca="1" si="42"/>
        <v>1</v>
      </c>
      <c r="E874" s="5">
        <f t="shared" si="43"/>
        <v>7.3397188887711843E-5</v>
      </c>
      <c r="F874">
        <v>4.0873499999999998</v>
      </c>
      <c r="G874">
        <v>4.08765</v>
      </c>
      <c r="H874">
        <v>4.08765</v>
      </c>
      <c r="J874" s="5">
        <f t="shared" si="41"/>
        <v>7.3397188887711843E-5</v>
      </c>
      <c r="K874" s="5">
        <f t="shared" si="41"/>
        <v>0</v>
      </c>
    </row>
    <row r="875" spans="3:11" x14ac:dyDescent="0.2">
      <c r="C875" t="s">
        <v>758</v>
      </c>
      <c r="D875" t="b">
        <f t="shared" ca="1" si="42"/>
        <v>1</v>
      </c>
      <c r="E875" s="5">
        <f t="shared" si="43"/>
        <v>0</v>
      </c>
      <c r="F875" s="4">
        <v>44926</v>
      </c>
      <c r="G875" s="4">
        <v>44926</v>
      </c>
      <c r="H875" s="4">
        <v>44926</v>
      </c>
      <c r="I875" s="4"/>
      <c r="J875" s="5">
        <f t="shared" si="41"/>
        <v>0</v>
      </c>
      <c r="K875" s="5">
        <f t="shared" si="41"/>
        <v>0</v>
      </c>
    </row>
    <row r="876" spans="3:11" x14ac:dyDescent="0.2">
      <c r="C876" t="s">
        <v>757</v>
      </c>
      <c r="D876" t="b">
        <f t="shared" ca="1" si="42"/>
        <v>1</v>
      </c>
      <c r="E876" s="5">
        <f t="shared" si="43"/>
        <v>0</v>
      </c>
      <c r="F876">
        <v>23</v>
      </c>
      <c r="G876">
        <v>23</v>
      </c>
      <c r="H876">
        <v>23</v>
      </c>
      <c r="J876" s="5">
        <f t="shared" si="41"/>
        <v>0</v>
      </c>
      <c r="K876" s="5">
        <f t="shared" si="41"/>
        <v>0</v>
      </c>
    </row>
    <row r="877" spans="3:11" x14ac:dyDescent="0.2">
      <c r="C877" t="s">
        <v>756</v>
      </c>
      <c r="D877" t="b">
        <f t="shared" ca="1" si="42"/>
        <v>1</v>
      </c>
      <c r="E877" s="5">
        <f t="shared" si="43"/>
        <v>0</v>
      </c>
      <c r="F877">
        <v>2.7747700000000002</v>
      </c>
      <c r="G877">
        <v>2.7747700000000002</v>
      </c>
      <c r="H877">
        <v>2.7747700000000002</v>
      </c>
      <c r="J877" s="5">
        <f t="shared" si="41"/>
        <v>0</v>
      </c>
      <c r="K877" s="5">
        <f t="shared" si="41"/>
        <v>0</v>
      </c>
    </row>
    <row r="878" spans="3:11" x14ac:dyDescent="0.2">
      <c r="C878" t="s">
        <v>755</v>
      </c>
      <c r="D878" t="b">
        <f t="shared" ca="1" si="42"/>
        <v>1</v>
      </c>
      <c r="E878" s="5">
        <f t="shared" si="43"/>
        <v>0</v>
      </c>
      <c r="F878" s="4">
        <v>44725</v>
      </c>
      <c r="G878" s="4">
        <v>44725</v>
      </c>
      <c r="H878" s="4">
        <v>44725</v>
      </c>
      <c r="I878" s="4"/>
      <c r="J878" s="5">
        <f t="shared" si="41"/>
        <v>0</v>
      </c>
      <c r="K878" s="5">
        <f t="shared" si="41"/>
        <v>0</v>
      </c>
    </row>
    <row r="879" spans="3:11" x14ac:dyDescent="0.2">
      <c r="C879" t="s">
        <v>754</v>
      </c>
      <c r="D879" t="b">
        <f t="shared" ca="1" si="42"/>
        <v>1</v>
      </c>
      <c r="E879" s="5">
        <f t="shared" si="43"/>
        <v>0</v>
      </c>
      <c r="F879">
        <v>16</v>
      </c>
      <c r="G879">
        <v>16</v>
      </c>
      <c r="H879">
        <v>16</v>
      </c>
      <c r="J879" s="5">
        <f t="shared" si="41"/>
        <v>0</v>
      </c>
      <c r="K879" s="5">
        <f t="shared" si="41"/>
        <v>0</v>
      </c>
    </row>
    <row r="880" spans="3:11" x14ac:dyDescent="0.2">
      <c r="C880" t="s">
        <v>753</v>
      </c>
      <c r="D880" t="b">
        <f t="shared" ca="1" si="42"/>
        <v>1</v>
      </c>
      <c r="E880" s="5">
        <f t="shared" si="43"/>
        <v>3.1643942360625767E-5</v>
      </c>
      <c r="F880">
        <v>25.281300000000002</v>
      </c>
      <c r="G880">
        <v>25.2805</v>
      </c>
      <c r="H880">
        <v>25.2805</v>
      </c>
      <c r="J880" s="5">
        <f t="shared" si="41"/>
        <v>3.1643942360625767E-5</v>
      </c>
      <c r="K880" s="5">
        <f t="shared" si="41"/>
        <v>0</v>
      </c>
    </row>
    <row r="881" spans="3:11" x14ac:dyDescent="0.2">
      <c r="C881" t="s">
        <v>752</v>
      </c>
      <c r="D881" t="b">
        <f t="shared" ca="1" si="42"/>
        <v>1</v>
      </c>
      <c r="E881" s="5">
        <f t="shared" si="43"/>
        <v>0</v>
      </c>
      <c r="F881" s="4">
        <v>44728</v>
      </c>
      <c r="G881" s="4">
        <v>44728</v>
      </c>
      <c r="H881" s="4">
        <v>44728</v>
      </c>
      <c r="I881" s="4"/>
      <c r="J881" s="5">
        <f t="shared" si="41"/>
        <v>0</v>
      </c>
      <c r="K881" s="5">
        <f t="shared" si="41"/>
        <v>0</v>
      </c>
    </row>
    <row r="882" spans="3:11" x14ac:dyDescent="0.2">
      <c r="C882" t="s">
        <v>751</v>
      </c>
      <c r="D882" t="b">
        <f t="shared" ca="1" si="42"/>
        <v>1</v>
      </c>
      <c r="E882" s="5">
        <f t="shared" si="43"/>
        <v>0</v>
      </c>
      <c r="F882">
        <v>15</v>
      </c>
      <c r="G882">
        <v>15</v>
      </c>
      <c r="H882">
        <v>15</v>
      </c>
      <c r="J882" s="5">
        <f t="shared" si="41"/>
        <v>0</v>
      </c>
      <c r="K882" s="5">
        <f t="shared" si="41"/>
        <v>0</v>
      </c>
    </row>
    <row r="883" spans="3:11" x14ac:dyDescent="0.2">
      <c r="C883" t="s">
        <v>750</v>
      </c>
      <c r="D883" t="b">
        <f t="shared" ca="1" si="42"/>
        <v>1</v>
      </c>
      <c r="E883" s="5">
        <f t="shared" si="43"/>
        <v>0</v>
      </c>
      <c r="F883">
        <v>8.7244899999999994</v>
      </c>
      <c r="G883">
        <v>8.7244899999999994</v>
      </c>
      <c r="H883">
        <v>8.7244899999999994</v>
      </c>
      <c r="J883" s="5">
        <f t="shared" si="41"/>
        <v>0</v>
      </c>
      <c r="K883" s="5">
        <f t="shared" si="41"/>
        <v>0</v>
      </c>
    </row>
    <row r="884" spans="3:11" x14ac:dyDescent="0.2">
      <c r="C884" t="s">
        <v>749</v>
      </c>
      <c r="D884" t="b">
        <f t="shared" ca="1" si="42"/>
        <v>1</v>
      </c>
      <c r="E884" s="5">
        <f t="shared" si="43"/>
        <v>0</v>
      </c>
      <c r="F884" s="4">
        <v>44567</v>
      </c>
      <c r="G884" s="4">
        <v>44567</v>
      </c>
      <c r="H884" s="4">
        <v>44567</v>
      </c>
      <c r="I884" s="4"/>
      <c r="J884" s="5">
        <f t="shared" si="41"/>
        <v>0</v>
      </c>
      <c r="K884" s="5">
        <f t="shared" si="41"/>
        <v>0</v>
      </c>
    </row>
    <row r="885" spans="3:11" x14ac:dyDescent="0.2">
      <c r="C885" t="s">
        <v>748</v>
      </c>
      <c r="D885" t="b">
        <f t="shared" ca="1" si="42"/>
        <v>1</v>
      </c>
      <c r="E885" s="5">
        <f t="shared" si="43"/>
        <v>0</v>
      </c>
      <c r="F885">
        <v>6</v>
      </c>
      <c r="G885">
        <v>6</v>
      </c>
      <c r="H885">
        <v>6</v>
      </c>
      <c r="J885" s="5">
        <f t="shared" si="41"/>
        <v>0</v>
      </c>
      <c r="K885" s="5">
        <f t="shared" si="41"/>
        <v>0</v>
      </c>
    </row>
    <row r="886" spans="3:11" x14ac:dyDescent="0.2">
      <c r="C886" t="s">
        <v>747</v>
      </c>
      <c r="D886" t="b">
        <f t="shared" ca="1" si="42"/>
        <v>1</v>
      </c>
      <c r="E886" s="5">
        <f t="shared" si="43"/>
        <v>1.2449424214272126E-5</v>
      </c>
      <c r="F886">
        <v>1.6064999999999999E-2</v>
      </c>
      <c r="G886">
        <v>1.6065200000000002E-2</v>
      </c>
      <c r="H886">
        <v>1.6065200000000002E-2</v>
      </c>
      <c r="J886" s="5">
        <f t="shared" si="41"/>
        <v>1.2449424214272126E-5</v>
      </c>
      <c r="K886" s="5">
        <f t="shared" si="41"/>
        <v>0</v>
      </c>
    </row>
    <row r="887" spans="3:11" x14ac:dyDescent="0.2">
      <c r="C887" t="s">
        <v>746</v>
      </c>
      <c r="D887" t="b">
        <f t="shared" ca="1" si="42"/>
        <v>1</v>
      </c>
      <c r="E887" s="5">
        <f t="shared" si="43"/>
        <v>0</v>
      </c>
      <c r="F887" s="4">
        <v>44653</v>
      </c>
      <c r="G887" s="4">
        <v>44653</v>
      </c>
      <c r="H887" s="4">
        <v>44653</v>
      </c>
      <c r="I887" s="4"/>
      <c r="J887" s="5">
        <f t="shared" si="41"/>
        <v>0</v>
      </c>
      <c r="K887" s="5">
        <f t="shared" si="41"/>
        <v>0</v>
      </c>
    </row>
    <row r="888" spans="3:11" x14ac:dyDescent="0.2">
      <c r="C888" t="s">
        <v>745</v>
      </c>
      <c r="D888" t="b">
        <f t="shared" ca="1" si="42"/>
        <v>1</v>
      </c>
      <c r="E888" s="5">
        <f t="shared" si="43"/>
        <v>0</v>
      </c>
      <c r="F888">
        <v>5</v>
      </c>
      <c r="G888">
        <v>5</v>
      </c>
      <c r="H888">
        <v>5</v>
      </c>
      <c r="J888" s="5">
        <f t="shared" si="41"/>
        <v>0</v>
      </c>
      <c r="K888" s="5">
        <f t="shared" si="41"/>
        <v>0</v>
      </c>
    </row>
    <row r="889" spans="3:11" x14ac:dyDescent="0.2">
      <c r="C889" t="s">
        <v>744</v>
      </c>
      <c r="D889" t="b">
        <f t="shared" ca="1" si="42"/>
        <v>1</v>
      </c>
      <c r="E889" s="5">
        <f t="shared" si="43"/>
        <v>0</v>
      </c>
      <c r="F889">
        <v>1.9291899999999999E-3</v>
      </c>
      <c r="G889">
        <v>1.9291899999999999E-3</v>
      </c>
      <c r="H889">
        <v>1.9291899999999999E-3</v>
      </c>
      <c r="J889" s="5">
        <f t="shared" si="41"/>
        <v>0</v>
      </c>
      <c r="K889" s="5">
        <f t="shared" si="41"/>
        <v>0</v>
      </c>
    </row>
    <row r="890" spans="3:11" x14ac:dyDescent="0.2">
      <c r="C890" t="s">
        <v>743</v>
      </c>
      <c r="D890" t="b">
        <f t="shared" ca="1" si="42"/>
        <v>1</v>
      </c>
      <c r="E890" s="5">
        <f t="shared" si="43"/>
        <v>0</v>
      </c>
      <c r="F890" s="4">
        <v>44572</v>
      </c>
      <c r="G890" s="4">
        <v>44572</v>
      </c>
      <c r="H890" s="4">
        <v>44572</v>
      </c>
      <c r="I890" s="4"/>
      <c r="J890" s="5">
        <f t="shared" si="41"/>
        <v>0</v>
      </c>
      <c r="K890" s="5">
        <f t="shared" si="41"/>
        <v>0</v>
      </c>
    </row>
    <row r="891" spans="3:11" x14ac:dyDescent="0.2">
      <c r="C891" t="s">
        <v>742</v>
      </c>
      <c r="D891" t="b">
        <f t="shared" ca="1" si="42"/>
        <v>1</v>
      </c>
      <c r="E891" s="5">
        <f t="shared" si="43"/>
        <v>0</v>
      </c>
      <c r="F891">
        <v>3</v>
      </c>
      <c r="G891">
        <v>3</v>
      </c>
      <c r="H891">
        <v>3</v>
      </c>
      <c r="J891" s="5">
        <f t="shared" si="41"/>
        <v>0</v>
      </c>
      <c r="K891" s="5">
        <f t="shared" si="41"/>
        <v>0</v>
      </c>
    </row>
    <row r="892" spans="3:11" x14ac:dyDescent="0.2">
      <c r="C892" t="s">
        <v>741</v>
      </c>
      <c r="D892" t="b">
        <f t="shared" ca="1" si="42"/>
        <v>1</v>
      </c>
      <c r="E892" s="5">
        <f t="shared" si="43"/>
        <v>5.5709685684635998E-6</v>
      </c>
      <c r="F892">
        <v>89.751000000000005</v>
      </c>
      <c r="G892">
        <v>89.751499999999993</v>
      </c>
      <c r="H892">
        <v>89.751499999999993</v>
      </c>
      <c r="J892" s="5">
        <f t="shared" si="41"/>
        <v>5.5709685684635998E-6</v>
      </c>
      <c r="K892" s="5">
        <f t="shared" si="41"/>
        <v>0</v>
      </c>
    </row>
    <row r="893" spans="3:11" x14ac:dyDescent="0.2">
      <c r="C893" t="s">
        <v>740</v>
      </c>
      <c r="D893" t="b">
        <f t="shared" ca="1" si="42"/>
        <v>1</v>
      </c>
      <c r="E893" s="5">
        <f t="shared" si="43"/>
        <v>0</v>
      </c>
      <c r="F893" s="4">
        <v>44653</v>
      </c>
      <c r="G893" s="4">
        <v>44653</v>
      </c>
      <c r="H893" s="4">
        <v>44653</v>
      </c>
      <c r="I893" s="4"/>
      <c r="J893" s="5">
        <f t="shared" si="41"/>
        <v>0</v>
      </c>
      <c r="K893" s="5">
        <f t="shared" si="41"/>
        <v>0</v>
      </c>
    </row>
    <row r="894" spans="3:11" x14ac:dyDescent="0.2">
      <c r="C894" t="s">
        <v>739</v>
      </c>
      <c r="D894" t="b">
        <f t="shared" ca="1" si="42"/>
        <v>1</v>
      </c>
      <c r="E894" s="5">
        <f t="shared" si="43"/>
        <v>0</v>
      </c>
      <c r="F894">
        <v>2</v>
      </c>
      <c r="G894">
        <v>2</v>
      </c>
      <c r="H894">
        <v>2</v>
      </c>
      <c r="J894" s="5">
        <f t="shared" si="41"/>
        <v>0</v>
      </c>
      <c r="K894" s="5">
        <f t="shared" si="41"/>
        <v>0</v>
      </c>
    </row>
    <row r="895" spans="3:11" x14ac:dyDescent="0.2">
      <c r="C895" t="s">
        <v>738</v>
      </c>
      <c r="D895" t="b">
        <f t="shared" ca="1" si="42"/>
        <v>1</v>
      </c>
      <c r="E895" s="5">
        <f t="shared" si="43"/>
        <v>0</v>
      </c>
      <c r="F895">
        <v>16.328099999999999</v>
      </c>
      <c r="G895">
        <v>16.328099999999999</v>
      </c>
      <c r="H895">
        <v>16.328099999999999</v>
      </c>
      <c r="J895" s="5">
        <f t="shared" si="41"/>
        <v>0</v>
      </c>
      <c r="K895" s="5">
        <f t="shared" si="41"/>
        <v>0</v>
      </c>
    </row>
    <row r="896" spans="3:11" x14ac:dyDescent="0.2">
      <c r="C896" t="s">
        <v>737</v>
      </c>
      <c r="D896" t="b">
        <f t="shared" ca="1" si="42"/>
        <v>1</v>
      </c>
      <c r="E896" s="5">
        <f t="shared" si="43"/>
        <v>0</v>
      </c>
      <c r="F896" s="4">
        <v>44871</v>
      </c>
      <c r="G896" s="4">
        <v>44871</v>
      </c>
      <c r="H896" s="4">
        <v>44871</v>
      </c>
      <c r="I896" s="4"/>
      <c r="J896" s="5">
        <f t="shared" si="41"/>
        <v>0</v>
      </c>
      <c r="K896" s="5">
        <f t="shared" si="41"/>
        <v>0</v>
      </c>
    </row>
    <row r="897" spans="3:11" x14ac:dyDescent="0.2">
      <c r="C897" t="s">
        <v>736</v>
      </c>
      <c r="D897" t="b">
        <f t="shared" ca="1" si="42"/>
        <v>1</v>
      </c>
      <c r="E897" s="5">
        <f t="shared" si="43"/>
        <v>0</v>
      </c>
      <c r="F897">
        <v>6</v>
      </c>
      <c r="G897">
        <v>6</v>
      </c>
      <c r="H897">
        <v>6</v>
      </c>
      <c r="J897" s="5">
        <f t="shared" si="41"/>
        <v>0</v>
      </c>
      <c r="K897" s="5">
        <f t="shared" si="41"/>
        <v>0</v>
      </c>
    </row>
    <row r="898" spans="3:11" x14ac:dyDescent="0.2">
      <c r="C898" t="s">
        <v>735</v>
      </c>
      <c r="D898" t="b">
        <f t="shared" ca="1" si="42"/>
        <v>1</v>
      </c>
      <c r="E898" s="5">
        <f t="shared" si="43"/>
        <v>2.0782783542019128E-5</v>
      </c>
      <c r="F898">
        <v>3.8493400000000002</v>
      </c>
      <c r="G898">
        <v>3.8494199999999998</v>
      </c>
      <c r="H898">
        <v>3.8494199999999998</v>
      </c>
      <c r="J898" s="5">
        <f t="shared" si="41"/>
        <v>2.0782783542019128E-5</v>
      </c>
      <c r="K898" s="5">
        <f t="shared" si="41"/>
        <v>0</v>
      </c>
    </row>
    <row r="899" spans="3:11" x14ac:dyDescent="0.2">
      <c r="C899" t="s">
        <v>734</v>
      </c>
      <c r="D899" t="b">
        <f t="shared" ca="1" si="42"/>
        <v>1</v>
      </c>
      <c r="E899" s="5">
        <f t="shared" si="43"/>
        <v>0</v>
      </c>
      <c r="F899" s="4">
        <v>44926</v>
      </c>
      <c r="G899" s="4">
        <v>44926</v>
      </c>
      <c r="H899" s="4">
        <v>44926</v>
      </c>
      <c r="I899" s="4"/>
      <c r="J899" s="5">
        <f t="shared" si="41"/>
        <v>0</v>
      </c>
      <c r="K899" s="5">
        <f t="shared" si="41"/>
        <v>0</v>
      </c>
    </row>
    <row r="900" spans="3:11" x14ac:dyDescent="0.2">
      <c r="C900" t="s">
        <v>733</v>
      </c>
      <c r="D900" t="b">
        <f t="shared" ca="1" si="42"/>
        <v>1</v>
      </c>
      <c r="E900" s="5">
        <f t="shared" si="43"/>
        <v>0</v>
      </c>
      <c r="F900">
        <v>23</v>
      </c>
      <c r="G900">
        <v>23</v>
      </c>
      <c r="H900">
        <v>23</v>
      </c>
      <c r="J900" s="5">
        <f t="shared" si="41"/>
        <v>0</v>
      </c>
      <c r="K900" s="5">
        <f t="shared" si="41"/>
        <v>0</v>
      </c>
    </row>
    <row r="901" spans="3:11" x14ac:dyDescent="0.2">
      <c r="C901" t="s">
        <v>732</v>
      </c>
      <c r="D901" t="b">
        <f t="shared" ca="1" si="42"/>
        <v>1</v>
      </c>
      <c r="E901" s="5">
        <f t="shared" si="43"/>
        <v>0</v>
      </c>
      <c r="F901">
        <v>2.7747700000000002</v>
      </c>
      <c r="G901">
        <v>2.7747700000000002</v>
      </c>
      <c r="H901">
        <v>2.7747700000000002</v>
      </c>
      <c r="J901" s="5">
        <f t="shared" si="41"/>
        <v>0</v>
      </c>
      <c r="K901" s="5">
        <f t="shared" si="41"/>
        <v>0</v>
      </c>
    </row>
    <row r="902" spans="3:11" x14ac:dyDescent="0.2">
      <c r="C902" t="s">
        <v>731</v>
      </c>
      <c r="D902" t="b">
        <f t="shared" ca="1" si="42"/>
        <v>1</v>
      </c>
      <c r="E902" s="5">
        <f t="shared" si="43"/>
        <v>0</v>
      </c>
      <c r="F902" s="4">
        <v>44725</v>
      </c>
      <c r="G902" s="4">
        <v>44725</v>
      </c>
      <c r="H902" s="4">
        <v>44725</v>
      </c>
      <c r="I902" s="4"/>
      <c r="J902" s="5">
        <f t="shared" si="41"/>
        <v>0</v>
      </c>
      <c r="K902" s="5">
        <f t="shared" si="41"/>
        <v>0</v>
      </c>
    </row>
    <row r="903" spans="3:11" x14ac:dyDescent="0.2">
      <c r="C903" t="s">
        <v>730</v>
      </c>
      <c r="D903" t="b">
        <f t="shared" ca="1" si="42"/>
        <v>1</v>
      </c>
      <c r="E903" s="5">
        <f t="shared" si="43"/>
        <v>0</v>
      </c>
      <c r="F903">
        <v>16</v>
      </c>
      <c r="G903">
        <v>16</v>
      </c>
      <c r="H903">
        <v>16</v>
      </c>
      <c r="J903" s="5">
        <f t="shared" ref="J903:K966" si="44">ABS(F903-G903)/ABS(F903)</f>
        <v>0</v>
      </c>
      <c r="K903" s="5">
        <f t="shared" si="44"/>
        <v>0</v>
      </c>
    </row>
    <row r="904" spans="3:11" x14ac:dyDescent="0.2">
      <c r="C904" t="s">
        <v>729</v>
      </c>
      <c r="D904" t="b">
        <f t="shared" ca="1" si="42"/>
        <v>1</v>
      </c>
      <c r="E904" s="5">
        <f t="shared" si="43"/>
        <v>0</v>
      </c>
      <c r="F904">
        <v>25.009799999999998</v>
      </c>
      <c r="G904">
        <v>25.009799999999998</v>
      </c>
      <c r="H904">
        <v>25.009799999999998</v>
      </c>
      <c r="J904" s="5">
        <f t="shared" si="44"/>
        <v>0</v>
      </c>
      <c r="K904" s="5">
        <f t="shared" si="44"/>
        <v>0</v>
      </c>
    </row>
    <row r="905" spans="3:11" x14ac:dyDescent="0.2">
      <c r="C905" t="s">
        <v>728</v>
      </c>
      <c r="D905" t="b">
        <f t="shared" ca="1" si="42"/>
        <v>1</v>
      </c>
      <c r="E905" s="5">
        <f t="shared" si="43"/>
        <v>0</v>
      </c>
      <c r="F905" s="4">
        <v>44845</v>
      </c>
      <c r="G905" s="4">
        <v>44845</v>
      </c>
      <c r="H905" s="4">
        <v>44845</v>
      </c>
      <c r="I905" s="4"/>
      <c r="J905" s="5">
        <f t="shared" si="44"/>
        <v>0</v>
      </c>
      <c r="K905" s="5">
        <f t="shared" si="44"/>
        <v>0</v>
      </c>
    </row>
    <row r="906" spans="3:11" x14ac:dyDescent="0.2">
      <c r="C906" t="s">
        <v>727</v>
      </c>
      <c r="D906" t="b">
        <f t="shared" ca="1" si="42"/>
        <v>1</v>
      </c>
      <c r="E906" s="5">
        <f t="shared" si="43"/>
        <v>0</v>
      </c>
      <c r="F906">
        <v>16</v>
      </c>
      <c r="G906">
        <v>16</v>
      </c>
      <c r="H906">
        <v>16</v>
      </c>
      <c r="J906" s="5">
        <f t="shared" si="44"/>
        <v>0</v>
      </c>
      <c r="K906" s="5">
        <f t="shared" si="44"/>
        <v>0</v>
      </c>
    </row>
    <row r="907" spans="3:11" x14ac:dyDescent="0.2">
      <c r="C907" t="s">
        <v>726</v>
      </c>
      <c r="D907" t="b">
        <f t="shared" ca="1" si="42"/>
        <v>1</v>
      </c>
      <c r="E907" s="5">
        <f t="shared" si="43"/>
        <v>0</v>
      </c>
      <c r="F907">
        <v>8.7244899999999994</v>
      </c>
      <c r="G907">
        <v>8.7244899999999994</v>
      </c>
      <c r="H907">
        <v>8.7244899999999994</v>
      </c>
      <c r="J907" s="5">
        <f t="shared" si="44"/>
        <v>0</v>
      </c>
      <c r="K907" s="5">
        <f t="shared" si="44"/>
        <v>0</v>
      </c>
    </row>
    <row r="908" spans="3:11" x14ac:dyDescent="0.2">
      <c r="C908" t="s">
        <v>725</v>
      </c>
      <c r="D908" t="b">
        <f t="shared" ca="1" si="42"/>
        <v>1</v>
      </c>
      <c r="E908" s="5">
        <f t="shared" si="43"/>
        <v>0</v>
      </c>
      <c r="F908" s="4">
        <v>44567</v>
      </c>
      <c r="G908" s="4">
        <v>44567</v>
      </c>
      <c r="H908" s="4">
        <v>44567</v>
      </c>
      <c r="I908" s="4"/>
      <c r="J908" s="5">
        <f t="shared" si="44"/>
        <v>0</v>
      </c>
      <c r="K908" s="5">
        <f t="shared" si="44"/>
        <v>0</v>
      </c>
    </row>
    <row r="909" spans="3:11" x14ac:dyDescent="0.2">
      <c r="C909" t="s">
        <v>724</v>
      </c>
      <c r="D909" t="b">
        <f t="shared" ca="1" si="42"/>
        <v>1</v>
      </c>
      <c r="E909" s="5">
        <f t="shared" si="43"/>
        <v>0</v>
      </c>
      <c r="F909">
        <v>6</v>
      </c>
      <c r="G909">
        <v>6</v>
      </c>
      <c r="H909">
        <v>6</v>
      </c>
      <c r="J909" s="5">
        <f t="shared" si="44"/>
        <v>0</v>
      </c>
      <c r="K909" s="5">
        <f t="shared" si="44"/>
        <v>0</v>
      </c>
    </row>
    <row r="910" spans="3:11" x14ac:dyDescent="0.2">
      <c r="C910" t="s">
        <v>723</v>
      </c>
      <c r="D910" t="b">
        <f t="shared" ca="1" si="42"/>
        <v>1</v>
      </c>
      <c r="E910" s="5">
        <f t="shared" si="43"/>
        <v>0</v>
      </c>
      <c r="F910">
        <v>1.47133E-2</v>
      </c>
      <c r="G910">
        <v>1.47133E-2</v>
      </c>
      <c r="H910">
        <v>1.47133E-2</v>
      </c>
      <c r="J910" s="5">
        <f t="shared" si="44"/>
        <v>0</v>
      </c>
      <c r="K910" s="5">
        <f t="shared" si="44"/>
        <v>0</v>
      </c>
    </row>
    <row r="911" spans="3:11" x14ac:dyDescent="0.2">
      <c r="C911" t="s">
        <v>722</v>
      </c>
      <c r="D911" t="b">
        <f t="shared" ca="1" si="42"/>
        <v>1</v>
      </c>
      <c r="E911" s="5">
        <f t="shared" si="43"/>
        <v>0</v>
      </c>
      <c r="F911" s="4">
        <v>44653</v>
      </c>
      <c r="G911" s="4">
        <v>44653</v>
      </c>
      <c r="H911" s="4">
        <v>44653</v>
      </c>
      <c r="I911" s="4"/>
      <c r="J911" s="5">
        <f t="shared" si="44"/>
        <v>0</v>
      </c>
      <c r="K911" s="5">
        <f t="shared" si="44"/>
        <v>0</v>
      </c>
    </row>
    <row r="912" spans="3:11" x14ac:dyDescent="0.2">
      <c r="C912" t="s">
        <v>721</v>
      </c>
      <c r="D912" t="b">
        <f t="shared" ca="1" si="42"/>
        <v>1</v>
      </c>
      <c r="E912" s="5">
        <f t="shared" si="43"/>
        <v>0</v>
      </c>
      <c r="F912">
        <v>1</v>
      </c>
      <c r="G912">
        <v>1</v>
      </c>
      <c r="H912">
        <v>1</v>
      </c>
      <c r="J912" s="5">
        <f t="shared" si="44"/>
        <v>0</v>
      </c>
      <c r="K912" s="5">
        <f t="shared" si="44"/>
        <v>0</v>
      </c>
    </row>
    <row r="913" spans="3:11" x14ac:dyDescent="0.2">
      <c r="C913" t="s">
        <v>720</v>
      </c>
      <c r="D913" t="b">
        <f t="shared" ca="1" si="42"/>
        <v>1</v>
      </c>
      <c r="E913" s="5">
        <f t="shared" si="43"/>
        <v>0</v>
      </c>
      <c r="F913">
        <v>1.9291899999999999E-3</v>
      </c>
      <c r="G913">
        <v>1.9291899999999999E-3</v>
      </c>
      <c r="H913">
        <v>1.9291899999999999E-3</v>
      </c>
      <c r="J913" s="5">
        <f t="shared" si="44"/>
        <v>0</v>
      </c>
      <c r="K913" s="5">
        <f t="shared" si="44"/>
        <v>0</v>
      </c>
    </row>
    <row r="914" spans="3:11" x14ac:dyDescent="0.2">
      <c r="C914" t="s">
        <v>719</v>
      </c>
      <c r="D914" t="b">
        <f t="shared" ref="D914:D977" ca="1" si="45">IF(CELL("format",F914)="G",IF(ABS(F914-G914) &lt;= ABS(F914*B$3),TRUE,FALSE),IF(F914=G914,TRUE,FALSE))</f>
        <v>1</v>
      </c>
      <c r="E914" s="5">
        <f t="shared" ref="E914:E977" si="46">ABS(F914-G914)/ABS(F914)</f>
        <v>0</v>
      </c>
      <c r="F914" s="4">
        <v>44572</v>
      </c>
      <c r="G914" s="4">
        <v>44572</v>
      </c>
      <c r="H914" s="4">
        <v>44572</v>
      </c>
      <c r="I914" s="4"/>
      <c r="J914" s="5">
        <f t="shared" si="44"/>
        <v>0</v>
      </c>
      <c r="K914" s="5">
        <f t="shared" si="44"/>
        <v>0</v>
      </c>
    </row>
    <row r="915" spans="3:11" x14ac:dyDescent="0.2">
      <c r="C915" t="s">
        <v>718</v>
      </c>
      <c r="D915" t="b">
        <f t="shared" ca="1" si="45"/>
        <v>1</v>
      </c>
      <c r="E915" s="5">
        <f t="shared" si="46"/>
        <v>0</v>
      </c>
      <c r="F915">
        <v>3</v>
      </c>
      <c r="G915">
        <v>3</v>
      </c>
      <c r="H915">
        <v>3</v>
      </c>
      <c r="J915" s="5">
        <f t="shared" si="44"/>
        <v>0</v>
      </c>
      <c r="K915" s="5">
        <f t="shared" si="44"/>
        <v>0</v>
      </c>
    </row>
    <row r="916" spans="3:11" x14ac:dyDescent="0.2">
      <c r="C916" t="s">
        <v>717</v>
      </c>
      <c r="D916" t="b">
        <f t="shared" ca="1" si="45"/>
        <v>1</v>
      </c>
      <c r="E916" s="5">
        <f t="shared" si="46"/>
        <v>1.2264261384948345E-5</v>
      </c>
      <c r="F916">
        <v>89.691500000000005</v>
      </c>
      <c r="G916">
        <v>89.690399999999997</v>
      </c>
      <c r="H916">
        <v>89.690399999999997</v>
      </c>
      <c r="J916" s="5">
        <f t="shared" si="44"/>
        <v>1.2264261384948345E-5</v>
      </c>
      <c r="K916" s="5">
        <f t="shared" si="44"/>
        <v>0</v>
      </c>
    </row>
    <row r="917" spans="3:11" x14ac:dyDescent="0.2">
      <c r="C917" t="s">
        <v>716</v>
      </c>
      <c r="D917" t="b">
        <f t="shared" ca="1" si="45"/>
        <v>1</v>
      </c>
      <c r="E917" s="5">
        <f t="shared" si="46"/>
        <v>0</v>
      </c>
      <c r="F917" s="4">
        <v>44653</v>
      </c>
      <c r="G917" s="4">
        <v>44653</v>
      </c>
      <c r="H917" s="4">
        <v>44653</v>
      </c>
      <c r="I917" s="4"/>
      <c r="J917" s="5">
        <f t="shared" si="44"/>
        <v>0</v>
      </c>
      <c r="K917" s="5">
        <f t="shared" si="44"/>
        <v>0</v>
      </c>
    </row>
    <row r="918" spans="3:11" x14ac:dyDescent="0.2">
      <c r="C918" t="s">
        <v>715</v>
      </c>
      <c r="D918" t="b">
        <f t="shared" ca="1" si="45"/>
        <v>1</v>
      </c>
      <c r="E918" s="5">
        <f t="shared" si="46"/>
        <v>0</v>
      </c>
      <c r="F918">
        <v>1</v>
      </c>
      <c r="G918">
        <v>1</v>
      </c>
      <c r="H918">
        <v>1</v>
      </c>
      <c r="J918" s="5">
        <f t="shared" si="44"/>
        <v>0</v>
      </c>
      <c r="K918" s="5">
        <f t="shared" si="44"/>
        <v>0</v>
      </c>
    </row>
    <row r="919" spans="3:11" x14ac:dyDescent="0.2">
      <c r="C919" t="s">
        <v>714</v>
      </c>
      <c r="D919" t="b">
        <f t="shared" ca="1" si="45"/>
        <v>1</v>
      </c>
      <c r="E919" s="5">
        <f t="shared" si="46"/>
        <v>0</v>
      </c>
      <c r="F919">
        <v>16.328099999999999</v>
      </c>
      <c r="G919">
        <v>16.328099999999999</v>
      </c>
      <c r="H919">
        <v>16.328099999999999</v>
      </c>
      <c r="J919" s="5">
        <f t="shared" si="44"/>
        <v>0</v>
      </c>
      <c r="K919" s="5">
        <f t="shared" si="44"/>
        <v>0</v>
      </c>
    </row>
    <row r="920" spans="3:11" x14ac:dyDescent="0.2">
      <c r="C920" t="s">
        <v>713</v>
      </c>
      <c r="D920" t="b">
        <f t="shared" ca="1" si="45"/>
        <v>1</v>
      </c>
      <c r="E920" s="5">
        <f t="shared" si="46"/>
        <v>0</v>
      </c>
      <c r="F920" s="4">
        <v>44871</v>
      </c>
      <c r="G920" s="4">
        <v>44871</v>
      </c>
      <c r="H920" s="4">
        <v>44871</v>
      </c>
      <c r="I920" s="4"/>
      <c r="J920" s="5">
        <f t="shared" si="44"/>
        <v>0</v>
      </c>
      <c r="K920" s="5">
        <f t="shared" si="44"/>
        <v>0</v>
      </c>
    </row>
    <row r="921" spans="3:11" x14ac:dyDescent="0.2">
      <c r="C921" t="s">
        <v>712</v>
      </c>
      <c r="D921" t="b">
        <f t="shared" ca="1" si="45"/>
        <v>1</v>
      </c>
      <c r="E921" s="5">
        <f t="shared" si="46"/>
        <v>0</v>
      </c>
      <c r="F921">
        <v>6</v>
      </c>
      <c r="G921">
        <v>6</v>
      </c>
      <c r="H921">
        <v>6</v>
      </c>
      <c r="J921" s="5">
        <f t="shared" si="44"/>
        <v>0</v>
      </c>
      <c r="K921" s="5">
        <f t="shared" si="44"/>
        <v>0</v>
      </c>
    </row>
    <row r="922" spans="3:11" x14ac:dyDescent="0.2">
      <c r="C922" t="s">
        <v>711</v>
      </c>
      <c r="D922" t="b">
        <f t="shared" ca="1" si="45"/>
        <v>1</v>
      </c>
      <c r="E922" s="5">
        <f t="shared" si="46"/>
        <v>1.3141778766008913E-5</v>
      </c>
      <c r="F922">
        <v>3.8046600000000002</v>
      </c>
      <c r="G922">
        <v>3.80471</v>
      </c>
      <c r="H922">
        <v>3.80471</v>
      </c>
      <c r="J922" s="5">
        <f t="shared" si="44"/>
        <v>1.3141778766008913E-5</v>
      </c>
      <c r="K922" s="5">
        <f t="shared" si="44"/>
        <v>0</v>
      </c>
    </row>
    <row r="923" spans="3:11" x14ac:dyDescent="0.2">
      <c r="C923" t="s">
        <v>710</v>
      </c>
      <c r="D923" t="b">
        <f t="shared" ca="1" si="45"/>
        <v>1</v>
      </c>
      <c r="E923" s="5">
        <f t="shared" si="46"/>
        <v>0</v>
      </c>
      <c r="F923" s="4">
        <v>44926</v>
      </c>
      <c r="G923" s="4">
        <v>44926</v>
      </c>
      <c r="H923" s="4">
        <v>44926</v>
      </c>
      <c r="I923" s="4"/>
      <c r="J923" s="5">
        <f t="shared" si="44"/>
        <v>0</v>
      </c>
      <c r="K923" s="5">
        <f t="shared" si="44"/>
        <v>0</v>
      </c>
    </row>
    <row r="924" spans="3:11" x14ac:dyDescent="0.2">
      <c r="C924" t="s">
        <v>709</v>
      </c>
      <c r="D924" t="b">
        <f t="shared" ca="1" si="45"/>
        <v>1</v>
      </c>
      <c r="E924" s="5">
        <f t="shared" si="46"/>
        <v>0</v>
      </c>
      <c r="F924">
        <v>23</v>
      </c>
      <c r="G924">
        <v>23</v>
      </c>
      <c r="H924">
        <v>23</v>
      </c>
      <c r="J924" s="5">
        <f t="shared" si="44"/>
        <v>0</v>
      </c>
      <c r="K924" s="5">
        <f t="shared" si="44"/>
        <v>0</v>
      </c>
    </row>
    <row r="925" spans="3:11" x14ac:dyDescent="0.2">
      <c r="C925" t="s">
        <v>708</v>
      </c>
      <c r="D925" t="b">
        <f t="shared" ca="1" si="45"/>
        <v>1</v>
      </c>
      <c r="E925" s="5">
        <f t="shared" si="46"/>
        <v>0</v>
      </c>
      <c r="F925">
        <v>2.7747700000000002</v>
      </c>
      <c r="G925">
        <v>2.7747700000000002</v>
      </c>
      <c r="H925">
        <v>2.7747700000000002</v>
      </c>
      <c r="J925" s="5">
        <f t="shared" si="44"/>
        <v>0</v>
      </c>
      <c r="K925" s="5">
        <f t="shared" si="44"/>
        <v>0</v>
      </c>
    </row>
    <row r="926" spans="3:11" x14ac:dyDescent="0.2">
      <c r="C926" t="s">
        <v>707</v>
      </c>
      <c r="D926" t="b">
        <f t="shared" ca="1" si="45"/>
        <v>1</v>
      </c>
      <c r="E926" s="5">
        <f t="shared" si="46"/>
        <v>0</v>
      </c>
      <c r="F926" s="4">
        <v>44725</v>
      </c>
      <c r="G926" s="4">
        <v>44725</v>
      </c>
      <c r="H926" s="4">
        <v>44725</v>
      </c>
      <c r="I926" s="4"/>
      <c r="J926" s="5">
        <f t="shared" si="44"/>
        <v>0</v>
      </c>
      <c r="K926" s="5">
        <f t="shared" si="44"/>
        <v>0</v>
      </c>
    </row>
    <row r="927" spans="3:11" x14ac:dyDescent="0.2">
      <c r="C927" t="s">
        <v>706</v>
      </c>
      <c r="D927" t="b">
        <f t="shared" ca="1" si="45"/>
        <v>1</v>
      </c>
      <c r="E927" s="5">
        <f t="shared" si="46"/>
        <v>0</v>
      </c>
      <c r="F927">
        <v>16</v>
      </c>
      <c r="G927">
        <v>16</v>
      </c>
      <c r="H927">
        <v>16</v>
      </c>
      <c r="J927" s="5">
        <f t="shared" si="44"/>
        <v>0</v>
      </c>
      <c r="K927" s="5">
        <f t="shared" si="44"/>
        <v>0</v>
      </c>
    </row>
    <row r="928" spans="3:11" x14ac:dyDescent="0.2">
      <c r="C928" t="s">
        <v>705</v>
      </c>
      <c r="D928" t="b">
        <f t="shared" ca="1" si="45"/>
        <v>1</v>
      </c>
      <c r="E928" s="5">
        <f t="shared" si="46"/>
        <v>0</v>
      </c>
      <c r="F928">
        <v>25.009799999999998</v>
      </c>
      <c r="G928">
        <v>25.009799999999998</v>
      </c>
      <c r="H928">
        <v>25.009799999999998</v>
      </c>
      <c r="J928" s="5">
        <f t="shared" si="44"/>
        <v>0</v>
      </c>
      <c r="K928" s="5">
        <f t="shared" si="44"/>
        <v>0</v>
      </c>
    </row>
    <row r="929" spans="3:11" x14ac:dyDescent="0.2">
      <c r="C929" t="s">
        <v>704</v>
      </c>
      <c r="D929" t="b">
        <f t="shared" ca="1" si="45"/>
        <v>1</v>
      </c>
      <c r="E929" s="5">
        <f t="shared" si="46"/>
        <v>0</v>
      </c>
      <c r="F929" s="4">
        <v>44845</v>
      </c>
      <c r="G929" s="4">
        <v>44845</v>
      </c>
      <c r="H929" s="4">
        <v>44845</v>
      </c>
      <c r="I929" s="4"/>
      <c r="J929" s="5">
        <f t="shared" si="44"/>
        <v>0</v>
      </c>
      <c r="K929" s="5">
        <f t="shared" si="44"/>
        <v>0</v>
      </c>
    </row>
    <row r="930" spans="3:11" x14ac:dyDescent="0.2">
      <c r="C930" t="s">
        <v>703</v>
      </c>
      <c r="D930" t="b">
        <f t="shared" ca="1" si="45"/>
        <v>1</v>
      </c>
      <c r="E930" s="5">
        <f t="shared" si="46"/>
        <v>0</v>
      </c>
      <c r="F930">
        <v>16</v>
      </c>
      <c r="G930">
        <v>16</v>
      </c>
      <c r="H930">
        <v>16</v>
      </c>
      <c r="J930" s="5">
        <f t="shared" si="44"/>
        <v>0</v>
      </c>
      <c r="K930" s="5">
        <f t="shared" si="44"/>
        <v>0</v>
      </c>
    </row>
    <row r="931" spans="3:11" x14ac:dyDescent="0.2">
      <c r="C931" t="s">
        <v>702</v>
      </c>
      <c r="D931" t="b">
        <f t="shared" ca="1" si="45"/>
        <v>1</v>
      </c>
      <c r="E931" s="5">
        <f t="shared" si="46"/>
        <v>0</v>
      </c>
      <c r="F931">
        <v>8.7244899999999994</v>
      </c>
      <c r="G931">
        <v>8.7244899999999994</v>
      </c>
      <c r="H931">
        <v>8.7244899999999994</v>
      </c>
      <c r="J931" s="5">
        <f t="shared" si="44"/>
        <v>0</v>
      </c>
      <c r="K931" s="5">
        <f t="shared" si="44"/>
        <v>0</v>
      </c>
    </row>
    <row r="932" spans="3:11" x14ac:dyDescent="0.2">
      <c r="C932" t="s">
        <v>701</v>
      </c>
      <c r="D932" t="b">
        <f t="shared" ca="1" si="45"/>
        <v>1</v>
      </c>
      <c r="E932" s="5">
        <f t="shared" si="46"/>
        <v>0</v>
      </c>
      <c r="F932" s="4">
        <v>44567</v>
      </c>
      <c r="G932" s="4">
        <v>44567</v>
      </c>
      <c r="H932" s="4">
        <v>44567</v>
      </c>
      <c r="I932" s="4"/>
      <c r="J932" s="5">
        <f t="shared" si="44"/>
        <v>0</v>
      </c>
      <c r="K932" s="5">
        <f t="shared" si="44"/>
        <v>0</v>
      </c>
    </row>
    <row r="933" spans="3:11" x14ac:dyDescent="0.2">
      <c r="C933" t="s">
        <v>700</v>
      </c>
      <c r="D933" t="b">
        <f t="shared" ca="1" si="45"/>
        <v>1</v>
      </c>
      <c r="E933" s="5">
        <f t="shared" si="46"/>
        <v>0</v>
      </c>
      <c r="F933">
        <v>6</v>
      </c>
      <c r="G933">
        <v>6</v>
      </c>
      <c r="H933">
        <v>6</v>
      </c>
      <c r="J933" s="5">
        <f t="shared" si="44"/>
        <v>0</v>
      </c>
      <c r="K933" s="5">
        <f t="shared" si="44"/>
        <v>0</v>
      </c>
    </row>
    <row r="934" spans="3:11" x14ac:dyDescent="0.2">
      <c r="C934" t="s">
        <v>699</v>
      </c>
      <c r="D934" t="b">
        <f t="shared" ca="1" si="45"/>
        <v>1</v>
      </c>
      <c r="E934" s="5">
        <f t="shared" si="46"/>
        <v>1.2449424214272126E-5</v>
      </c>
      <c r="F934">
        <v>1.6064999999999999E-2</v>
      </c>
      <c r="G934">
        <v>1.6065200000000002E-2</v>
      </c>
      <c r="H934">
        <v>1.6065200000000002E-2</v>
      </c>
      <c r="J934" s="5">
        <f t="shared" si="44"/>
        <v>1.2449424214272126E-5</v>
      </c>
      <c r="K934" s="5">
        <f t="shared" si="44"/>
        <v>0</v>
      </c>
    </row>
    <row r="935" spans="3:11" x14ac:dyDescent="0.2">
      <c r="C935" t="s">
        <v>698</v>
      </c>
      <c r="D935" t="b">
        <f t="shared" ca="1" si="45"/>
        <v>1</v>
      </c>
      <c r="E935" s="5">
        <f t="shared" si="46"/>
        <v>0</v>
      </c>
      <c r="F935" s="4">
        <v>44653</v>
      </c>
      <c r="G935" s="4">
        <v>44653</v>
      </c>
      <c r="H935" s="4">
        <v>44653</v>
      </c>
      <c r="I935" s="4"/>
      <c r="J935" s="5">
        <f t="shared" si="44"/>
        <v>0</v>
      </c>
      <c r="K935" s="5">
        <f t="shared" si="44"/>
        <v>0</v>
      </c>
    </row>
    <row r="936" spans="3:11" x14ac:dyDescent="0.2">
      <c r="C936" t="s">
        <v>697</v>
      </c>
      <c r="D936" t="b">
        <f t="shared" ca="1" si="45"/>
        <v>1</v>
      </c>
      <c r="E936" s="5">
        <f t="shared" si="46"/>
        <v>0</v>
      </c>
      <c r="F936">
        <v>5</v>
      </c>
      <c r="G936">
        <v>5</v>
      </c>
      <c r="H936">
        <v>5</v>
      </c>
      <c r="J936" s="5">
        <f t="shared" si="44"/>
        <v>0</v>
      </c>
      <c r="K936" s="5">
        <f t="shared" si="44"/>
        <v>0</v>
      </c>
    </row>
    <row r="937" spans="3:11" x14ac:dyDescent="0.2">
      <c r="C937" t="s">
        <v>696</v>
      </c>
      <c r="D937" t="b">
        <f t="shared" ca="1" si="45"/>
        <v>1</v>
      </c>
      <c r="E937" s="5">
        <f t="shared" si="46"/>
        <v>0</v>
      </c>
      <c r="F937">
        <v>1.9291899999999999E-3</v>
      </c>
      <c r="G937">
        <v>1.9291899999999999E-3</v>
      </c>
      <c r="H937">
        <v>1.9291899999999999E-3</v>
      </c>
      <c r="J937" s="5">
        <f t="shared" si="44"/>
        <v>0</v>
      </c>
      <c r="K937" s="5">
        <f t="shared" si="44"/>
        <v>0</v>
      </c>
    </row>
    <row r="938" spans="3:11" x14ac:dyDescent="0.2">
      <c r="C938" t="s">
        <v>695</v>
      </c>
      <c r="D938" t="b">
        <f t="shared" ca="1" si="45"/>
        <v>1</v>
      </c>
      <c r="E938" s="5">
        <f t="shared" si="46"/>
        <v>0</v>
      </c>
      <c r="F938" s="4">
        <v>44572</v>
      </c>
      <c r="G938" s="4">
        <v>44572</v>
      </c>
      <c r="H938" s="4">
        <v>44572</v>
      </c>
      <c r="I938" s="4"/>
      <c r="J938" s="5">
        <f t="shared" si="44"/>
        <v>0</v>
      </c>
      <c r="K938" s="5">
        <f t="shared" si="44"/>
        <v>0</v>
      </c>
    </row>
    <row r="939" spans="3:11" x14ac:dyDescent="0.2">
      <c r="C939" t="s">
        <v>694</v>
      </c>
      <c r="D939" t="b">
        <f t="shared" ca="1" si="45"/>
        <v>1</v>
      </c>
      <c r="E939" s="5">
        <f t="shared" si="46"/>
        <v>0</v>
      </c>
      <c r="F939">
        <v>3</v>
      </c>
      <c r="G939">
        <v>3</v>
      </c>
      <c r="H939">
        <v>3</v>
      </c>
      <c r="J939" s="5">
        <f t="shared" si="44"/>
        <v>0</v>
      </c>
      <c r="K939" s="5">
        <f t="shared" si="44"/>
        <v>0</v>
      </c>
    </row>
    <row r="940" spans="3:11" x14ac:dyDescent="0.2">
      <c r="C940" t="s">
        <v>693</v>
      </c>
      <c r="D940" t="b">
        <f t="shared" ca="1" si="45"/>
        <v>1</v>
      </c>
      <c r="E940" s="5">
        <f t="shared" si="46"/>
        <v>7.7993646859788126E-6</v>
      </c>
      <c r="F940">
        <v>89.750900000000001</v>
      </c>
      <c r="G940">
        <v>89.751599999999996</v>
      </c>
      <c r="H940">
        <v>89.751599999999996</v>
      </c>
      <c r="J940" s="5">
        <f t="shared" si="44"/>
        <v>7.7993646859788126E-6</v>
      </c>
      <c r="K940" s="5">
        <f t="shared" si="44"/>
        <v>0</v>
      </c>
    </row>
    <row r="941" spans="3:11" x14ac:dyDescent="0.2">
      <c r="C941" t="s">
        <v>692</v>
      </c>
      <c r="D941" t="b">
        <f t="shared" ca="1" si="45"/>
        <v>1</v>
      </c>
      <c r="E941" s="5">
        <f t="shared" si="46"/>
        <v>0</v>
      </c>
      <c r="F941" s="4">
        <v>44653</v>
      </c>
      <c r="G941" s="4">
        <v>44653</v>
      </c>
      <c r="H941" s="4">
        <v>44653</v>
      </c>
      <c r="I941" s="4"/>
      <c r="J941" s="5">
        <f t="shared" si="44"/>
        <v>0</v>
      </c>
      <c r="K941" s="5">
        <f t="shared" si="44"/>
        <v>0</v>
      </c>
    </row>
    <row r="942" spans="3:11" x14ac:dyDescent="0.2">
      <c r="C942" t="s">
        <v>691</v>
      </c>
      <c r="D942" t="b">
        <f t="shared" ca="1" si="45"/>
        <v>1</v>
      </c>
      <c r="E942" s="5">
        <f t="shared" si="46"/>
        <v>0</v>
      </c>
      <c r="F942">
        <v>2</v>
      </c>
      <c r="G942">
        <v>2</v>
      </c>
      <c r="H942">
        <v>2</v>
      </c>
      <c r="J942" s="5">
        <f t="shared" si="44"/>
        <v>0</v>
      </c>
      <c r="K942" s="5">
        <f t="shared" si="44"/>
        <v>0</v>
      </c>
    </row>
    <row r="943" spans="3:11" x14ac:dyDescent="0.2">
      <c r="C943" t="s">
        <v>690</v>
      </c>
      <c r="D943" t="b">
        <f t="shared" ca="1" si="45"/>
        <v>1</v>
      </c>
      <c r="E943" s="5">
        <f t="shared" si="46"/>
        <v>0</v>
      </c>
      <c r="F943">
        <v>16.328099999999999</v>
      </c>
      <c r="G943">
        <v>16.328099999999999</v>
      </c>
      <c r="H943">
        <v>16.328099999999999</v>
      </c>
      <c r="J943" s="5">
        <f t="shared" si="44"/>
        <v>0</v>
      </c>
      <c r="K943" s="5">
        <f t="shared" si="44"/>
        <v>0</v>
      </c>
    </row>
    <row r="944" spans="3:11" x14ac:dyDescent="0.2">
      <c r="C944" t="s">
        <v>689</v>
      </c>
      <c r="D944" t="b">
        <f t="shared" ca="1" si="45"/>
        <v>1</v>
      </c>
      <c r="E944" s="5">
        <f t="shared" si="46"/>
        <v>0</v>
      </c>
      <c r="F944" s="4">
        <v>44871</v>
      </c>
      <c r="G944" s="4">
        <v>44871</v>
      </c>
      <c r="H944" s="4">
        <v>44871</v>
      </c>
      <c r="I944" s="4"/>
      <c r="J944" s="5">
        <f t="shared" si="44"/>
        <v>0</v>
      </c>
      <c r="K944" s="5">
        <f t="shared" si="44"/>
        <v>0</v>
      </c>
    </row>
    <row r="945" spans="3:11" x14ac:dyDescent="0.2">
      <c r="C945" t="s">
        <v>688</v>
      </c>
      <c r="D945" t="b">
        <f t="shared" ca="1" si="45"/>
        <v>1</v>
      </c>
      <c r="E945" s="5">
        <f t="shared" si="46"/>
        <v>0</v>
      </c>
      <c r="F945">
        <v>6</v>
      </c>
      <c r="G945">
        <v>6</v>
      </c>
      <c r="H945">
        <v>6</v>
      </c>
      <c r="J945" s="5">
        <f t="shared" si="44"/>
        <v>0</v>
      </c>
      <c r="K945" s="5">
        <f t="shared" si="44"/>
        <v>0</v>
      </c>
    </row>
    <row r="946" spans="3:11" x14ac:dyDescent="0.2">
      <c r="C946" t="s">
        <v>687</v>
      </c>
      <c r="D946" t="b">
        <f t="shared" ca="1" si="45"/>
        <v>1</v>
      </c>
      <c r="E946" s="5">
        <f t="shared" si="46"/>
        <v>1.3141778766008913E-5</v>
      </c>
      <c r="F946">
        <v>3.8046600000000002</v>
      </c>
      <c r="G946">
        <v>3.80471</v>
      </c>
      <c r="H946">
        <v>3.80471</v>
      </c>
      <c r="J946" s="5">
        <f t="shared" si="44"/>
        <v>1.3141778766008913E-5</v>
      </c>
      <c r="K946" s="5">
        <f t="shared" si="44"/>
        <v>0</v>
      </c>
    </row>
    <row r="947" spans="3:11" x14ac:dyDescent="0.2">
      <c r="C947" t="s">
        <v>686</v>
      </c>
      <c r="D947" t="b">
        <f t="shared" ca="1" si="45"/>
        <v>1</v>
      </c>
      <c r="E947" s="5">
        <f t="shared" si="46"/>
        <v>0</v>
      </c>
      <c r="F947" s="4">
        <v>44926</v>
      </c>
      <c r="G947" s="4">
        <v>44926</v>
      </c>
      <c r="H947" s="4">
        <v>44926</v>
      </c>
      <c r="I947" s="4"/>
      <c r="J947" s="5">
        <f t="shared" si="44"/>
        <v>0</v>
      </c>
      <c r="K947" s="5">
        <f t="shared" si="44"/>
        <v>0</v>
      </c>
    </row>
    <row r="948" spans="3:11" x14ac:dyDescent="0.2">
      <c r="C948" t="s">
        <v>685</v>
      </c>
      <c r="D948" t="b">
        <f t="shared" ca="1" si="45"/>
        <v>1</v>
      </c>
      <c r="E948" s="5">
        <f t="shared" si="46"/>
        <v>0</v>
      </c>
      <c r="F948">
        <v>23</v>
      </c>
      <c r="G948">
        <v>23</v>
      </c>
      <c r="H948">
        <v>23</v>
      </c>
      <c r="J948" s="5">
        <f t="shared" si="44"/>
        <v>0</v>
      </c>
      <c r="K948" s="5">
        <f t="shared" si="44"/>
        <v>0</v>
      </c>
    </row>
    <row r="949" spans="3:11" x14ac:dyDescent="0.2">
      <c r="C949" t="s">
        <v>684</v>
      </c>
      <c r="D949" t="b">
        <f t="shared" ca="1" si="45"/>
        <v>1</v>
      </c>
      <c r="E949" s="5">
        <f t="shared" si="46"/>
        <v>0</v>
      </c>
      <c r="F949">
        <v>2.7747700000000002</v>
      </c>
      <c r="G949">
        <v>2.7747700000000002</v>
      </c>
      <c r="H949">
        <v>2.7747700000000002</v>
      </c>
      <c r="J949" s="5">
        <f t="shared" si="44"/>
        <v>0</v>
      </c>
      <c r="K949" s="5">
        <f t="shared" si="44"/>
        <v>0</v>
      </c>
    </row>
    <row r="950" spans="3:11" x14ac:dyDescent="0.2">
      <c r="C950" t="s">
        <v>683</v>
      </c>
      <c r="D950" t="b">
        <f t="shared" ca="1" si="45"/>
        <v>1</v>
      </c>
      <c r="E950" s="5">
        <f t="shared" si="46"/>
        <v>0</v>
      </c>
      <c r="F950" s="4">
        <v>44725</v>
      </c>
      <c r="G950" s="4">
        <v>44725</v>
      </c>
      <c r="H950" s="4">
        <v>44725</v>
      </c>
      <c r="I950" s="4"/>
      <c r="J950" s="5">
        <f t="shared" si="44"/>
        <v>0</v>
      </c>
      <c r="K950" s="5">
        <f t="shared" si="44"/>
        <v>0</v>
      </c>
    </row>
    <row r="951" spans="3:11" x14ac:dyDescent="0.2">
      <c r="C951" t="s">
        <v>682</v>
      </c>
      <c r="D951" t="b">
        <f t="shared" ca="1" si="45"/>
        <v>1</v>
      </c>
      <c r="E951" s="5">
        <f t="shared" si="46"/>
        <v>0</v>
      </c>
      <c r="F951">
        <v>16</v>
      </c>
      <c r="G951">
        <v>16</v>
      </c>
      <c r="H951">
        <v>16</v>
      </c>
      <c r="J951" s="5">
        <f t="shared" si="44"/>
        <v>0</v>
      </c>
      <c r="K951" s="5">
        <f t="shared" si="44"/>
        <v>0</v>
      </c>
    </row>
    <row r="952" spans="3:11" x14ac:dyDescent="0.2">
      <c r="C952" t="s">
        <v>681</v>
      </c>
      <c r="D952" t="b">
        <f t="shared" ca="1" si="45"/>
        <v>1</v>
      </c>
      <c r="E952" s="5">
        <f t="shared" si="46"/>
        <v>0</v>
      </c>
      <c r="F952">
        <v>25.009799999999998</v>
      </c>
      <c r="G952">
        <v>25.009799999999998</v>
      </c>
      <c r="H952">
        <v>25.009799999999998</v>
      </c>
      <c r="J952" s="5">
        <f t="shared" si="44"/>
        <v>0</v>
      </c>
      <c r="K952" s="5">
        <f t="shared" si="44"/>
        <v>0</v>
      </c>
    </row>
    <row r="953" spans="3:11" x14ac:dyDescent="0.2">
      <c r="C953" t="s">
        <v>680</v>
      </c>
      <c r="D953" t="b">
        <f t="shared" ca="1" si="45"/>
        <v>1</v>
      </c>
      <c r="E953" s="5">
        <f t="shared" si="46"/>
        <v>0</v>
      </c>
      <c r="F953" s="4">
        <v>44845</v>
      </c>
      <c r="G953" s="4">
        <v>44845</v>
      </c>
      <c r="H953" s="4">
        <v>44845</v>
      </c>
      <c r="I953" s="4"/>
      <c r="J953" s="5">
        <f t="shared" si="44"/>
        <v>0</v>
      </c>
      <c r="K953" s="5">
        <f t="shared" si="44"/>
        <v>0</v>
      </c>
    </row>
    <row r="954" spans="3:11" x14ac:dyDescent="0.2">
      <c r="C954" t="s">
        <v>679</v>
      </c>
      <c r="D954" t="b">
        <f t="shared" ca="1" si="45"/>
        <v>1</v>
      </c>
      <c r="E954" s="5">
        <f t="shared" si="46"/>
        <v>0</v>
      </c>
      <c r="F954">
        <v>16</v>
      </c>
      <c r="G954">
        <v>16</v>
      </c>
      <c r="H954">
        <v>16</v>
      </c>
      <c r="J954" s="5">
        <f t="shared" si="44"/>
        <v>0</v>
      </c>
      <c r="K954" s="5">
        <f t="shared" si="44"/>
        <v>0</v>
      </c>
    </row>
    <row r="955" spans="3:11" x14ac:dyDescent="0.2">
      <c r="C955" t="s">
        <v>678</v>
      </c>
      <c r="D955" t="b">
        <f t="shared" ca="1" si="45"/>
        <v>1</v>
      </c>
      <c r="E955" s="5">
        <f t="shared" si="46"/>
        <v>0</v>
      </c>
      <c r="F955">
        <v>8.7244899999999994</v>
      </c>
      <c r="G955">
        <v>8.7244899999999994</v>
      </c>
      <c r="H955">
        <v>8.7244899999999994</v>
      </c>
      <c r="J955" s="5">
        <f t="shared" si="44"/>
        <v>0</v>
      </c>
      <c r="K955" s="5">
        <f t="shared" si="44"/>
        <v>0</v>
      </c>
    </row>
    <row r="956" spans="3:11" x14ac:dyDescent="0.2">
      <c r="C956" t="s">
        <v>677</v>
      </c>
      <c r="D956" t="b">
        <f t="shared" ca="1" si="45"/>
        <v>1</v>
      </c>
      <c r="E956" s="5">
        <f t="shared" si="46"/>
        <v>0</v>
      </c>
      <c r="F956" s="4">
        <v>44567</v>
      </c>
      <c r="G956" s="4">
        <v>44567</v>
      </c>
      <c r="H956" s="4">
        <v>44567</v>
      </c>
      <c r="I956" s="4"/>
      <c r="J956" s="5">
        <f t="shared" si="44"/>
        <v>0</v>
      </c>
      <c r="K956" s="5">
        <f t="shared" si="44"/>
        <v>0</v>
      </c>
    </row>
    <row r="957" spans="3:11" x14ac:dyDescent="0.2">
      <c r="C957" t="s">
        <v>676</v>
      </c>
      <c r="D957" t="b">
        <f t="shared" ca="1" si="45"/>
        <v>1</v>
      </c>
      <c r="E957" s="5">
        <f t="shared" si="46"/>
        <v>0</v>
      </c>
      <c r="F957">
        <v>6</v>
      </c>
      <c r="G957">
        <v>6</v>
      </c>
      <c r="H957">
        <v>6</v>
      </c>
      <c r="J957" s="5">
        <f t="shared" si="44"/>
        <v>0</v>
      </c>
      <c r="K957" s="5">
        <f t="shared" si="44"/>
        <v>0</v>
      </c>
    </row>
    <row r="958" spans="3:11" x14ac:dyDescent="0.2">
      <c r="C958" t="s">
        <v>675</v>
      </c>
      <c r="D958" t="b">
        <f t="shared" ca="1" si="45"/>
        <v>1</v>
      </c>
      <c r="E958" s="5">
        <f t="shared" si="46"/>
        <v>1.4811084615766914E-5</v>
      </c>
      <c r="F958">
        <v>1.35034E-2</v>
      </c>
      <c r="G958">
        <v>1.35032E-2</v>
      </c>
      <c r="H958">
        <v>1.35032E-2</v>
      </c>
      <c r="J958" s="5">
        <f t="shared" si="44"/>
        <v>1.4811084615766914E-5</v>
      </c>
      <c r="K958" s="5">
        <f t="shared" si="44"/>
        <v>0</v>
      </c>
    </row>
    <row r="959" spans="3:11" x14ac:dyDescent="0.2">
      <c r="C959" t="s">
        <v>674</v>
      </c>
      <c r="D959" t="b">
        <f t="shared" ca="1" si="45"/>
        <v>1</v>
      </c>
      <c r="E959" s="5">
        <f t="shared" si="46"/>
        <v>0</v>
      </c>
      <c r="F959" s="4">
        <v>44881</v>
      </c>
      <c r="G959" s="4">
        <v>44881</v>
      </c>
      <c r="H959" s="4">
        <v>44881</v>
      </c>
      <c r="I959" s="4"/>
      <c r="J959" s="5">
        <f t="shared" si="44"/>
        <v>0</v>
      </c>
      <c r="K959" s="5">
        <f t="shared" si="44"/>
        <v>0</v>
      </c>
    </row>
    <row r="960" spans="3:11" x14ac:dyDescent="0.2">
      <c r="C960" t="s">
        <v>673</v>
      </c>
      <c r="D960" t="b">
        <f t="shared" ca="1" si="45"/>
        <v>1</v>
      </c>
      <c r="E960" s="5">
        <f t="shared" si="46"/>
        <v>0</v>
      </c>
      <c r="F960">
        <v>17</v>
      </c>
      <c r="G960">
        <v>17</v>
      </c>
      <c r="H960">
        <v>17</v>
      </c>
      <c r="J960" s="5">
        <f t="shared" si="44"/>
        <v>0</v>
      </c>
      <c r="K960" s="5">
        <f t="shared" si="44"/>
        <v>0</v>
      </c>
    </row>
    <row r="961" spans="3:11" x14ac:dyDescent="0.2">
      <c r="C961" t="s">
        <v>672</v>
      </c>
      <c r="D961" t="b">
        <f t="shared" ca="1" si="45"/>
        <v>1</v>
      </c>
      <c r="E961" s="5">
        <f t="shared" si="46"/>
        <v>0</v>
      </c>
      <c r="F961">
        <v>1.9291899999999999E-3</v>
      </c>
      <c r="G961">
        <v>1.9291899999999999E-3</v>
      </c>
      <c r="H961">
        <v>1.9291899999999999E-3</v>
      </c>
      <c r="J961" s="5">
        <f t="shared" si="44"/>
        <v>0</v>
      </c>
      <c r="K961" s="5">
        <f t="shared" si="44"/>
        <v>0</v>
      </c>
    </row>
    <row r="962" spans="3:11" x14ac:dyDescent="0.2">
      <c r="C962" t="s">
        <v>671</v>
      </c>
      <c r="D962" t="b">
        <f t="shared" ca="1" si="45"/>
        <v>1</v>
      </c>
      <c r="E962" s="5">
        <f t="shared" si="46"/>
        <v>0</v>
      </c>
      <c r="F962" s="4">
        <v>44572</v>
      </c>
      <c r="G962" s="4">
        <v>44572</v>
      </c>
      <c r="H962" s="4">
        <v>44572</v>
      </c>
      <c r="I962" s="4"/>
      <c r="J962" s="5">
        <f t="shared" si="44"/>
        <v>0</v>
      </c>
      <c r="K962" s="5">
        <f t="shared" si="44"/>
        <v>0</v>
      </c>
    </row>
    <row r="963" spans="3:11" x14ac:dyDescent="0.2">
      <c r="C963" t="s">
        <v>670</v>
      </c>
      <c r="D963" t="b">
        <f t="shared" ca="1" si="45"/>
        <v>1</v>
      </c>
      <c r="E963" s="5">
        <f t="shared" si="46"/>
        <v>0</v>
      </c>
      <c r="F963">
        <v>3</v>
      </c>
      <c r="G963">
        <v>3</v>
      </c>
      <c r="H963">
        <v>3</v>
      </c>
      <c r="J963" s="5">
        <f t="shared" si="44"/>
        <v>0</v>
      </c>
      <c r="K963" s="5">
        <f t="shared" si="44"/>
        <v>0</v>
      </c>
    </row>
    <row r="964" spans="3:11" x14ac:dyDescent="0.2">
      <c r="C964" t="s">
        <v>669</v>
      </c>
      <c r="D964" t="b">
        <f t="shared" ca="1" si="45"/>
        <v>1</v>
      </c>
      <c r="E964" s="5">
        <f t="shared" si="46"/>
        <v>0</v>
      </c>
      <c r="F964">
        <v>71.218199999999996</v>
      </c>
      <c r="G964">
        <v>71.218199999999996</v>
      </c>
      <c r="H964">
        <v>71.218199999999996</v>
      </c>
      <c r="J964" s="5">
        <f t="shared" si="44"/>
        <v>0</v>
      </c>
      <c r="K964" s="5">
        <f t="shared" si="44"/>
        <v>0</v>
      </c>
    </row>
    <row r="965" spans="3:11" x14ac:dyDescent="0.2">
      <c r="C965" t="s">
        <v>668</v>
      </c>
      <c r="D965" t="b">
        <f t="shared" ca="1" si="45"/>
        <v>1</v>
      </c>
      <c r="E965" s="5">
        <f t="shared" si="46"/>
        <v>0</v>
      </c>
      <c r="F965" s="4">
        <v>44856</v>
      </c>
      <c r="G965" s="4">
        <v>44856</v>
      </c>
      <c r="H965" s="4">
        <v>44856</v>
      </c>
      <c r="I965" s="4"/>
      <c r="J965" s="5">
        <f t="shared" si="44"/>
        <v>0</v>
      </c>
      <c r="K965" s="5">
        <f t="shared" si="44"/>
        <v>0</v>
      </c>
    </row>
    <row r="966" spans="3:11" x14ac:dyDescent="0.2">
      <c r="C966" t="s">
        <v>667</v>
      </c>
      <c r="D966" t="b">
        <f t="shared" ca="1" si="45"/>
        <v>1</v>
      </c>
      <c r="E966" s="5">
        <f t="shared" si="46"/>
        <v>0</v>
      </c>
      <c r="F966">
        <v>2</v>
      </c>
      <c r="G966">
        <v>2</v>
      </c>
      <c r="H966">
        <v>2</v>
      </c>
      <c r="J966" s="5">
        <f t="shared" si="44"/>
        <v>0</v>
      </c>
      <c r="K966" s="5">
        <f t="shared" si="44"/>
        <v>0</v>
      </c>
    </row>
    <row r="967" spans="3:11" x14ac:dyDescent="0.2">
      <c r="C967" t="s">
        <v>666</v>
      </c>
      <c r="D967" t="b">
        <f t="shared" ca="1" si="45"/>
        <v>1</v>
      </c>
      <c r="E967" s="5">
        <f t="shared" si="46"/>
        <v>0</v>
      </c>
      <c r="F967">
        <v>16.328099999999999</v>
      </c>
      <c r="G967">
        <v>16.328099999999999</v>
      </c>
      <c r="H967">
        <v>16.328099999999999</v>
      </c>
      <c r="J967" s="5">
        <f t="shared" ref="J967:K1030" si="47">ABS(F967-G967)/ABS(F967)</f>
        <v>0</v>
      </c>
      <c r="K967" s="5">
        <f t="shared" si="47"/>
        <v>0</v>
      </c>
    </row>
    <row r="968" spans="3:11" x14ac:dyDescent="0.2">
      <c r="C968" t="s">
        <v>665</v>
      </c>
      <c r="D968" t="b">
        <f t="shared" ca="1" si="45"/>
        <v>1</v>
      </c>
      <c r="E968" s="5">
        <f t="shared" si="46"/>
        <v>0</v>
      </c>
      <c r="F968" s="4">
        <v>44871</v>
      </c>
      <c r="G968" s="4">
        <v>44871</v>
      </c>
      <c r="H968" s="4">
        <v>44871</v>
      </c>
      <c r="I968" s="4"/>
      <c r="J968" s="5">
        <f t="shared" si="47"/>
        <v>0</v>
      </c>
      <c r="K968" s="5">
        <f t="shared" si="47"/>
        <v>0</v>
      </c>
    </row>
    <row r="969" spans="3:11" x14ac:dyDescent="0.2">
      <c r="C969" t="s">
        <v>664</v>
      </c>
      <c r="D969" t="b">
        <f t="shared" ca="1" si="45"/>
        <v>1</v>
      </c>
      <c r="E969" s="5">
        <f t="shared" si="46"/>
        <v>0</v>
      </c>
      <c r="F969">
        <v>6</v>
      </c>
      <c r="G969">
        <v>6</v>
      </c>
      <c r="H969">
        <v>6</v>
      </c>
      <c r="J969" s="5">
        <f t="shared" si="47"/>
        <v>0</v>
      </c>
      <c r="K969" s="5">
        <f t="shared" si="47"/>
        <v>0</v>
      </c>
    </row>
    <row r="970" spans="3:11" x14ac:dyDescent="0.2">
      <c r="C970" t="s">
        <v>663</v>
      </c>
      <c r="D970" t="b">
        <f t="shared" ca="1" si="45"/>
        <v>1</v>
      </c>
      <c r="E970" s="5">
        <f t="shared" si="46"/>
        <v>9.582169499059044E-6</v>
      </c>
      <c r="F970">
        <v>4.1744199999999996</v>
      </c>
      <c r="G970">
        <v>4.1744599999999998</v>
      </c>
      <c r="H970">
        <v>4.1744599999999998</v>
      </c>
      <c r="J970" s="5">
        <f t="shared" si="47"/>
        <v>9.582169499059044E-6</v>
      </c>
      <c r="K970" s="5">
        <f t="shared" si="47"/>
        <v>0</v>
      </c>
    </row>
    <row r="971" spans="3:11" x14ac:dyDescent="0.2">
      <c r="C971" t="s">
        <v>662</v>
      </c>
      <c r="D971" t="b">
        <f t="shared" ca="1" si="45"/>
        <v>1</v>
      </c>
      <c r="E971" s="5">
        <f t="shared" si="46"/>
        <v>0</v>
      </c>
      <c r="F971" s="4">
        <v>44836</v>
      </c>
      <c r="G971" s="4">
        <v>44836</v>
      </c>
      <c r="H971" s="4">
        <v>44836</v>
      </c>
      <c r="I971" s="4"/>
      <c r="J971" s="5">
        <f t="shared" si="47"/>
        <v>0</v>
      </c>
      <c r="K971" s="5">
        <f t="shared" si="47"/>
        <v>0</v>
      </c>
    </row>
    <row r="972" spans="3:11" x14ac:dyDescent="0.2">
      <c r="C972" t="s">
        <v>661</v>
      </c>
      <c r="D972" t="b">
        <f t="shared" ca="1" si="45"/>
        <v>1</v>
      </c>
      <c r="E972" s="5">
        <f t="shared" si="46"/>
        <v>0</v>
      </c>
      <c r="F972">
        <v>23</v>
      </c>
      <c r="G972">
        <v>23</v>
      </c>
      <c r="H972">
        <v>23</v>
      </c>
      <c r="J972" s="5">
        <f t="shared" si="47"/>
        <v>0</v>
      </c>
      <c r="K972" s="5">
        <f t="shared" si="47"/>
        <v>0</v>
      </c>
    </row>
    <row r="973" spans="3:11" x14ac:dyDescent="0.2">
      <c r="C973" t="s">
        <v>660</v>
      </c>
      <c r="D973" t="b">
        <f t="shared" ca="1" si="45"/>
        <v>1</v>
      </c>
      <c r="E973" s="5">
        <f t="shared" si="46"/>
        <v>0</v>
      </c>
      <c r="F973">
        <v>2.6941600000000001</v>
      </c>
      <c r="G973">
        <v>2.6941600000000001</v>
      </c>
      <c r="H973">
        <v>2.6941600000000001</v>
      </c>
      <c r="J973" s="5">
        <f t="shared" si="47"/>
        <v>0</v>
      </c>
      <c r="K973" s="5">
        <f t="shared" si="47"/>
        <v>0</v>
      </c>
    </row>
    <row r="974" spans="3:11" x14ac:dyDescent="0.2">
      <c r="C974" t="s">
        <v>659</v>
      </c>
      <c r="D974" t="b">
        <f t="shared" ca="1" si="45"/>
        <v>1</v>
      </c>
      <c r="E974" s="5">
        <f t="shared" si="46"/>
        <v>0</v>
      </c>
      <c r="F974" s="4">
        <v>44682</v>
      </c>
      <c r="G974" s="4">
        <v>44682</v>
      </c>
      <c r="H974" s="4">
        <v>44682</v>
      </c>
      <c r="I974" s="4"/>
      <c r="J974" s="5">
        <f t="shared" si="47"/>
        <v>0</v>
      </c>
      <c r="K974" s="5">
        <f t="shared" si="47"/>
        <v>0</v>
      </c>
    </row>
    <row r="975" spans="3:11" x14ac:dyDescent="0.2">
      <c r="C975" t="s">
        <v>658</v>
      </c>
      <c r="D975" t="b">
        <f t="shared" ca="1" si="45"/>
        <v>1</v>
      </c>
      <c r="E975" s="5">
        <f t="shared" si="46"/>
        <v>0</v>
      </c>
      <c r="F975">
        <v>11</v>
      </c>
      <c r="G975">
        <v>11</v>
      </c>
      <c r="H975">
        <v>11</v>
      </c>
      <c r="J975" s="5">
        <f t="shared" si="47"/>
        <v>0</v>
      </c>
      <c r="K975" s="5">
        <f t="shared" si="47"/>
        <v>0</v>
      </c>
    </row>
    <row r="976" spans="3:11" x14ac:dyDescent="0.2">
      <c r="C976" t="s">
        <v>657</v>
      </c>
      <c r="D976" t="b">
        <f t="shared" ca="1" si="45"/>
        <v>1</v>
      </c>
      <c r="E976" s="5">
        <f t="shared" si="46"/>
        <v>7.9979845078853681E-6</v>
      </c>
      <c r="F976">
        <v>25.0063</v>
      </c>
      <c r="G976">
        <v>25.006499999999999</v>
      </c>
      <c r="H976">
        <v>25.006499999999999</v>
      </c>
      <c r="J976" s="5">
        <f t="shared" si="47"/>
        <v>7.9979845078853681E-6</v>
      </c>
      <c r="K976" s="5">
        <f t="shared" si="47"/>
        <v>0</v>
      </c>
    </row>
    <row r="977" spans="3:11" x14ac:dyDescent="0.2">
      <c r="C977" t="s">
        <v>656</v>
      </c>
      <c r="D977" t="b">
        <f t="shared" ca="1" si="45"/>
        <v>1</v>
      </c>
      <c r="E977" s="5">
        <f t="shared" si="46"/>
        <v>0</v>
      </c>
      <c r="F977" s="4">
        <v>44652</v>
      </c>
      <c r="G977" s="4">
        <v>44652</v>
      </c>
      <c r="H977" s="4">
        <v>44652</v>
      </c>
      <c r="I977" s="4"/>
      <c r="J977" s="5">
        <f t="shared" si="47"/>
        <v>0</v>
      </c>
      <c r="K977" s="5">
        <f t="shared" si="47"/>
        <v>0</v>
      </c>
    </row>
    <row r="978" spans="3:11" x14ac:dyDescent="0.2">
      <c r="C978" t="s">
        <v>655</v>
      </c>
      <c r="D978" t="b">
        <f t="shared" ref="D978:D1041" ca="1" si="48">IF(CELL("format",F978)="G",IF(ABS(F978-G978) &lt;= ABS(F978*B$3),TRUE,FALSE),IF(F978=G978,TRUE,FALSE))</f>
        <v>1</v>
      </c>
      <c r="E978" s="5">
        <f t="shared" ref="E978:E1041" si="49">ABS(F978-G978)/ABS(F978)</f>
        <v>0</v>
      </c>
      <c r="F978">
        <v>18</v>
      </c>
      <c r="G978">
        <v>18</v>
      </c>
      <c r="H978">
        <v>18</v>
      </c>
      <c r="J978" s="5">
        <f t="shared" si="47"/>
        <v>0</v>
      </c>
      <c r="K978" s="5">
        <f t="shared" si="47"/>
        <v>0</v>
      </c>
    </row>
    <row r="979" spans="3:11" x14ac:dyDescent="0.2">
      <c r="C979" t="s">
        <v>654</v>
      </c>
      <c r="D979" t="b">
        <f t="shared" ca="1" si="48"/>
        <v>1</v>
      </c>
      <c r="E979" s="5">
        <f t="shared" si="49"/>
        <v>6.7140980392041663E-6</v>
      </c>
      <c r="F979">
        <v>8.93642</v>
      </c>
      <c r="G979">
        <v>8.9364799999999995</v>
      </c>
      <c r="H979">
        <v>8.9364799999999995</v>
      </c>
      <c r="J979" s="5">
        <f t="shared" si="47"/>
        <v>6.7140980392041663E-6</v>
      </c>
      <c r="K979" s="5">
        <f t="shared" si="47"/>
        <v>0</v>
      </c>
    </row>
    <row r="980" spans="3:11" x14ac:dyDescent="0.2">
      <c r="C980" t="s">
        <v>653</v>
      </c>
      <c r="D980" t="b">
        <f t="shared" ca="1" si="48"/>
        <v>1</v>
      </c>
      <c r="E980" s="5">
        <f t="shared" si="49"/>
        <v>0</v>
      </c>
      <c r="F980" s="4">
        <v>44916</v>
      </c>
      <c r="G980" s="4">
        <v>44916</v>
      </c>
      <c r="H980" s="4">
        <v>44916</v>
      </c>
      <c r="I980" s="4"/>
      <c r="J980" s="5">
        <f t="shared" si="47"/>
        <v>0</v>
      </c>
      <c r="K980" s="5">
        <f t="shared" si="47"/>
        <v>0</v>
      </c>
    </row>
    <row r="981" spans="3:11" x14ac:dyDescent="0.2">
      <c r="C981" t="s">
        <v>652</v>
      </c>
      <c r="D981" t="b">
        <f t="shared" ca="1" si="48"/>
        <v>0</v>
      </c>
      <c r="E981" s="5">
        <f t="shared" si="49"/>
        <v>1</v>
      </c>
      <c r="F981">
        <v>2</v>
      </c>
      <c r="G981">
        <v>0</v>
      </c>
      <c r="H981">
        <v>0</v>
      </c>
      <c r="J981" s="5">
        <f t="shared" si="47"/>
        <v>1</v>
      </c>
      <c r="K981" s="5" t="e">
        <f t="shared" si="47"/>
        <v>#DIV/0!</v>
      </c>
    </row>
    <row r="982" spans="3:11" x14ac:dyDescent="0.2">
      <c r="C982" t="s">
        <v>651</v>
      </c>
      <c r="D982" t="b">
        <f t="shared" ca="1" si="48"/>
        <v>1</v>
      </c>
      <c r="E982" s="5">
        <f t="shared" si="49"/>
        <v>0</v>
      </c>
      <c r="F982">
        <v>1.1341199999999999E-2</v>
      </c>
      <c r="G982">
        <v>1.1341199999999999E-2</v>
      </c>
      <c r="H982">
        <v>1.1341199999999999E-2</v>
      </c>
      <c r="J982" s="5">
        <f t="shared" si="47"/>
        <v>0</v>
      </c>
      <c r="K982" s="5">
        <f t="shared" si="47"/>
        <v>0</v>
      </c>
    </row>
    <row r="983" spans="3:11" x14ac:dyDescent="0.2">
      <c r="C983" t="s">
        <v>650</v>
      </c>
      <c r="D983" t="b">
        <f t="shared" ca="1" si="48"/>
        <v>1</v>
      </c>
      <c r="E983" s="5">
        <f t="shared" si="49"/>
        <v>0</v>
      </c>
      <c r="F983" s="4">
        <v>44762</v>
      </c>
      <c r="G983" s="4">
        <v>44762</v>
      </c>
      <c r="H983" s="4">
        <v>44762</v>
      </c>
      <c r="I983" s="4"/>
      <c r="J983" s="5">
        <f t="shared" si="47"/>
        <v>0</v>
      </c>
      <c r="K983" s="5">
        <f t="shared" si="47"/>
        <v>0</v>
      </c>
    </row>
    <row r="984" spans="3:11" x14ac:dyDescent="0.2">
      <c r="C984" t="s">
        <v>649</v>
      </c>
      <c r="D984" t="b">
        <f t="shared" ca="1" si="48"/>
        <v>1</v>
      </c>
      <c r="E984" s="5">
        <f t="shared" si="49"/>
        <v>0</v>
      </c>
      <c r="F984">
        <v>15</v>
      </c>
      <c r="G984">
        <v>15</v>
      </c>
      <c r="H984">
        <v>15</v>
      </c>
      <c r="J984" s="5">
        <f t="shared" si="47"/>
        <v>0</v>
      </c>
      <c r="K984" s="5">
        <f t="shared" si="47"/>
        <v>0</v>
      </c>
    </row>
    <row r="985" spans="3:11" x14ac:dyDescent="0.2">
      <c r="C985" t="s">
        <v>648</v>
      </c>
      <c r="D985" t="b">
        <f t="shared" ca="1" si="48"/>
        <v>0</v>
      </c>
      <c r="E985" s="5">
        <f t="shared" si="49"/>
        <v>1.2983307176484519E-4</v>
      </c>
      <c r="F985">
        <v>7.0089999999999996E-3</v>
      </c>
      <c r="G985">
        <v>7.0080899999999998E-3</v>
      </c>
      <c r="H985">
        <v>7.0080899999999998E-3</v>
      </c>
      <c r="J985" s="5">
        <f t="shared" si="47"/>
        <v>1.2983307176484519E-4</v>
      </c>
      <c r="K985" s="5">
        <f t="shared" si="47"/>
        <v>0</v>
      </c>
    </row>
    <row r="986" spans="3:11" x14ac:dyDescent="0.2">
      <c r="C986" t="s">
        <v>647</v>
      </c>
      <c r="D986" t="b">
        <f t="shared" ca="1" si="48"/>
        <v>1</v>
      </c>
      <c r="E986" s="5">
        <f t="shared" si="49"/>
        <v>0</v>
      </c>
      <c r="F986" s="4">
        <v>44915</v>
      </c>
      <c r="G986" s="4">
        <v>44915</v>
      </c>
      <c r="H986" s="4">
        <v>44915</v>
      </c>
      <c r="I986" s="4"/>
      <c r="J986" s="5">
        <f t="shared" si="47"/>
        <v>0</v>
      </c>
      <c r="K986" s="5">
        <f t="shared" si="47"/>
        <v>0</v>
      </c>
    </row>
    <row r="987" spans="3:11" x14ac:dyDescent="0.2">
      <c r="C987" t="s">
        <v>646</v>
      </c>
      <c r="D987" t="b">
        <f t="shared" ca="1" si="48"/>
        <v>1</v>
      </c>
      <c r="E987" s="5">
        <f t="shared" si="49"/>
        <v>0</v>
      </c>
      <c r="F987">
        <v>12</v>
      </c>
      <c r="G987">
        <v>12</v>
      </c>
      <c r="H987">
        <v>12</v>
      </c>
      <c r="J987" s="5">
        <f t="shared" si="47"/>
        <v>0</v>
      </c>
      <c r="K987" s="5">
        <f t="shared" si="47"/>
        <v>0</v>
      </c>
    </row>
    <row r="988" spans="3:11" x14ac:dyDescent="0.2">
      <c r="C988" t="s">
        <v>645</v>
      </c>
      <c r="D988" t="b">
        <f t="shared" ca="1" si="48"/>
        <v>1</v>
      </c>
      <c r="E988" s="5">
        <f t="shared" si="49"/>
        <v>0</v>
      </c>
      <c r="F988">
        <v>100</v>
      </c>
      <c r="G988">
        <v>100</v>
      </c>
      <c r="H988">
        <v>100</v>
      </c>
      <c r="J988" s="5">
        <f t="shared" si="47"/>
        <v>0</v>
      </c>
      <c r="K988" s="5">
        <f t="shared" si="47"/>
        <v>0</v>
      </c>
    </row>
    <row r="989" spans="3:11" x14ac:dyDescent="0.2">
      <c r="C989" t="s">
        <v>644</v>
      </c>
      <c r="D989" t="b">
        <f t="shared" ca="1" si="48"/>
        <v>1</v>
      </c>
      <c r="E989" s="5">
        <f t="shared" si="49"/>
        <v>0</v>
      </c>
      <c r="F989" s="4">
        <v>44887</v>
      </c>
      <c r="G989" s="4">
        <v>44887</v>
      </c>
      <c r="H989" s="4">
        <v>44887</v>
      </c>
      <c r="I989" s="4"/>
      <c r="J989" s="5">
        <f t="shared" si="47"/>
        <v>0</v>
      </c>
      <c r="K989" s="5">
        <f t="shared" si="47"/>
        <v>0</v>
      </c>
    </row>
    <row r="990" spans="3:11" x14ac:dyDescent="0.2">
      <c r="C990" t="s">
        <v>643</v>
      </c>
      <c r="D990" t="b">
        <f t="shared" ca="1" si="48"/>
        <v>0</v>
      </c>
      <c r="E990" s="5">
        <f t="shared" si="49"/>
        <v>0.5</v>
      </c>
      <c r="F990">
        <v>2</v>
      </c>
      <c r="G990">
        <v>3</v>
      </c>
      <c r="H990">
        <v>3</v>
      </c>
      <c r="J990" s="5">
        <f t="shared" si="47"/>
        <v>0.5</v>
      </c>
      <c r="K990" s="5">
        <f t="shared" si="47"/>
        <v>0</v>
      </c>
    </row>
    <row r="991" spans="3:11" x14ac:dyDescent="0.2">
      <c r="C991" t="s">
        <v>642</v>
      </c>
      <c r="D991" t="b">
        <f t="shared" ca="1" si="48"/>
        <v>1</v>
      </c>
      <c r="E991" s="5">
        <f t="shared" si="49"/>
        <v>1.8814640048338508E-6</v>
      </c>
      <c r="F991">
        <v>53.150100000000002</v>
      </c>
      <c r="G991">
        <v>53.15</v>
      </c>
      <c r="H991">
        <v>53.15</v>
      </c>
      <c r="J991" s="5">
        <f t="shared" si="47"/>
        <v>1.8814640048338508E-6</v>
      </c>
      <c r="K991" s="5">
        <f t="shared" si="47"/>
        <v>0</v>
      </c>
    </row>
    <row r="992" spans="3:11" x14ac:dyDescent="0.2">
      <c r="C992" t="s">
        <v>641</v>
      </c>
      <c r="D992" t="b">
        <f t="shared" ca="1" si="48"/>
        <v>1</v>
      </c>
      <c r="E992" s="5">
        <f t="shared" si="49"/>
        <v>0</v>
      </c>
      <c r="F992" s="4">
        <v>44681</v>
      </c>
      <c r="G992" s="4">
        <v>44681</v>
      </c>
      <c r="H992" s="4">
        <v>44681</v>
      </c>
      <c r="I992" s="4"/>
      <c r="J992" s="5">
        <f t="shared" si="47"/>
        <v>0</v>
      </c>
      <c r="K992" s="5">
        <f t="shared" si="47"/>
        <v>0</v>
      </c>
    </row>
    <row r="993" spans="3:11" x14ac:dyDescent="0.2">
      <c r="C993" t="s">
        <v>640</v>
      </c>
      <c r="D993" t="b">
        <f t="shared" ca="1" si="48"/>
        <v>1</v>
      </c>
      <c r="E993" s="5">
        <f t="shared" si="49"/>
        <v>0</v>
      </c>
      <c r="F993">
        <v>4</v>
      </c>
      <c r="G993">
        <v>4</v>
      </c>
      <c r="H993">
        <v>4</v>
      </c>
      <c r="J993" s="5">
        <f t="shared" si="47"/>
        <v>0</v>
      </c>
      <c r="K993" s="5">
        <f t="shared" si="47"/>
        <v>0</v>
      </c>
    </row>
    <row r="994" spans="3:11" x14ac:dyDescent="0.2">
      <c r="C994" t="s">
        <v>639</v>
      </c>
      <c r="D994" t="b">
        <f t="shared" ca="1" si="48"/>
        <v>1</v>
      </c>
      <c r="E994" s="5">
        <f t="shared" si="49"/>
        <v>0</v>
      </c>
      <c r="F994">
        <v>4.7069000000000001</v>
      </c>
      <c r="G994">
        <v>4.7069000000000001</v>
      </c>
      <c r="H994">
        <v>4.7069000000000001</v>
      </c>
      <c r="J994" s="5">
        <f t="shared" si="47"/>
        <v>0</v>
      </c>
      <c r="K994" s="5">
        <f t="shared" si="47"/>
        <v>0</v>
      </c>
    </row>
    <row r="995" spans="3:11" x14ac:dyDescent="0.2">
      <c r="C995" t="s">
        <v>638</v>
      </c>
      <c r="D995" t="b">
        <f t="shared" ca="1" si="48"/>
        <v>1</v>
      </c>
      <c r="E995" s="5">
        <f t="shared" si="49"/>
        <v>0</v>
      </c>
      <c r="F995" s="4">
        <v>44836</v>
      </c>
      <c r="G995" s="4">
        <v>44836</v>
      </c>
      <c r="H995" s="4">
        <v>44836</v>
      </c>
      <c r="I995" s="4"/>
      <c r="J995" s="5">
        <f t="shared" si="47"/>
        <v>0</v>
      </c>
      <c r="K995" s="5">
        <f t="shared" si="47"/>
        <v>0</v>
      </c>
    </row>
    <row r="996" spans="3:11" x14ac:dyDescent="0.2">
      <c r="C996" t="s">
        <v>637</v>
      </c>
      <c r="D996" t="b">
        <f t="shared" ca="1" si="48"/>
        <v>1</v>
      </c>
      <c r="E996" s="5">
        <f t="shared" si="49"/>
        <v>0</v>
      </c>
      <c r="F996">
        <v>23</v>
      </c>
      <c r="G996">
        <v>23</v>
      </c>
      <c r="H996">
        <v>23</v>
      </c>
      <c r="J996" s="5">
        <f t="shared" si="47"/>
        <v>0</v>
      </c>
      <c r="K996" s="5">
        <f t="shared" si="47"/>
        <v>0</v>
      </c>
    </row>
    <row r="997" spans="3:11" x14ac:dyDescent="0.2">
      <c r="C997" t="s">
        <v>636</v>
      </c>
      <c r="D997" t="b">
        <f t="shared" ca="1" si="48"/>
        <v>1</v>
      </c>
      <c r="E997" s="5">
        <f t="shared" si="49"/>
        <v>0</v>
      </c>
      <c r="F997">
        <v>2.7893599999999998</v>
      </c>
      <c r="G997">
        <v>2.7893599999999998</v>
      </c>
      <c r="H997">
        <v>2.7893599999999998</v>
      </c>
      <c r="J997" s="5">
        <f t="shared" si="47"/>
        <v>0</v>
      </c>
      <c r="K997" s="5">
        <f t="shared" si="47"/>
        <v>0</v>
      </c>
    </row>
    <row r="998" spans="3:11" x14ac:dyDescent="0.2">
      <c r="C998" t="s">
        <v>635</v>
      </c>
      <c r="D998" t="b">
        <f t="shared" ca="1" si="48"/>
        <v>1</v>
      </c>
      <c r="E998" s="5">
        <f t="shared" si="49"/>
        <v>0</v>
      </c>
      <c r="F998" s="4">
        <v>44566</v>
      </c>
      <c r="G998" s="4">
        <v>44566</v>
      </c>
      <c r="H998" s="4">
        <v>44566</v>
      </c>
      <c r="I998" s="4"/>
      <c r="J998" s="5">
        <f t="shared" si="47"/>
        <v>0</v>
      </c>
      <c r="K998" s="5">
        <f t="shared" si="47"/>
        <v>0</v>
      </c>
    </row>
    <row r="999" spans="3:11" x14ac:dyDescent="0.2">
      <c r="C999" t="s">
        <v>634</v>
      </c>
      <c r="D999" t="b">
        <f t="shared" ca="1" si="48"/>
        <v>1</v>
      </c>
      <c r="E999" s="5">
        <f t="shared" si="49"/>
        <v>0</v>
      </c>
      <c r="F999">
        <v>16</v>
      </c>
      <c r="G999">
        <v>16</v>
      </c>
      <c r="H999">
        <v>16</v>
      </c>
      <c r="J999" s="5">
        <f t="shared" si="47"/>
        <v>0</v>
      </c>
      <c r="K999" s="5">
        <f t="shared" si="47"/>
        <v>0</v>
      </c>
    </row>
    <row r="1000" spans="3:11" x14ac:dyDescent="0.2">
      <c r="C1000" t="s">
        <v>633</v>
      </c>
      <c r="D1000" t="b">
        <f t="shared" ca="1" si="48"/>
        <v>1</v>
      </c>
      <c r="E1000" s="5">
        <f t="shared" si="49"/>
        <v>0</v>
      </c>
      <c r="F1000">
        <v>25.011900000000001</v>
      </c>
      <c r="G1000">
        <v>25.011900000000001</v>
      </c>
      <c r="H1000">
        <v>25.011900000000001</v>
      </c>
      <c r="J1000" s="5">
        <f t="shared" si="47"/>
        <v>0</v>
      </c>
      <c r="K1000" s="5">
        <f t="shared" si="47"/>
        <v>0</v>
      </c>
    </row>
    <row r="1001" spans="3:11" x14ac:dyDescent="0.2">
      <c r="C1001" t="s">
        <v>632</v>
      </c>
      <c r="D1001" t="b">
        <f t="shared" ca="1" si="48"/>
        <v>1</v>
      </c>
      <c r="E1001" s="5">
        <f t="shared" si="49"/>
        <v>0</v>
      </c>
      <c r="F1001" s="4">
        <v>44771</v>
      </c>
      <c r="G1001" s="4">
        <v>44771</v>
      </c>
      <c r="H1001" s="4">
        <v>44771</v>
      </c>
      <c r="I1001" s="4"/>
      <c r="J1001" s="5">
        <f t="shared" si="47"/>
        <v>0</v>
      </c>
      <c r="K1001" s="5">
        <f t="shared" si="47"/>
        <v>0</v>
      </c>
    </row>
    <row r="1002" spans="3:11" x14ac:dyDescent="0.2">
      <c r="C1002" t="s">
        <v>631</v>
      </c>
      <c r="D1002" t="b">
        <f t="shared" ca="1" si="48"/>
        <v>1</v>
      </c>
      <c r="E1002" s="5">
        <f t="shared" si="49"/>
        <v>0</v>
      </c>
      <c r="F1002">
        <v>16</v>
      </c>
      <c r="G1002">
        <v>16</v>
      </c>
      <c r="H1002">
        <v>16</v>
      </c>
      <c r="J1002" s="5">
        <f t="shared" si="47"/>
        <v>0</v>
      </c>
      <c r="K1002" s="5">
        <f t="shared" si="47"/>
        <v>0</v>
      </c>
    </row>
    <row r="1003" spans="3:11" x14ac:dyDescent="0.2">
      <c r="C1003" t="s">
        <v>630</v>
      </c>
      <c r="D1003" t="b">
        <f t="shared" ca="1" si="48"/>
        <v>1</v>
      </c>
      <c r="E1003" s="5">
        <f t="shared" si="49"/>
        <v>6.7140980392041663E-6</v>
      </c>
      <c r="F1003">
        <v>8.93642</v>
      </c>
      <c r="G1003">
        <v>8.9364799999999995</v>
      </c>
      <c r="H1003">
        <v>8.9364799999999995</v>
      </c>
      <c r="J1003" s="5">
        <f t="shared" si="47"/>
        <v>6.7140980392041663E-6</v>
      </c>
      <c r="K1003" s="5">
        <f t="shared" si="47"/>
        <v>0</v>
      </c>
    </row>
    <row r="1004" spans="3:11" x14ac:dyDescent="0.2">
      <c r="C1004" t="s">
        <v>629</v>
      </c>
      <c r="D1004" t="b">
        <f t="shared" ca="1" si="48"/>
        <v>1</v>
      </c>
      <c r="E1004" s="5">
        <f t="shared" si="49"/>
        <v>0</v>
      </c>
      <c r="F1004" s="4">
        <v>44916</v>
      </c>
      <c r="G1004" s="4">
        <v>44916</v>
      </c>
      <c r="H1004" s="4">
        <v>44916</v>
      </c>
      <c r="I1004" s="4"/>
      <c r="J1004" s="5">
        <f t="shared" si="47"/>
        <v>0</v>
      </c>
      <c r="K1004" s="5">
        <f t="shared" si="47"/>
        <v>0</v>
      </c>
    </row>
    <row r="1005" spans="3:11" x14ac:dyDescent="0.2">
      <c r="C1005" t="s">
        <v>628</v>
      </c>
      <c r="D1005" t="b">
        <f t="shared" ca="1" si="48"/>
        <v>0</v>
      </c>
      <c r="E1005" s="5">
        <f t="shared" si="49"/>
        <v>1</v>
      </c>
      <c r="F1005">
        <v>2</v>
      </c>
      <c r="G1005">
        <v>0</v>
      </c>
      <c r="H1005">
        <v>0</v>
      </c>
      <c r="J1005" s="5">
        <f t="shared" si="47"/>
        <v>1</v>
      </c>
      <c r="K1005" s="5" t="e">
        <f t="shared" si="47"/>
        <v>#DIV/0!</v>
      </c>
    </row>
    <row r="1006" spans="3:11" x14ac:dyDescent="0.2">
      <c r="C1006" t="s">
        <v>627</v>
      </c>
      <c r="D1006" t="b">
        <f t="shared" ca="1" si="48"/>
        <v>1</v>
      </c>
      <c r="E1006" s="5">
        <f t="shared" si="49"/>
        <v>0</v>
      </c>
      <c r="F1006">
        <v>1.13559E-2</v>
      </c>
      <c r="G1006">
        <v>1.13559E-2</v>
      </c>
      <c r="H1006">
        <v>1.13559E-2</v>
      </c>
      <c r="J1006" s="5">
        <f t="shared" si="47"/>
        <v>0</v>
      </c>
      <c r="K1006" s="5">
        <f t="shared" si="47"/>
        <v>0</v>
      </c>
    </row>
    <row r="1007" spans="3:11" x14ac:dyDescent="0.2">
      <c r="C1007" t="s">
        <v>626</v>
      </c>
      <c r="D1007" t="b">
        <f t="shared" ca="1" si="48"/>
        <v>1</v>
      </c>
      <c r="E1007" s="5">
        <f t="shared" si="49"/>
        <v>0</v>
      </c>
      <c r="F1007" s="4">
        <v>44762</v>
      </c>
      <c r="G1007" s="4">
        <v>44762</v>
      </c>
      <c r="H1007" s="4">
        <v>44762</v>
      </c>
      <c r="I1007" s="4"/>
      <c r="J1007" s="5">
        <f t="shared" si="47"/>
        <v>0</v>
      </c>
      <c r="K1007" s="5">
        <f t="shared" si="47"/>
        <v>0</v>
      </c>
    </row>
    <row r="1008" spans="3:11" x14ac:dyDescent="0.2">
      <c r="C1008" t="s">
        <v>625</v>
      </c>
      <c r="D1008" t="b">
        <f t="shared" ca="1" si="48"/>
        <v>1</v>
      </c>
      <c r="E1008" s="5">
        <f t="shared" si="49"/>
        <v>0</v>
      </c>
      <c r="F1008">
        <v>15</v>
      </c>
      <c r="G1008">
        <v>15</v>
      </c>
      <c r="H1008">
        <v>15</v>
      </c>
      <c r="J1008" s="5">
        <f t="shared" si="47"/>
        <v>0</v>
      </c>
      <c r="K1008" s="5">
        <f t="shared" si="47"/>
        <v>0</v>
      </c>
    </row>
    <row r="1009" spans="3:11" x14ac:dyDescent="0.2">
      <c r="C1009" t="s">
        <v>624</v>
      </c>
      <c r="D1009" t="b">
        <f t="shared" ca="1" si="48"/>
        <v>0</v>
      </c>
      <c r="E1009" s="5">
        <f t="shared" si="49"/>
        <v>1.2983307176484519E-4</v>
      </c>
      <c r="F1009">
        <v>7.0089999999999996E-3</v>
      </c>
      <c r="G1009">
        <v>7.0080899999999998E-3</v>
      </c>
      <c r="H1009">
        <v>7.0080899999999998E-3</v>
      </c>
      <c r="J1009" s="5">
        <f t="shared" si="47"/>
        <v>1.2983307176484519E-4</v>
      </c>
      <c r="K1009" s="5">
        <f t="shared" si="47"/>
        <v>0</v>
      </c>
    </row>
    <row r="1010" spans="3:11" x14ac:dyDescent="0.2">
      <c r="C1010" t="s">
        <v>623</v>
      </c>
      <c r="D1010" t="b">
        <f t="shared" ca="1" si="48"/>
        <v>1</v>
      </c>
      <c r="E1010" s="5">
        <f t="shared" si="49"/>
        <v>0</v>
      </c>
      <c r="F1010" s="4">
        <v>44915</v>
      </c>
      <c r="G1010" s="4">
        <v>44915</v>
      </c>
      <c r="H1010" s="4">
        <v>44915</v>
      </c>
      <c r="I1010" s="4"/>
      <c r="J1010" s="5">
        <f t="shared" si="47"/>
        <v>0</v>
      </c>
      <c r="K1010" s="5">
        <f t="shared" si="47"/>
        <v>0</v>
      </c>
    </row>
    <row r="1011" spans="3:11" x14ac:dyDescent="0.2">
      <c r="C1011" t="s">
        <v>622</v>
      </c>
      <c r="D1011" t="b">
        <f t="shared" ca="1" si="48"/>
        <v>1</v>
      </c>
      <c r="E1011" s="5">
        <f t="shared" si="49"/>
        <v>0</v>
      </c>
      <c r="F1011">
        <v>12</v>
      </c>
      <c r="G1011">
        <v>12</v>
      </c>
      <c r="H1011">
        <v>12</v>
      </c>
      <c r="J1011" s="5">
        <f t="shared" si="47"/>
        <v>0</v>
      </c>
      <c r="K1011" s="5">
        <f t="shared" si="47"/>
        <v>0</v>
      </c>
    </row>
    <row r="1012" spans="3:11" x14ac:dyDescent="0.2">
      <c r="C1012" t="s">
        <v>621</v>
      </c>
      <c r="D1012" t="b">
        <f t="shared" ca="1" si="48"/>
        <v>1</v>
      </c>
      <c r="E1012" s="5">
        <f t="shared" si="49"/>
        <v>0</v>
      </c>
      <c r="F1012">
        <v>100</v>
      </c>
      <c r="G1012">
        <v>100</v>
      </c>
      <c r="H1012">
        <v>100</v>
      </c>
      <c r="J1012" s="5">
        <f t="shared" si="47"/>
        <v>0</v>
      </c>
      <c r="K1012" s="5">
        <f t="shared" si="47"/>
        <v>0</v>
      </c>
    </row>
    <row r="1013" spans="3:11" x14ac:dyDescent="0.2">
      <c r="C1013" t="s">
        <v>620</v>
      </c>
      <c r="D1013" t="b">
        <f t="shared" ca="1" si="48"/>
        <v>1</v>
      </c>
      <c r="E1013" s="5">
        <f t="shared" si="49"/>
        <v>0</v>
      </c>
      <c r="F1013" s="4">
        <v>44887</v>
      </c>
      <c r="G1013" s="4">
        <v>44887</v>
      </c>
      <c r="H1013" s="4">
        <v>44887</v>
      </c>
      <c r="I1013" s="4"/>
      <c r="J1013" s="5">
        <f t="shared" si="47"/>
        <v>0</v>
      </c>
      <c r="K1013" s="5">
        <f t="shared" si="47"/>
        <v>0</v>
      </c>
    </row>
    <row r="1014" spans="3:11" x14ac:dyDescent="0.2">
      <c r="C1014" t="s">
        <v>619</v>
      </c>
      <c r="D1014" t="b">
        <f t="shared" ca="1" si="48"/>
        <v>1</v>
      </c>
      <c r="E1014" s="5">
        <f t="shared" si="49"/>
        <v>0</v>
      </c>
      <c r="F1014">
        <v>3</v>
      </c>
      <c r="G1014">
        <v>3</v>
      </c>
      <c r="H1014">
        <v>3</v>
      </c>
      <c r="J1014" s="5">
        <f t="shared" si="47"/>
        <v>0</v>
      </c>
      <c r="K1014" s="5">
        <f t="shared" si="47"/>
        <v>0</v>
      </c>
    </row>
    <row r="1015" spans="3:11" x14ac:dyDescent="0.2">
      <c r="C1015" t="s">
        <v>618</v>
      </c>
      <c r="D1015" t="b">
        <f t="shared" ca="1" si="48"/>
        <v>1</v>
      </c>
      <c r="E1015" s="5">
        <f t="shared" si="49"/>
        <v>0</v>
      </c>
      <c r="F1015">
        <v>53.2331</v>
      </c>
      <c r="G1015">
        <v>53.2331</v>
      </c>
      <c r="H1015">
        <v>53.2331</v>
      </c>
      <c r="J1015" s="5">
        <f t="shared" si="47"/>
        <v>0</v>
      </c>
      <c r="K1015" s="5">
        <f t="shared" si="47"/>
        <v>0</v>
      </c>
    </row>
    <row r="1016" spans="3:11" x14ac:dyDescent="0.2">
      <c r="C1016" t="s">
        <v>617</v>
      </c>
      <c r="D1016" t="b">
        <f t="shared" ca="1" si="48"/>
        <v>1</v>
      </c>
      <c r="E1016" s="5">
        <f t="shared" si="49"/>
        <v>0</v>
      </c>
      <c r="F1016" s="4">
        <v>44685</v>
      </c>
      <c r="G1016" s="4">
        <v>44685</v>
      </c>
      <c r="H1016" s="4">
        <v>44685</v>
      </c>
      <c r="I1016" s="4"/>
      <c r="J1016" s="5">
        <f t="shared" si="47"/>
        <v>0</v>
      </c>
      <c r="K1016" s="5">
        <f t="shared" si="47"/>
        <v>0</v>
      </c>
    </row>
    <row r="1017" spans="3:11" x14ac:dyDescent="0.2">
      <c r="C1017" t="s">
        <v>616</v>
      </c>
      <c r="D1017" t="b">
        <f t="shared" ca="1" si="48"/>
        <v>1</v>
      </c>
      <c r="E1017" s="5">
        <f t="shared" si="49"/>
        <v>0</v>
      </c>
      <c r="F1017">
        <v>4</v>
      </c>
      <c r="G1017">
        <v>4</v>
      </c>
      <c r="H1017">
        <v>4</v>
      </c>
      <c r="J1017" s="5">
        <f t="shared" si="47"/>
        <v>0</v>
      </c>
      <c r="K1017" s="5">
        <f t="shared" si="47"/>
        <v>0</v>
      </c>
    </row>
    <row r="1018" spans="3:11" x14ac:dyDescent="0.2">
      <c r="C1018" t="s">
        <v>615</v>
      </c>
      <c r="D1018" t="b">
        <f t="shared" ca="1" si="48"/>
        <v>1</v>
      </c>
      <c r="E1018" s="5">
        <f t="shared" si="49"/>
        <v>1.302744883466434E-5</v>
      </c>
      <c r="F1018">
        <v>3.83805</v>
      </c>
      <c r="G1018">
        <v>3.8380999999999998</v>
      </c>
      <c r="H1018">
        <v>3.8380999999999998</v>
      </c>
      <c r="J1018" s="5">
        <f t="shared" si="47"/>
        <v>1.302744883466434E-5</v>
      </c>
      <c r="K1018" s="5">
        <f t="shared" si="47"/>
        <v>0</v>
      </c>
    </row>
    <row r="1019" spans="3:11" x14ac:dyDescent="0.2">
      <c r="C1019" t="s">
        <v>614</v>
      </c>
      <c r="D1019" t="b">
        <f t="shared" ca="1" si="48"/>
        <v>1</v>
      </c>
      <c r="E1019" s="5">
        <f t="shared" si="49"/>
        <v>0</v>
      </c>
      <c r="F1019" s="4">
        <v>44836</v>
      </c>
      <c r="G1019" s="4">
        <v>44836</v>
      </c>
      <c r="H1019" s="4">
        <v>44836</v>
      </c>
      <c r="I1019" s="4"/>
      <c r="J1019" s="5">
        <f t="shared" si="47"/>
        <v>0</v>
      </c>
      <c r="K1019" s="5">
        <f t="shared" si="47"/>
        <v>0</v>
      </c>
    </row>
    <row r="1020" spans="3:11" x14ac:dyDescent="0.2">
      <c r="C1020" t="s">
        <v>613</v>
      </c>
      <c r="D1020" t="b">
        <f t="shared" ca="1" si="48"/>
        <v>1</v>
      </c>
      <c r="E1020" s="5">
        <f t="shared" si="49"/>
        <v>0</v>
      </c>
      <c r="F1020">
        <v>23</v>
      </c>
      <c r="G1020">
        <v>23</v>
      </c>
      <c r="H1020">
        <v>23</v>
      </c>
      <c r="J1020" s="5">
        <f t="shared" si="47"/>
        <v>0</v>
      </c>
      <c r="K1020" s="5">
        <f t="shared" si="47"/>
        <v>0</v>
      </c>
    </row>
    <row r="1021" spans="3:11" x14ac:dyDescent="0.2">
      <c r="C1021" t="s">
        <v>612</v>
      </c>
      <c r="D1021" t="b">
        <f t="shared" ca="1" si="48"/>
        <v>1</v>
      </c>
      <c r="E1021" s="5">
        <f t="shared" si="49"/>
        <v>0</v>
      </c>
      <c r="F1021">
        <v>2.4617</v>
      </c>
      <c r="G1021">
        <v>2.4617</v>
      </c>
      <c r="H1021">
        <v>2.4617</v>
      </c>
      <c r="J1021" s="5">
        <f t="shared" si="47"/>
        <v>0</v>
      </c>
      <c r="K1021" s="5">
        <f t="shared" si="47"/>
        <v>0</v>
      </c>
    </row>
    <row r="1022" spans="3:11" x14ac:dyDescent="0.2">
      <c r="C1022" t="s">
        <v>611</v>
      </c>
      <c r="D1022" t="b">
        <f t="shared" ca="1" si="48"/>
        <v>1</v>
      </c>
      <c r="E1022" s="5">
        <f t="shared" si="49"/>
        <v>0</v>
      </c>
      <c r="F1022" s="4">
        <v>44682</v>
      </c>
      <c r="G1022" s="4">
        <v>44682</v>
      </c>
      <c r="H1022" s="4">
        <v>44682</v>
      </c>
      <c r="I1022" s="4"/>
      <c r="J1022" s="5">
        <f t="shared" si="47"/>
        <v>0</v>
      </c>
      <c r="K1022" s="5">
        <f t="shared" si="47"/>
        <v>0</v>
      </c>
    </row>
    <row r="1023" spans="3:11" x14ac:dyDescent="0.2">
      <c r="C1023" t="s">
        <v>610</v>
      </c>
      <c r="D1023" t="b">
        <f t="shared" ca="1" si="48"/>
        <v>1</v>
      </c>
      <c r="E1023" s="5">
        <f t="shared" si="49"/>
        <v>0</v>
      </c>
      <c r="F1023">
        <v>11</v>
      </c>
      <c r="G1023">
        <v>11</v>
      </c>
      <c r="H1023">
        <v>11</v>
      </c>
      <c r="J1023" s="5">
        <f t="shared" si="47"/>
        <v>0</v>
      </c>
      <c r="K1023" s="5">
        <f t="shared" si="47"/>
        <v>0</v>
      </c>
    </row>
    <row r="1024" spans="3:11" x14ac:dyDescent="0.2">
      <c r="C1024" t="s">
        <v>609</v>
      </c>
      <c r="D1024" t="b">
        <f t="shared" ca="1" si="48"/>
        <v>1</v>
      </c>
      <c r="E1024" s="5">
        <f t="shared" si="49"/>
        <v>0</v>
      </c>
      <c r="F1024">
        <v>15.286</v>
      </c>
      <c r="G1024">
        <v>15.286</v>
      </c>
      <c r="H1024">
        <v>15.286</v>
      </c>
      <c r="J1024" s="5">
        <f t="shared" si="47"/>
        <v>0</v>
      </c>
      <c r="K1024" s="5">
        <f t="shared" si="47"/>
        <v>0</v>
      </c>
    </row>
    <row r="1025" spans="3:11" x14ac:dyDescent="0.2">
      <c r="C1025" t="s">
        <v>608</v>
      </c>
      <c r="D1025" t="b">
        <f t="shared" ca="1" si="48"/>
        <v>1</v>
      </c>
      <c r="E1025" s="5">
        <f t="shared" si="49"/>
        <v>0</v>
      </c>
      <c r="F1025" s="4">
        <v>44762</v>
      </c>
      <c r="G1025" s="4">
        <v>44762</v>
      </c>
      <c r="H1025" s="4">
        <v>44762</v>
      </c>
      <c r="I1025" s="4"/>
      <c r="J1025" s="5">
        <f t="shared" si="47"/>
        <v>0</v>
      </c>
      <c r="K1025" s="5">
        <f t="shared" si="47"/>
        <v>0</v>
      </c>
    </row>
    <row r="1026" spans="3:11" x14ac:dyDescent="0.2">
      <c r="C1026" t="s">
        <v>607</v>
      </c>
      <c r="D1026" t="b">
        <f t="shared" ca="1" si="48"/>
        <v>1</v>
      </c>
      <c r="E1026" s="5">
        <f t="shared" si="49"/>
        <v>0</v>
      </c>
      <c r="F1026">
        <v>16</v>
      </c>
      <c r="G1026">
        <v>16</v>
      </c>
      <c r="H1026">
        <v>16</v>
      </c>
      <c r="J1026" s="5">
        <f t="shared" si="47"/>
        <v>0</v>
      </c>
      <c r="K1026" s="5">
        <f t="shared" si="47"/>
        <v>0</v>
      </c>
    </row>
    <row r="1027" spans="3:11" x14ac:dyDescent="0.2">
      <c r="C1027" t="s">
        <v>606</v>
      </c>
      <c r="D1027" t="b">
        <f t="shared" ca="1" si="48"/>
        <v>0</v>
      </c>
      <c r="E1027" s="5">
        <f t="shared" si="49"/>
        <v>1.788957377523001E-4</v>
      </c>
      <c r="F1027">
        <v>8.8319600000000005</v>
      </c>
      <c r="G1027">
        <v>8.8335399999999993</v>
      </c>
      <c r="H1027">
        <v>8.8335399999999993</v>
      </c>
      <c r="J1027" s="5">
        <f t="shared" si="47"/>
        <v>1.788957377523001E-4</v>
      </c>
      <c r="K1027" s="5">
        <f t="shared" si="47"/>
        <v>0</v>
      </c>
    </row>
    <row r="1028" spans="3:11" x14ac:dyDescent="0.2">
      <c r="C1028" t="s">
        <v>605</v>
      </c>
      <c r="D1028" t="b">
        <f t="shared" ca="1" si="48"/>
        <v>1</v>
      </c>
      <c r="E1028" s="5">
        <f t="shared" si="49"/>
        <v>0</v>
      </c>
      <c r="F1028" s="4">
        <v>44916</v>
      </c>
      <c r="G1028" s="4">
        <v>44916</v>
      </c>
      <c r="H1028" s="4">
        <v>44916</v>
      </c>
      <c r="I1028" s="4"/>
      <c r="J1028" s="5">
        <f t="shared" si="47"/>
        <v>0</v>
      </c>
      <c r="K1028" s="5">
        <f t="shared" si="47"/>
        <v>0</v>
      </c>
    </row>
    <row r="1029" spans="3:11" x14ac:dyDescent="0.2">
      <c r="C1029" t="s">
        <v>604</v>
      </c>
      <c r="D1029" t="b">
        <f t="shared" ca="1" si="48"/>
        <v>0</v>
      </c>
      <c r="E1029" s="5">
        <f t="shared" si="49"/>
        <v>1</v>
      </c>
      <c r="F1029">
        <v>1</v>
      </c>
      <c r="G1029">
        <v>0</v>
      </c>
      <c r="H1029">
        <v>0</v>
      </c>
      <c r="J1029" s="5">
        <f t="shared" si="47"/>
        <v>1</v>
      </c>
      <c r="K1029" s="5" t="e">
        <f t="shared" si="47"/>
        <v>#DIV/0!</v>
      </c>
    </row>
    <row r="1030" spans="3:11" x14ac:dyDescent="0.2">
      <c r="C1030" t="s">
        <v>603</v>
      </c>
      <c r="D1030" t="b">
        <f t="shared" ca="1" si="48"/>
        <v>1</v>
      </c>
      <c r="E1030" s="5">
        <f t="shared" si="49"/>
        <v>0</v>
      </c>
      <c r="F1030">
        <v>7.0875199999999999E-3</v>
      </c>
      <c r="G1030">
        <v>7.0875199999999999E-3</v>
      </c>
      <c r="H1030">
        <v>7.0875199999999999E-3</v>
      </c>
      <c r="J1030" s="5">
        <f t="shared" si="47"/>
        <v>0</v>
      </c>
      <c r="K1030" s="5">
        <f t="shared" si="47"/>
        <v>0</v>
      </c>
    </row>
    <row r="1031" spans="3:11" x14ac:dyDescent="0.2">
      <c r="C1031" t="s">
        <v>602</v>
      </c>
      <c r="D1031" t="b">
        <f t="shared" ca="1" si="48"/>
        <v>1</v>
      </c>
      <c r="E1031" s="5">
        <f t="shared" si="49"/>
        <v>0</v>
      </c>
      <c r="F1031" s="4">
        <v>44762</v>
      </c>
      <c r="G1031" s="4">
        <v>44762</v>
      </c>
      <c r="H1031" s="4">
        <v>44762</v>
      </c>
      <c r="I1031" s="4"/>
      <c r="J1031" s="5">
        <f t="shared" ref="J1031:K1094" si="50">ABS(F1031-G1031)/ABS(F1031)</f>
        <v>0</v>
      </c>
      <c r="K1031" s="5">
        <f t="shared" si="50"/>
        <v>0</v>
      </c>
    </row>
    <row r="1032" spans="3:11" x14ac:dyDescent="0.2">
      <c r="C1032" t="s">
        <v>601</v>
      </c>
      <c r="D1032" t="b">
        <f t="shared" ca="1" si="48"/>
        <v>1</v>
      </c>
      <c r="E1032" s="5">
        <f t="shared" si="49"/>
        <v>0</v>
      </c>
      <c r="F1032">
        <v>16</v>
      </c>
      <c r="G1032">
        <v>16</v>
      </c>
      <c r="H1032">
        <v>16</v>
      </c>
      <c r="J1032" s="5">
        <f t="shared" si="50"/>
        <v>0</v>
      </c>
      <c r="K1032" s="5">
        <f t="shared" si="50"/>
        <v>0</v>
      </c>
    </row>
    <row r="1033" spans="3:11" x14ac:dyDescent="0.2">
      <c r="C1033" t="s">
        <v>600</v>
      </c>
      <c r="D1033" t="b">
        <f t="shared" ca="1" si="48"/>
        <v>0</v>
      </c>
      <c r="E1033" s="5">
        <f t="shared" si="49"/>
        <v>7.8013787616019006E-4</v>
      </c>
      <c r="F1033">
        <v>6.4347600000000003E-3</v>
      </c>
      <c r="G1033">
        <v>6.4297399999999998E-3</v>
      </c>
      <c r="H1033">
        <v>6.4297399999999998E-3</v>
      </c>
      <c r="J1033" s="5">
        <f t="shared" si="50"/>
        <v>7.8013787616019006E-4</v>
      </c>
      <c r="K1033" s="5">
        <f t="shared" si="50"/>
        <v>0</v>
      </c>
    </row>
    <row r="1034" spans="3:11" x14ac:dyDescent="0.2">
      <c r="C1034" t="s">
        <v>599</v>
      </c>
      <c r="D1034" t="b">
        <f t="shared" ca="1" si="48"/>
        <v>1</v>
      </c>
      <c r="E1034" s="5">
        <f t="shared" si="49"/>
        <v>0</v>
      </c>
      <c r="F1034" s="4">
        <v>44875</v>
      </c>
      <c r="G1034" s="4">
        <v>44875</v>
      </c>
      <c r="H1034" s="4">
        <v>44875</v>
      </c>
      <c r="I1034" s="4"/>
      <c r="J1034" s="5">
        <f t="shared" si="50"/>
        <v>0</v>
      </c>
      <c r="K1034" s="5">
        <f t="shared" si="50"/>
        <v>0</v>
      </c>
    </row>
    <row r="1035" spans="3:11" x14ac:dyDescent="0.2">
      <c r="C1035" t="s">
        <v>598</v>
      </c>
      <c r="D1035" t="b">
        <f t="shared" ca="1" si="48"/>
        <v>1</v>
      </c>
      <c r="E1035" s="5">
        <f t="shared" si="49"/>
        <v>0</v>
      </c>
      <c r="F1035">
        <v>5</v>
      </c>
      <c r="G1035">
        <v>5</v>
      </c>
      <c r="H1035">
        <v>5</v>
      </c>
      <c r="J1035" s="5">
        <f t="shared" si="50"/>
        <v>0</v>
      </c>
      <c r="K1035" s="5">
        <f t="shared" si="50"/>
        <v>0</v>
      </c>
    </row>
    <row r="1036" spans="3:11" x14ac:dyDescent="0.2">
      <c r="C1036" t="s">
        <v>597</v>
      </c>
      <c r="D1036" t="b">
        <f t="shared" ca="1" si="48"/>
        <v>0</v>
      </c>
      <c r="E1036" s="5">
        <f t="shared" si="49"/>
        <v>7.6406330377948946E-4</v>
      </c>
      <c r="F1036">
        <v>92.531599999999997</v>
      </c>
      <c r="G1036">
        <v>92.460899999999995</v>
      </c>
      <c r="H1036">
        <v>92.460899999999995</v>
      </c>
      <c r="J1036" s="5">
        <f t="shared" si="50"/>
        <v>7.6406330377948946E-4</v>
      </c>
      <c r="K1036" s="5">
        <f t="shared" si="50"/>
        <v>0</v>
      </c>
    </row>
    <row r="1037" spans="3:11" x14ac:dyDescent="0.2">
      <c r="C1037" t="s">
        <v>596</v>
      </c>
      <c r="D1037" t="b">
        <f t="shared" ca="1" si="48"/>
        <v>1</v>
      </c>
      <c r="E1037" s="5">
        <f t="shared" si="49"/>
        <v>0</v>
      </c>
      <c r="F1037" s="4">
        <v>44915</v>
      </c>
      <c r="G1037" s="4">
        <v>44915</v>
      </c>
      <c r="H1037" s="4">
        <v>44915</v>
      </c>
      <c r="I1037" s="4"/>
      <c r="J1037" s="5">
        <f t="shared" si="50"/>
        <v>0</v>
      </c>
      <c r="K1037" s="5">
        <f t="shared" si="50"/>
        <v>0</v>
      </c>
    </row>
    <row r="1038" spans="3:11" x14ac:dyDescent="0.2">
      <c r="C1038" t="s">
        <v>595</v>
      </c>
      <c r="D1038" t="b">
        <f t="shared" ca="1" si="48"/>
        <v>1</v>
      </c>
      <c r="E1038" s="5">
        <f t="shared" si="49"/>
        <v>0</v>
      </c>
      <c r="F1038">
        <v>11</v>
      </c>
      <c r="G1038">
        <v>11</v>
      </c>
      <c r="H1038">
        <v>11</v>
      </c>
      <c r="J1038" s="5">
        <f t="shared" si="50"/>
        <v>0</v>
      </c>
      <c r="K1038" s="5">
        <f t="shared" si="50"/>
        <v>0</v>
      </c>
    </row>
    <row r="1039" spans="3:11" x14ac:dyDescent="0.2">
      <c r="C1039" t="s">
        <v>594</v>
      </c>
      <c r="D1039" t="b">
        <f t="shared" ca="1" si="48"/>
        <v>0</v>
      </c>
      <c r="E1039" s="5">
        <f t="shared" si="49"/>
        <v>1.0300640709709141E-3</v>
      </c>
      <c r="F1039">
        <v>60.87</v>
      </c>
      <c r="G1039">
        <v>60.807299999999998</v>
      </c>
      <c r="H1039">
        <v>60.807299999999998</v>
      </c>
      <c r="J1039" s="5">
        <f t="shared" si="50"/>
        <v>1.0300640709709141E-3</v>
      </c>
      <c r="K1039" s="5">
        <f t="shared" si="50"/>
        <v>0</v>
      </c>
    </row>
    <row r="1040" spans="3:11" x14ac:dyDescent="0.2">
      <c r="C1040" t="s">
        <v>593</v>
      </c>
      <c r="D1040" t="b">
        <f t="shared" ca="1" si="48"/>
        <v>1</v>
      </c>
      <c r="E1040" s="5">
        <f t="shared" si="49"/>
        <v>0</v>
      </c>
      <c r="F1040" s="4">
        <v>44893</v>
      </c>
      <c r="G1040" s="4">
        <v>44893</v>
      </c>
      <c r="H1040" s="4">
        <v>44893</v>
      </c>
      <c r="I1040" s="4"/>
      <c r="J1040" s="5">
        <f t="shared" si="50"/>
        <v>0</v>
      </c>
      <c r="K1040" s="5">
        <f t="shared" si="50"/>
        <v>0</v>
      </c>
    </row>
    <row r="1041" spans="3:11" x14ac:dyDescent="0.2">
      <c r="C1041" t="s">
        <v>592</v>
      </c>
      <c r="D1041" t="b">
        <f t="shared" ca="1" si="48"/>
        <v>1</v>
      </c>
      <c r="E1041" s="5" t="e">
        <f t="shared" si="49"/>
        <v>#DIV/0!</v>
      </c>
      <c r="F1041">
        <v>0</v>
      </c>
      <c r="G1041">
        <v>0</v>
      </c>
      <c r="H1041">
        <v>0</v>
      </c>
      <c r="J1041" s="5" t="e">
        <f t="shared" si="50"/>
        <v>#DIV/0!</v>
      </c>
      <c r="K1041" s="5" t="e">
        <f t="shared" si="50"/>
        <v>#DIV/0!</v>
      </c>
    </row>
    <row r="1042" spans="3:11" x14ac:dyDescent="0.2">
      <c r="C1042" t="s">
        <v>591</v>
      </c>
      <c r="D1042" t="b">
        <f t="shared" ref="D1042:D1105" ca="1" si="51">IF(CELL("format",F1042)="G",IF(ABS(F1042-G1042) &lt;= ABS(F1042*B$3),TRUE,FALSE),IF(F1042=G1042,TRUE,FALSE))</f>
        <v>1</v>
      </c>
      <c r="E1042" s="5">
        <f t="shared" ref="E1042:E1105" si="52">ABS(F1042-G1042)/ABS(F1042)</f>
        <v>9.9823810974285511E-6</v>
      </c>
      <c r="F1042">
        <v>4.0070600000000001</v>
      </c>
      <c r="G1042">
        <v>4.0071000000000003</v>
      </c>
      <c r="H1042">
        <v>4.0071000000000003</v>
      </c>
      <c r="J1042" s="5">
        <f t="shared" si="50"/>
        <v>9.9823810974285511E-6</v>
      </c>
      <c r="K1042" s="5">
        <f t="shared" si="50"/>
        <v>0</v>
      </c>
    </row>
    <row r="1043" spans="3:11" x14ac:dyDescent="0.2">
      <c r="C1043" t="s">
        <v>590</v>
      </c>
      <c r="D1043" t="b">
        <f t="shared" ca="1" si="51"/>
        <v>1</v>
      </c>
      <c r="E1043" s="5">
        <f t="shared" si="52"/>
        <v>0</v>
      </c>
      <c r="F1043" s="4">
        <v>44836</v>
      </c>
      <c r="G1043" s="4">
        <v>44836</v>
      </c>
      <c r="H1043" s="4">
        <v>44836</v>
      </c>
      <c r="I1043" s="4"/>
      <c r="J1043" s="5">
        <f t="shared" si="50"/>
        <v>0</v>
      </c>
      <c r="K1043" s="5">
        <f t="shared" si="50"/>
        <v>0</v>
      </c>
    </row>
    <row r="1044" spans="3:11" x14ac:dyDescent="0.2">
      <c r="C1044" t="s">
        <v>589</v>
      </c>
      <c r="D1044" t="b">
        <f t="shared" ca="1" si="51"/>
        <v>1</v>
      </c>
      <c r="E1044" s="5">
        <f t="shared" si="52"/>
        <v>0</v>
      </c>
      <c r="F1044">
        <v>23</v>
      </c>
      <c r="G1044">
        <v>23</v>
      </c>
      <c r="H1044">
        <v>23</v>
      </c>
      <c r="J1044" s="5">
        <f t="shared" si="50"/>
        <v>0</v>
      </c>
      <c r="K1044" s="5">
        <f t="shared" si="50"/>
        <v>0</v>
      </c>
    </row>
    <row r="1045" spans="3:11" x14ac:dyDescent="0.2">
      <c r="C1045" t="s">
        <v>588</v>
      </c>
      <c r="D1045" t="b">
        <f t="shared" ca="1" si="51"/>
        <v>1</v>
      </c>
      <c r="E1045" s="5">
        <f t="shared" si="52"/>
        <v>0</v>
      </c>
      <c r="F1045">
        <v>2.5773600000000001</v>
      </c>
      <c r="G1045">
        <v>2.5773600000000001</v>
      </c>
      <c r="H1045">
        <v>2.5773600000000001</v>
      </c>
      <c r="J1045" s="5">
        <f t="shared" si="50"/>
        <v>0</v>
      </c>
      <c r="K1045" s="5">
        <f t="shared" si="50"/>
        <v>0</v>
      </c>
    </row>
    <row r="1046" spans="3:11" x14ac:dyDescent="0.2">
      <c r="C1046" t="s">
        <v>587</v>
      </c>
      <c r="D1046" t="b">
        <f t="shared" ca="1" si="51"/>
        <v>1</v>
      </c>
      <c r="E1046" s="5">
        <f t="shared" si="52"/>
        <v>0</v>
      </c>
      <c r="F1046" s="4">
        <v>44682</v>
      </c>
      <c r="G1046" s="4">
        <v>44682</v>
      </c>
      <c r="H1046" s="4">
        <v>44682</v>
      </c>
      <c r="I1046" s="4"/>
      <c r="J1046" s="5">
        <f t="shared" si="50"/>
        <v>0</v>
      </c>
      <c r="K1046" s="5">
        <f t="shared" si="50"/>
        <v>0</v>
      </c>
    </row>
    <row r="1047" spans="3:11" x14ac:dyDescent="0.2">
      <c r="C1047" t="s">
        <v>586</v>
      </c>
      <c r="D1047" t="b">
        <f t="shared" ca="1" si="51"/>
        <v>1</v>
      </c>
      <c r="E1047" s="5">
        <f t="shared" si="52"/>
        <v>0</v>
      </c>
      <c r="F1047">
        <v>11</v>
      </c>
      <c r="G1047">
        <v>11</v>
      </c>
      <c r="H1047">
        <v>11</v>
      </c>
      <c r="J1047" s="5">
        <f t="shared" si="50"/>
        <v>0</v>
      </c>
      <c r="K1047" s="5">
        <f t="shared" si="50"/>
        <v>0</v>
      </c>
    </row>
    <row r="1048" spans="3:11" x14ac:dyDescent="0.2">
      <c r="C1048" t="s">
        <v>585</v>
      </c>
      <c r="D1048" t="b">
        <f t="shared" ca="1" si="51"/>
        <v>1</v>
      </c>
      <c r="E1048" s="5">
        <f t="shared" si="52"/>
        <v>4.9986003918786206E-6</v>
      </c>
      <c r="F1048">
        <v>20.005600000000001</v>
      </c>
      <c r="G1048">
        <v>20.005500000000001</v>
      </c>
      <c r="H1048">
        <v>20.005500000000001</v>
      </c>
      <c r="J1048" s="5">
        <f t="shared" si="50"/>
        <v>4.9986003918786206E-6</v>
      </c>
      <c r="K1048" s="5">
        <f t="shared" si="50"/>
        <v>0</v>
      </c>
    </row>
    <row r="1049" spans="3:11" x14ac:dyDescent="0.2">
      <c r="C1049" t="s">
        <v>584</v>
      </c>
      <c r="D1049" t="b">
        <f t="shared" ca="1" si="51"/>
        <v>0</v>
      </c>
      <c r="E1049" s="5">
        <f t="shared" si="52"/>
        <v>1.1197706709665861E-4</v>
      </c>
      <c r="F1049" s="4">
        <v>44652</v>
      </c>
      <c r="G1049" s="4">
        <v>44657</v>
      </c>
      <c r="H1049" s="4">
        <v>44657</v>
      </c>
      <c r="I1049" s="4"/>
      <c r="J1049" s="5">
        <f t="shared" si="50"/>
        <v>1.1197706709665861E-4</v>
      </c>
      <c r="K1049" s="5">
        <f t="shared" si="50"/>
        <v>0</v>
      </c>
    </row>
    <row r="1050" spans="3:11" x14ac:dyDescent="0.2">
      <c r="C1050" t="s">
        <v>583</v>
      </c>
      <c r="D1050" t="b">
        <f t="shared" ca="1" si="51"/>
        <v>0</v>
      </c>
      <c r="E1050" s="5">
        <f t="shared" si="52"/>
        <v>0.17391304347826086</v>
      </c>
      <c r="F1050">
        <v>23</v>
      </c>
      <c r="G1050">
        <v>19</v>
      </c>
      <c r="H1050">
        <v>19</v>
      </c>
      <c r="J1050" s="5">
        <f t="shared" si="50"/>
        <v>0.17391304347826086</v>
      </c>
      <c r="K1050" s="5">
        <f t="shared" si="50"/>
        <v>0</v>
      </c>
    </row>
    <row r="1051" spans="3:11" x14ac:dyDescent="0.2">
      <c r="C1051" t="s">
        <v>582</v>
      </c>
      <c r="D1051" t="b">
        <f t="shared" ca="1" si="51"/>
        <v>0</v>
      </c>
      <c r="E1051" s="5">
        <f t="shared" si="52"/>
        <v>1.7764865144441632E-4</v>
      </c>
      <c r="F1051">
        <v>8.8939599999999999</v>
      </c>
      <c r="G1051">
        <v>8.8955400000000004</v>
      </c>
      <c r="H1051">
        <v>8.8955400000000004</v>
      </c>
      <c r="J1051" s="5">
        <f t="shared" si="50"/>
        <v>1.7764865144441632E-4</v>
      </c>
      <c r="K1051" s="5">
        <f t="shared" si="50"/>
        <v>0</v>
      </c>
    </row>
    <row r="1052" spans="3:11" x14ac:dyDescent="0.2">
      <c r="C1052" t="s">
        <v>581</v>
      </c>
      <c r="D1052" t="b">
        <f t="shared" ca="1" si="51"/>
        <v>1</v>
      </c>
      <c r="E1052" s="5">
        <f t="shared" si="52"/>
        <v>0</v>
      </c>
      <c r="F1052" s="4">
        <v>44916</v>
      </c>
      <c r="G1052" s="4">
        <v>44916</v>
      </c>
      <c r="H1052" s="4">
        <v>44916</v>
      </c>
      <c r="I1052" s="4"/>
      <c r="J1052" s="5">
        <f t="shared" si="50"/>
        <v>0</v>
      </c>
      <c r="K1052" s="5">
        <f t="shared" si="50"/>
        <v>0</v>
      </c>
    </row>
    <row r="1053" spans="3:11" x14ac:dyDescent="0.2">
      <c r="C1053" t="s">
        <v>580</v>
      </c>
      <c r="D1053" t="b">
        <f t="shared" ca="1" si="51"/>
        <v>0</v>
      </c>
      <c r="E1053" s="5">
        <f t="shared" si="52"/>
        <v>1</v>
      </c>
      <c r="F1053">
        <v>1</v>
      </c>
      <c r="G1053">
        <v>0</v>
      </c>
      <c r="H1053">
        <v>0</v>
      </c>
      <c r="J1053" s="5">
        <f t="shared" si="50"/>
        <v>1</v>
      </c>
      <c r="K1053" s="5" t="e">
        <f t="shared" si="50"/>
        <v>#DIV/0!</v>
      </c>
    </row>
    <row r="1054" spans="3:11" x14ac:dyDescent="0.2">
      <c r="C1054" t="s">
        <v>579</v>
      </c>
      <c r="D1054" t="b">
        <f t="shared" ca="1" si="51"/>
        <v>1</v>
      </c>
      <c r="E1054" s="5">
        <f t="shared" si="52"/>
        <v>0</v>
      </c>
      <c r="F1054">
        <v>8.9495100000000008E-3</v>
      </c>
      <c r="G1054">
        <v>8.9495100000000008E-3</v>
      </c>
      <c r="H1054">
        <v>8.9495100000000008E-3</v>
      </c>
      <c r="J1054" s="5">
        <f t="shared" si="50"/>
        <v>0</v>
      </c>
      <c r="K1054" s="5">
        <f t="shared" si="50"/>
        <v>0</v>
      </c>
    </row>
    <row r="1055" spans="3:11" x14ac:dyDescent="0.2">
      <c r="C1055" t="s">
        <v>578</v>
      </c>
      <c r="D1055" t="b">
        <f t="shared" ca="1" si="51"/>
        <v>1</v>
      </c>
      <c r="E1055" s="5">
        <f t="shared" si="52"/>
        <v>0</v>
      </c>
      <c r="F1055" s="4">
        <v>44762</v>
      </c>
      <c r="G1055" s="4">
        <v>44762</v>
      </c>
      <c r="H1055" s="4">
        <v>44762</v>
      </c>
      <c r="I1055" s="4"/>
      <c r="J1055" s="5">
        <f t="shared" si="50"/>
        <v>0</v>
      </c>
      <c r="K1055" s="5">
        <f t="shared" si="50"/>
        <v>0</v>
      </c>
    </row>
    <row r="1056" spans="3:11" x14ac:dyDescent="0.2">
      <c r="C1056" t="s">
        <v>577</v>
      </c>
      <c r="D1056" t="b">
        <f t="shared" ca="1" si="51"/>
        <v>1</v>
      </c>
      <c r="E1056" s="5">
        <f t="shared" si="52"/>
        <v>0</v>
      </c>
      <c r="F1056">
        <v>15</v>
      </c>
      <c r="G1056">
        <v>15</v>
      </c>
      <c r="H1056">
        <v>15</v>
      </c>
      <c r="J1056" s="5">
        <f t="shared" si="50"/>
        <v>0</v>
      </c>
      <c r="K1056" s="5">
        <f t="shared" si="50"/>
        <v>0</v>
      </c>
    </row>
    <row r="1057" spans="3:11" x14ac:dyDescent="0.2">
      <c r="C1057" t="s">
        <v>576</v>
      </c>
      <c r="D1057" t="b">
        <f t="shared" ca="1" si="51"/>
        <v>1</v>
      </c>
      <c r="E1057" s="5">
        <f t="shared" si="52"/>
        <v>1.860294727926105E-5</v>
      </c>
      <c r="F1057">
        <v>6.9881400000000003E-3</v>
      </c>
      <c r="G1057">
        <v>6.9880100000000002E-3</v>
      </c>
      <c r="H1057">
        <v>6.9880100000000002E-3</v>
      </c>
      <c r="J1057" s="5">
        <f t="shared" si="50"/>
        <v>1.860294727926105E-5</v>
      </c>
      <c r="K1057" s="5">
        <f t="shared" si="50"/>
        <v>0</v>
      </c>
    </row>
    <row r="1058" spans="3:11" x14ac:dyDescent="0.2">
      <c r="C1058" t="s">
        <v>575</v>
      </c>
      <c r="D1058" t="b">
        <f t="shared" ca="1" si="51"/>
        <v>1</v>
      </c>
      <c r="E1058" s="5">
        <f t="shared" si="52"/>
        <v>0</v>
      </c>
      <c r="F1058" s="4">
        <v>44915</v>
      </c>
      <c r="G1058" s="4">
        <v>44915</v>
      </c>
      <c r="H1058" s="4">
        <v>44915</v>
      </c>
      <c r="I1058" s="4"/>
      <c r="J1058" s="5">
        <f t="shared" si="50"/>
        <v>0</v>
      </c>
      <c r="K1058" s="5">
        <f t="shared" si="50"/>
        <v>0</v>
      </c>
    </row>
    <row r="1059" spans="3:11" x14ac:dyDescent="0.2">
      <c r="C1059" t="s">
        <v>574</v>
      </c>
      <c r="D1059" t="b">
        <f t="shared" ca="1" si="51"/>
        <v>1</v>
      </c>
      <c r="E1059" s="5">
        <f t="shared" si="52"/>
        <v>0</v>
      </c>
      <c r="F1059">
        <v>12</v>
      </c>
      <c r="G1059">
        <v>12</v>
      </c>
      <c r="H1059">
        <v>12</v>
      </c>
      <c r="J1059" s="5">
        <f t="shared" si="50"/>
        <v>0</v>
      </c>
      <c r="K1059" s="5">
        <f t="shared" si="50"/>
        <v>0</v>
      </c>
    </row>
    <row r="1060" spans="3:11" x14ac:dyDescent="0.2">
      <c r="C1060" t="s">
        <v>573</v>
      </c>
      <c r="D1060" t="b">
        <f t="shared" ca="1" si="51"/>
        <v>1</v>
      </c>
      <c r="E1060" s="5">
        <f t="shared" si="52"/>
        <v>0</v>
      </c>
      <c r="F1060">
        <v>100</v>
      </c>
      <c r="G1060">
        <v>100</v>
      </c>
      <c r="H1060">
        <v>100</v>
      </c>
      <c r="J1060" s="5">
        <f t="shared" si="50"/>
        <v>0</v>
      </c>
      <c r="K1060" s="5">
        <f t="shared" si="50"/>
        <v>0</v>
      </c>
    </row>
    <row r="1061" spans="3:11" x14ac:dyDescent="0.2">
      <c r="C1061" t="s">
        <v>572</v>
      </c>
      <c r="D1061" t="b">
        <f t="shared" ca="1" si="51"/>
        <v>1</v>
      </c>
      <c r="E1061" s="5">
        <f t="shared" si="52"/>
        <v>0</v>
      </c>
      <c r="F1061" s="4">
        <v>44911</v>
      </c>
      <c r="G1061" s="4">
        <v>44911</v>
      </c>
      <c r="H1061" s="4">
        <v>44911</v>
      </c>
      <c r="I1061" s="4"/>
      <c r="J1061" s="5">
        <f t="shared" si="50"/>
        <v>0</v>
      </c>
      <c r="K1061" s="5">
        <f t="shared" si="50"/>
        <v>0</v>
      </c>
    </row>
    <row r="1062" spans="3:11" x14ac:dyDescent="0.2">
      <c r="C1062" t="s">
        <v>571</v>
      </c>
      <c r="D1062" t="b">
        <f t="shared" ca="1" si="51"/>
        <v>1</v>
      </c>
      <c r="E1062" s="5">
        <f t="shared" si="52"/>
        <v>0</v>
      </c>
      <c r="F1062">
        <v>5</v>
      </c>
      <c r="G1062">
        <v>5</v>
      </c>
      <c r="H1062">
        <v>5</v>
      </c>
      <c r="J1062" s="5">
        <f t="shared" si="50"/>
        <v>0</v>
      </c>
      <c r="K1062" s="5">
        <f t="shared" si="50"/>
        <v>0</v>
      </c>
    </row>
    <row r="1063" spans="3:11" x14ac:dyDescent="0.2">
      <c r="C1063" t="s">
        <v>570</v>
      </c>
      <c r="D1063" t="b">
        <f t="shared" ca="1" si="51"/>
        <v>1</v>
      </c>
      <c r="E1063" s="5">
        <f t="shared" si="52"/>
        <v>5.2103595842089309E-6</v>
      </c>
      <c r="F1063">
        <v>57.577599999999997</v>
      </c>
      <c r="G1063">
        <v>57.577300000000001</v>
      </c>
      <c r="H1063">
        <v>57.577300000000001</v>
      </c>
      <c r="J1063" s="5">
        <f t="shared" si="50"/>
        <v>5.2103595842089309E-6</v>
      </c>
      <c r="K1063" s="5">
        <f t="shared" si="50"/>
        <v>0</v>
      </c>
    </row>
    <row r="1064" spans="3:11" x14ac:dyDescent="0.2">
      <c r="C1064" t="s">
        <v>569</v>
      </c>
      <c r="D1064" t="b">
        <f t="shared" ca="1" si="51"/>
        <v>1</v>
      </c>
      <c r="E1064" s="5">
        <f t="shared" si="52"/>
        <v>0</v>
      </c>
      <c r="F1064" s="4">
        <v>44681</v>
      </c>
      <c r="G1064" s="4">
        <v>44681</v>
      </c>
      <c r="H1064" s="4">
        <v>44681</v>
      </c>
      <c r="I1064" s="4"/>
      <c r="J1064" s="5">
        <f t="shared" si="50"/>
        <v>0</v>
      </c>
      <c r="K1064" s="5">
        <f t="shared" si="50"/>
        <v>0</v>
      </c>
    </row>
    <row r="1065" spans="3:11" x14ac:dyDescent="0.2">
      <c r="C1065" t="s">
        <v>568</v>
      </c>
      <c r="D1065" t="b">
        <f t="shared" ca="1" si="51"/>
        <v>1</v>
      </c>
      <c r="E1065" s="5">
        <f t="shared" si="52"/>
        <v>0</v>
      </c>
      <c r="F1065">
        <v>4</v>
      </c>
      <c r="G1065">
        <v>4</v>
      </c>
      <c r="H1065">
        <v>4</v>
      </c>
      <c r="J1065" s="5">
        <f t="shared" si="50"/>
        <v>0</v>
      </c>
      <c r="K1065" s="5">
        <f t="shared" si="50"/>
        <v>0</v>
      </c>
    </row>
    <row r="1066" spans="3:11" x14ac:dyDescent="0.2">
      <c r="C1066" t="s">
        <v>567</v>
      </c>
      <c r="D1066" t="b">
        <f t="shared" ca="1" si="51"/>
        <v>1</v>
      </c>
      <c r="E1066" s="5">
        <f t="shared" si="52"/>
        <v>0</v>
      </c>
      <c r="F1066">
        <v>4.5479599999999998</v>
      </c>
      <c r="G1066">
        <v>4.5479599999999998</v>
      </c>
      <c r="H1066">
        <v>4.5479599999999998</v>
      </c>
      <c r="J1066" s="5">
        <f t="shared" si="50"/>
        <v>0</v>
      </c>
      <c r="K1066" s="5">
        <f t="shared" si="50"/>
        <v>0</v>
      </c>
    </row>
    <row r="1067" spans="3:11" x14ac:dyDescent="0.2">
      <c r="C1067" t="s">
        <v>566</v>
      </c>
      <c r="D1067" t="b">
        <f t="shared" ca="1" si="51"/>
        <v>1</v>
      </c>
      <c r="E1067" s="5">
        <f t="shared" si="52"/>
        <v>0</v>
      </c>
      <c r="F1067" s="4">
        <v>44836</v>
      </c>
      <c r="G1067" s="4">
        <v>44836</v>
      </c>
      <c r="H1067" s="4">
        <v>44836</v>
      </c>
      <c r="I1067" s="4"/>
      <c r="J1067" s="5">
        <f t="shared" si="50"/>
        <v>0</v>
      </c>
      <c r="K1067" s="5">
        <f t="shared" si="50"/>
        <v>0</v>
      </c>
    </row>
    <row r="1068" spans="3:11" x14ac:dyDescent="0.2">
      <c r="C1068" t="s">
        <v>565</v>
      </c>
      <c r="D1068" t="b">
        <f t="shared" ca="1" si="51"/>
        <v>1</v>
      </c>
      <c r="E1068" s="5">
        <f t="shared" si="52"/>
        <v>0</v>
      </c>
      <c r="F1068">
        <v>23</v>
      </c>
      <c r="G1068">
        <v>23</v>
      </c>
      <c r="H1068">
        <v>23</v>
      </c>
      <c r="J1068" s="5">
        <f t="shared" si="50"/>
        <v>0</v>
      </c>
      <c r="K1068" s="5">
        <f t="shared" si="50"/>
        <v>0</v>
      </c>
    </row>
    <row r="1069" spans="3:11" x14ac:dyDescent="0.2">
      <c r="C1069" t="s">
        <v>564</v>
      </c>
      <c r="D1069" t="b">
        <f t="shared" ca="1" si="51"/>
        <v>1</v>
      </c>
      <c r="E1069" s="5">
        <f t="shared" si="52"/>
        <v>0</v>
      </c>
      <c r="F1069">
        <v>2.93207</v>
      </c>
      <c r="G1069">
        <v>2.93207</v>
      </c>
      <c r="H1069">
        <v>2.93207</v>
      </c>
      <c r="J1069" s="5">
        <f t="shared" si="50"/>
        <v>0</v>
      </c>
      <c r="K1069" s="5">
        <f t="shared" si="50"/>
        <v>0</v>
      </c>
    </row>
    <row r="1070" spans="3:11" x14ac:dyDescent="0.2">
      <c r="C1070" t="s">
        <v>563</v>
      </c>
      <c r="D1070" t="b">
        <f t="shared" ca="1" si="51"/>
        <v>1</v>
      </c>
      <c r="E1070" s="5">
        <f t="shared" si="52"/>
        <v>0</v>
      </c>
      <c r="F1070" s="4">
        <v>44682</v>
      </c>
      <c r="G1070" s="4">
        <v>44682</v>
      </c>
      <c r="H1070" s="4">
        <v>44682</v>
      </c>
      <c r="I1070" s="4"/>
      <c r="J1070" s="5">
        <f t="shared" si="50"/>
        <v>0</v>
      </c>
      <c r="K1070" s="5">
        <f t="shared" si="50"/>
        <v>0</v>
      </c>
    </row>
    <row r="1071" spans="3:11" x14ac:dyDescent="0.2">
      <c r="C1071" t="s">
        <v>562</v>
      </c>
      <c r="D1071" t="b">
        <f t="shared" ca="1" si="51"/>
        <v>1</v>
      </c>
      <c r="E1071" s="5">
        <f t="shared" si="52"/>
        <v>0</v>
      </c>
      <c r="F1071">
        <v>11</v>
      </c>
      <c r="G1071">
        <v>11</v>
      </c>
      <c r="H1071">
        <v>11</v>
      </c>
      <c r="J1071" s="5">
        <f t="shared" si="50"/>
        <v>0</v>
      </c>
      <c r="K1071" s="5">
        <f t="shared" si="50"/>
        <v>0</v>
      </c>
    </row>
    <row r="1072" spans="3:11" x14ac:dyDescent="0.2">
      <c r="C1072" t="s">
        <v>561</v>
      </c>
      <c r="D1072" t="b">
        <f t="shared" ca="1" si="51"/>
        <v>1</v>
      </c>
      <c r="E1072" s="5">
        <f t="shared" si="52"/>
        <v>0</v>
      </c>
      <c r="F1072">
        <v>35.000300000000003</v>
      </c>
      <c r="G1072">
        <v>35.000300000000003</v>
      </c>
      <c r="H1072">
        <v>35.000300000000003</v>
      </c>
      <c r="J1072" s="5">
        <f t="shared" si="50"/>
        <v>0</v>
      </c>
      <c r="K1072" s="5">
        <f t="shared" si="50"/>
        <v>0</v>
      </c>
    </row>
    <row r="1073" spans="3:11" x14ac:dyDescent="0.2">
      <c r="C1073" t="s">
        <v>560</v>
      </c>
      <c r="D1073" t="b">
        <f t="shared" ca="1" si="51"/>
        <v>1</v>
      </c>
      <c r="E1073" s="5">
        <f t="shared" si="52"/>
        <v>0</v>
      </c>
      <c r="F1073" s="4">
        <v>44756</v>
      </c>
      <c r="G1073" s="4">
        <v>44756</v>
      </c>
      <c r="H1073" s="4">
        <v>44756</v>
      </c>
      <c r="I1073" s="4"/>
      <c r="J1073" s="5">
        <f t="shared" si="50"/>
        <v>0</v>
      </c>
      <c r="K1073" s="5">
        <f t="shared" si="50"/>
        <v>0</v>
      </c>
    </row>
    <row r="1074" spans="3:11" x14ac:dyDescent="0.2">
      <c r="C1074" t="s">
        <v>559</v>
      </c>
      <c r="D1074" t="b">
        <f t="shared" ca="1" si="51"/>
        <v>1</v>
      </c>
      <c r="E1074" s="5">
        <f t="shared" si="52"/>
        <v>0</v>
      </c>
      <c r="F1074">
        <v>18</v>
      </c>
      <c r="G1074">
        <v>18</v>
      </c>
      <c r="H1074">
        <v>18</v>
      </c>
      <c r="J1074" s="5">
        <f t="shared" si="50"/>
        <v>0</v>
      </c>
      <c r="K1074" s="5">
        <f t="shared" si="50"/>
        <v>0</v>
      </c>
    </row>
    <row r="1075" spans="3:11" x14ac:dyDescent="0.2">
      <c r="C1075" t="s">
        <v>558</v>
      </c>
      <c r="D1075" t="b">
        <f t="shared" ca="1" si="51"/>
        <v>1</v>
      </c>
      <c r="E1075" s="5">
        <f t="shared" si="52"/>
        <v>9.9857425786677373E-6</v>
      </c>
      <c r="F1075">
        <v>9.0128500000000003</v>
      </c>
      <c r="G1075">
        <v>9.0129400000000004</v>
      </c>
      <c r="H1075">
        <v>9.0129400000000004</v>
      </c>
      <c r="J1075" s="5">
        <f t="shared" si="50"/>
        <v>9.9857425786677373E-6</v>
      </c>
      <c r="K1075" s="5">
        <f t="shared" si="50"/>
        <v>0</v>
      </c>
    </row>
    <row r="1076" spans="3:11" x14ac:dyDescent="0.2">
      <c r="C1076" t="s">
        <v>557</v>
      </c>
      <c r="D1076" t="b">
        <f t="shared" ca="1" si="51"/>
        <v>1</v>
      </c>
      <c r="E1076" s="5">
        <f t="shared" si="52"/>
        <v>0</v>
      </c>
      <c r="F1076" s="4">
        <v>44916</v>
      </c>
      <c r="G1076" s="4">
        <v>44916</v>
      </c>
      <c r="H1076" s="4">
        <v>44916</v>
      </c>
      <c r="I1076" s="4"/>
      <c r="J1076" s="5">
        <f t="shared" si="50"/>
        <v>0</v>
      </c>
      <c r="K1076" s="5">
        <f t="shared" si="50"/>
        <v>0</v>
      </c>
    </row>
    <row r="1077" spans="3:11" x14ac:dyDescent="0.2">
      <c r="C1077" t="s">
        <v>556</v>
      </c>
      <c r="D1077" t="b">
        <f t="shared" ca="1" si="51"/>
        <v>0</v>
      </c>
      <c r="E1077" s="5">
        <f t="shared" si="52"/>
        <v>1</v>
      </c>
      <c r="F1077">
        <v>2</v>
      </c>
      <c r="G1077">
        <v>0</v>
      </c>
      <c r="H1077">
        <v>0</v>
      </c>
      <c r="J1077" s="5">
        <f t="shared" si="50"/>
        <v>1</v>
      </c>
      <c r="K1077" s="5" t="e">
        <f t="shared" si="50"/>
        <v>#DIV/0!</v>
      </c>
    </row>
    <row r="1078" spans="3:11" x14ac:dyDescent="0.2">
      <c r="C1078" t="s">
        <v>555</v>
      </c>
      <c r="D1078" t="b">
        <f t="shared" ca="1" si="51"/>
        <v>1</v>
      </c>
      <c r="E1078" s="5">
        <f t="shared" si="52"/>
        <v>0</v>
      </c>
      <c r="F1078">
        <v>1.7770500000000002E-2</v>
      </c>
      <c r="G1078">
        <v>1.7770500000000002E-2</v>
      </c>
      <c r="H1078">
        <v>1.7770500000000002E-2</v>
      </c>
      <c r="J1078" s="5">
        <f t="shared" si="50"/>
        <v>0</v>
      </c>
      <c r="K1078" s="5">
        <f t="shared" si="50"/>
        <v>0</v>
      </c>
    </row>
    <row r="1079" spans="3:11" x14ac:dyDescent="0.2">
      <c r="C1079" t="s">
        <v>554</v>
      </c>
      <c r="D1079" t="b">
        <f t="shared" ca="1" si="51"/>
        <v>1</v>
      </c>
      <c r="E1079" s="5">
        <f t="shared" si="52"/>
        <v>0</v>
      </c>
      <c r="F1079" s="4">
        <v>44762</v>
      </c>
      <c r="G1079" s="4">
        <v>44762</v>
      </c>
      <c r="H1079" s="4">
        <v>44762</v>
      </c>
      <c r="I1079" s="4"/>
      <c r="J1079" s="5">
        <f t="shared" si="50"/>
        <v>0</v>
      </c>
      <c r="K1079" s="5">
        <f t="shared" si="50"/>
        <v>0</v>
      </c>
    </row>
    <row r="1080" spans="3:11" x14ac:dyDescent="0.2">
      <c r="C1080" t="s">
        <v>553</v>
      </c>
      <c r="D1080" t="b">
        <f t="shared" ca="1" si="51"/>
        <v>1</v>
      </c>
      <c r="E1080" s="5">
        <f t="shared" si="52"/>
        <v>0</v>
      </c>
      <c r="F1080">
        <v>15</v>
      </c>
      <c r="G1080">
        <v>15</v>
      </c>
      <c r="H1080">
        <v>15</v>
      </c>
      <c r="J1080" s="5">
        <f t="shared" si="50"/>
        <v>0</v>
      </c>
      <c r="K1080" s="5">
        <f t="shared" si="50"/>
        <v>0</v>
      </c>
    </row>
    <row r="1081" spans="3:11" x14ac:dyDescent="0.2">
      <c r="C1081" t="s">
        <v>552</v>
      </c>
      <c r="D1081" t="b">
        <f t="shared" ca="1" si="51"/>
        <v>0</v>
      </c>
      <c r="E1081" s="5">
        <f t="shared" si="52"/>
        <v>1.4475107073218696E-4</v>
      </c>
      <c r="F1081">
        <v>7.0465800000000002E-3</v>
      </c>
      <c r="G1081">
        <v>7.0455600000000002E-3</v>
      </c>
      <c r="H1081">
        <v>7.0455600000000002E-3</v>
      </c>
      <c r="J1081" s="5">
        <f t="shared" si="50"/>
        <v>1.4475107073218696E-4</v>
      </c>
      <c r="K1081" s="5">
        <f t="shared" si="50"/>
        <v>0</v>
      </c>
    </row>
    <row r="1082" spans="3:11" x14ac:dyDescent="0.2">
      <c r="C1082" t="s">
        <v>551</v>
      </c>
      <c r="D1082" t="b">
        <f t="shared" ca="1" si="51"/>
        <v>1</v>
      </c>
      <c r="E1082" s="5">
        <f t="shared" si="52"/>
        <v>0</v>
      </c>
      <c r="F1082" s="4">
        <v>44915</v>
      </c>
      <c r="G1082" s="4">
        <v>44915</v>
      </c>
      <c r="H1082" s="4">
        <v>44915</v>
      </c>
      <c r="I1082" s="4"/>
      <c r="J1082" s="5">
        <f t="shared" si="50"/>
        <v>0</v>
      </c>
      <c r="K1082" s="5">
        <f t="shared" si="50"/>
        <v>0</v>
      </c>
    </row>
    <row r="1083" spans="3:11" x14ac:dyDescent="0.2">
      <c r="C1083" t="s">
        <v>550</v>
      </c>
      <c r="D1083" t="b">
        <f t="shared" ca="1" si="51"/>
        <v>1</v>
      </c>
      <c r="E1083" s="5">
        <f t="shared" si="52"/>
        <v>0</v>
      </c>
      <c r="F1083">
        <v>12</v>
      </c>
      <c r="G1083">
        <v>12</v>
      </c>
      <c r="H1083">
        <v>12</v>
      </c>
      <c r="J1083" s="5">
        <f t="shared" si="50"/>
        <v>0</v>
      </c>
      <c r="K1083" s="5">
        <f t="shared" si="50"/>
        <v>0</v>
      </c>
    </row>
    <row r="1084" spans="3:11" x14ac:dyDescent="0.2">
      <c r="C1084" t="s">
        <v>549</v>
      </c>
      <c r="D1084" t="b">
        <f t="shared" ca="1" si="51"/>
        <v>1</v>
      </c>
      <c r="E1084" s="5">
        <f t="shared" si="52"/>
        <v>0</v>
      </c>
      <c r="F1084">
        <v>100</v>
      </c>
      <c r="G1084">
        <v>100</v>
      </c>
      <c r="H1084">
        <v>100</v>
      </c>
      <c r="J1084" s="5">
        <f t="shared" si="50"/>
        <v>0</v>
      </c>
      <c r="K1084" s="5">
        <f t="shared" si="50"/>
        <v>0</v>
      </c>
    </row>
    <row r="1085" spans="3:11" x14ac:dyDescent="0.2">
      <c r="C1085" t="s">
        <v>548</v>
      </c>
      <c r="D1085" t="b">
        <f t="shared" ca="1" si="51"/>
        <v>1</v>
      </c>
      <c r="E1085" s="5">
        <f t="shared" si="52"/>
        <v>0</v>
      </c>
      <c r="F1085" s="4">
        <v>44878</v>
      </c>
      <c r="G1085" s="4">
        <v>44878</v>
      </c>
      <c r="H1085" s="4">
        <v>44878</v>
      </c>
      <c r="I1085" s="4"/>
      <c r="J1085" s="5">
        <f t="shared" si="50"/>
        <v>0</v>
      </c>
      <c r="K1085" s="5">
        <f t="shared" si="50"/>
        <v>0</v>
      </c>
    </row>
    <row r="1086" spans="3:11" x14ac:dyDescent="0.2">
      <c r="C1086" t="s">
        <v>547</v>
      </c>
      <c r="D1086" t="b">
        <f t="shared" ca="1" si="51"/>
        <v>1</v>
      </c>
      <c r="E1086" s="5">
        <f t="shared" si="52"/>
        <v>0</v>
      </c>
      <c r="F1086">
        <v>2</v>
      </c>
      <c r="G1086">
        <v>2</v>
      </c>
      <c r="H1086">
        <v>2</v>
      </c>
      <c r="J1086" s="5">
        <f t="shared" si="50"/>
        <v>0</v>
      </c>
      <c r="K1086" s="5">
        <f t="shared" si="50"/>
        <v>0</v>
      </c>
    </row>
    <row r="1087" spans="3:11" x14ac:dyDescent="0.2">
      <c r="C1087" t="s">
        <v>546</v>
      </c>
      <c r="D1087" t="b">
        <f t="shared" ca="1" si="51"/>
        <v>1</v>
      </c>
      <c r="E1087" s="5">
        <f t="shared" si="52"/>
        <v>0</v>
      </c>
      <c r="F1087">
        <v>45.8033</v>
      </c>
      <c r="G1087">
        <v>45.8033</v>
      </c>
      <c r="H1087">
        <v>45.8033</v>
      </c>
      <c r="J1087" s="5">
        <f t="shared" si="50"/>
        <v>0</v>
      </c>
      <c r="K1087" s="5">
        <f t="shared" si="50"/>
        <v>0</v>
      </c>
    </row>
    <row r="1088" spans="3:11" x14ac:dyDescent="0.2">
      <c r="C1088" t="s">
        <v>545</v>
      </c>
      <c r="D1088" t="b">
        <f t="shared" ca="1" si="51"/>
        <v>1</v>
      </c>
      <c r="E1088" s="5">
        <f t="shared" si="52"/>
        <v>0</v>
      </c>
      <c r="F1088" s="4">
        <v>44839</v>
      </c>
      <c r="G1088" s="4">
        <v>44839</v>
      </c>
      <c r="H1088" s="4">
        <v>44839</v>
      </c>
      <c r="I1088" s="4"/>
      <c r="J1088" s="5">
        <f t="shared" si="50"/>
        <v>0</v>
      </c>
      <c r="K1088" s="5">
        <f t="shared" si="50"/>
        <v>0</v>
      </c>
    </row>
    <row r="1089" spans="3:11" x14ac:dyDescent="0.2">
      <c r="C1089" t="s">
        <v>544</v>
      </c>
      <c r="D1089" t="b">
        <f t="shared" ca="1" si="51"/>
        <v>1</v>
      </c>
      <c r="E1089" s="5">
        <f t="shared" si="52"/>
        <v>0</v>
      </c>
      <c r="F1089">
        <v>2</v>
      </c>
      <c r="G1089">
        <v>2</v>
      </c>
      <c r="H1089">
        <v>2</v>
      </c>
      <c r="J1089" s="5">
        <f t="shared" si="50"/>
        <v>0</v>
      </c>
      <c r="K1089" s="5">
        <f t="shared" si="50"/>
        <v>0</v>
      </c>
    </row>
    <row r="1090" spans="3:11" x14ac:dyDescent="0.2">
      <c r="C1090" t="s">
        <v>543</v>
      </c>
      <c r="D1090" t="b">
        <f t="shared" ca="1" si="51"/>
        <v>1</v>
      </c>
      <c r="E1090" s="5">
        <f t="shared" si="52"/>
        <v>0</v>
      </c>
      <c r="F1090">
        <v>3.8229000000000002</v>
      </c>
      <c r="G1090">
        <v>3.8229000000000002</v>
      </c>
      <c r="H1090">
        <v>3.8229000000000002</v>
      </c>
      <c r="J1090" s="5">
        <f t="shared" si="50"/>
        <v>0</v>
      </c>
      <c r="K1090" s="5">
        <f t="shared" si="50"/>
        <v>0</v>
      </c>
    </row>
    <row r="1091" spans="3:11" x14ac:dyDescent="0.2">
      <c r="C1091" t="s">
        <v>542</v>
      </c>
      <c r="D1091" t="b">
        <f t="shared" ca="1" si="51"/>
        <v>1</v>
      </c>
      <c r="E1091" s="5">
        <f t="shared" si="52"/>
        <v>0</v>
      </c>
      <c r="F1091" s="4">
        <v>44836</v>
      </c>
      <c r="G1091" s="4">
        <v>44836</v>
      </c>
      <c r="H1091" s="4">
        <v>44836</v>
      </c>
      <c r="I1091" s="4"/>
      <c r="J1091" s="5">
        <f t="shared" si="50"/>
        <v>0</v>
      </c>
      <c r="K1091" s="5">
        <f t="shared" si="50"/>
        <v>0</v>
      </c>
    </row>
    <row r="1092" spans="3:11" x14ac:dyDescent="0.2">
      <c r="C1092" t="s">
        <v>541</v>
      </c>
      <c r="D1092" t="b">
        <f t="shared" ca="1" si="51"/>
        <v>1</v>
      </c>
      <c r="E1092" s="5">
        <f t="shared" si="52"/>
        <v>0</v>
      </c>
      <c r="F1092">
        <v>23</v>
      </c>
      <c r="G1092">
        <v>23</v>
      </c>
      <c r="H1092">
        <v>23</v>
      </c>
      <c r="J1092" s="5">
        <f t="shared" si="50"/>
        <v>0</v>
      </c>
      <c r="K1092" s="5">
        <f t="shared" si="50"/>
        <v>0</v>
      </c>
    </row>
    <row r="1093" spans="3:11" x14ac:dyDescent="0.2">
      <c r="C1093" t="s">
        <v>540</v>
      </c>
      <c r="D1093" t="b">
        <f t="shared" ca="1" si="51"/>
        <v>1</v>
      </c>
      <c r="E1093" s="5">
        <f t="shared" si="52"/>
        <v>0</v>
      </c>
      <c r="F1093">
        <v>2.4932099999999999</v>
      </c>
      <c r="G1093">
        <v>2.4932099999999999</v>
      </c>
      <c r="H1093">
        <v>2.4932099999999999</v>
      </c>
      <c r="J1093" s="5">
        <f t="shared" si="50"/>
        <v>0</v>
      </c>
      <c r="K1093" s="5">
        <f t="shared" si="50"/>
        <v>0</v>
      </c>
    </row>
    <row r="1094" spans="3:11" x14ac:dyDescent="0.2">
      <c r="C1094" t="s">
        <v>539</v>
      </c>
      <c r="D1094" t="b">
        <f t="shared" ca="1" si="51"/>
        <v>1</v>
      </c>
      <c r="E1094" s="5">
        <f t="shared" si="52"/>
        <v>0</v>
      </c>
      <c r="F1094" s="4">
        <v>44682</v>
      </c>
      <c r="G1094" s="4">
        <v>44682</v>
      </c>
      <c r="H1094" s="4">
        <v>44682</v>
      </c>
      <c r="I1094" s="4"/>
      <c r="J1094" s="5">
        <f t="shared" si="50"/>
        <v>0</v>
      </c>
      <c r="K1094" s="5">
        <f t="shared" si="50"/>
        <v>0</v>
      </c>
    </row>
    <row r="1095" spans="3:11" x14ac:dyDescent="0.2">
      <c r="C1095" t="s">
        <v>538</v>
      </c>
      <c r="D1095" t="b">
        <f t="shared" ca="1" si="51"/>
        <v>1</v>
      </c>
      <c r="E1095" s="5">
        <f t="shared" si="52"/>
        <v>0</v>
      </c>
      <c r="F1095">
        <v>11</v>
      </c>
      <c r="G1095">
        <v>11</v>
      </c>
      <c r="H1095">
        <v>11</v>
      </c>
      <c r="J1095" s="5">
        <f t="shared" ref="J1095:K1158" si="53">ABS(F1095-G1095)/ABS(F1095)</f>
        <v>0</v>
      </c>
      <c r="K1095" s="5">
        <f t="shared" si="53"/>
        <v>0</v>
      </c>
    </row>
    <row r="1096" spans="3:11" x14ac:dyDescent="0.2">
      <c r="C1096" t="s">
        <v>537</v>
      </c>
      <c r="D1096" t="b">
        <f t="shared" ca="1" si="51"/>
        <v>1</v>
      </c>
      <c r="E1096" s="5">
        <f t="shared" si="52"/>
        <v>0</v>
      </c>
      <c r="F1096">
        <v>25.0075</v>
      </c>
      <c r="G1096">
        <v>25.0075</v>
      </c>
      <c r="H1096">
        <v>25.0075</v>
      </c>
      <c r="J1096" s="5">
        <f t="shared" si="53"/>
        <v>0</v>
      </c>
      <c r="K1096" s="5">
        <f t="shared" si="53"/>
        <v>0</v>
      </c>
    </row>
    <row r="1097" spans="3:11" x14ac:dyDescent="0.2">
      <c r="C1097" t="s">
        <v>536</v>
      </c>
      <c r="D1097" t="b">
        <f t="shared" ca="1" si="51"/>
        <v>1</v>
      </c>
      <c r="E1097" s="5">
        <f t="shared" si="52"/>
        <v>0</v>
      </c>
      <c r="F1097" s="4">
        <v>44656</v>
      </c>
      <c r="G1097" s="4">
        <v>44656</v>
      </c>
      <c r="H1097" s="4">
        <v>44656</v>
      </c>
      <c r="I1097" s="4"/>
      <c r="J1097" s="5">
        <f t="shared" si="53"/>
        <v>0</v>
      </c>
      <c r="K1097" s="5">
        <f t="shared" si="53"/>
        <v>0</v>
      </c>
    </row>
    <row r="1098" spans="3:11" x14ac:dyDescent="0.2">
      <c r="C1098" t="s">
        <v>535</v>
      </c>
      <c r="D1098" t="b">
        <f t="shared" ca="1" si="51"/>
        <v>1</v>
      </c>
      <c r="E1098" s="5">
        <f t="shared" si="52"/>
        <v>0</v>
      </c>
      <c r="F1098">
        <v>19</v>
      </c>
      <c r="G1098">
        <v>19</v>
      </c>
      <c r="H1098">
        <v>19</v>
      </c>
      <c r="J1098" s="5">
        <f t="shared" si="53"/>
        <v>0</v>
      </c>
      <c r="K1098" s="5">
        <f t="shared" si="53"/>
        <v>0</v>
      </c>
    </row>
    <row r="1099" spans="3:11" x14ac:dyDescent="0.2">
      <c r="C1099" t="s">
        <v>534</v>
      </c>
      <c r="D1099" t="b">
        <f t="shared" ca="1" si="51"/>
        <v>1</v>
      </c>
      <c r="E1099" s="5">
        <f t="shared" si="52"/>
        <v>1.7906846347064698E-5</v>
      </c>
      <c r="F1099">
        <v>8.9351299999999991</v>
      </c>
      <c r="G1099">
        <v>8.9352900000000002</v>
      </c>
      <c r="H1099">
        <v>8.9352900000000002</v>
      </c>
      <c r="J1099" s="5">
        <f t="shared" si="53"/>
        <v>1.7906846347064698E-5</v>
      </c>
      <c r="K1099" s="5">
        <f t="shared" si="53"/>
        <v>0</v>
      </c>
    </row>
    <row r="1100" spans="3:11" x14ac:dyDescent="0.2">
      <c r="C1100" t="s">
        <v>533</v>
      </c>
      <c r="D1100" t="b">
        <f t="shared" ca="1" si="51"/>
        <v>1</v>
      </c>
      <c r="E1100" s="5">
        <f t="shared" si="52"/>
        <v>0</v>
      </c>
      <c r="F1100" s="4">
        <v>44916</v>
      </c>
      <c r="G1100" s="4">
        <v>44916</v>
      </c>
      <c r="H1100" s="4">
        <v>44916</v>
      </c>
      <c r="I1100" s="4"/>
      <c r="J1100" s="5">
        <f t="shared" si="53"/>
        <v>0</v>
      </c>
      <c r="K1100" s="5">
        <f t="shared" si="53"/>
        <v>0</v>
      </c>
    </row>
    <row r="1101" spans="3:11" x14ac:dyDescent="0.2">
      <c r="C1101" t="s">
        <v>532</v>
      </c>
      <c r="D1101" t="b">
        <f t="shared" ca="1" si="51"/>
        <v>0</v>
      </c>
      <c r="E1101" s="5">
        <f t="shared" si="52"/>
        <v>1</v>
      </c>
      <c r="F1101">
        <v>2</v>
      </c>
      <c r="G1101">
        <v>0</v>
      </c>
      <c r="H1101">
        <v>0</v>
      </c>
      <c r="J1101" s="5">
        <f t="shared" si="53"/>
        <v>1</v>
      </c>
      <c r="K1101" s="5" t="e">
        <f t="shared" si="53"/>
        <v>#DIV/0!</v>
      </c>
    </row>
    <row r="1102" spans="3:11" x14ac:dyDescent="0.2">
      <c r="C1102" t="s">
        <v>531</v>
      </c>
      <c r="D1102" t="b">
        <f t="shared" ca="1" si="51"/>
        <v>1</v>
      </c>
      <c r="E1102" s="5">
        <f t="shared" si="52"/>
        <v>2.3441052784558996E-5</v>
      </c>
      <c r="F1102">
        <v>6.39903E-3</v>
      </c>
      <c r="G1102">
        <v>6.39918E-3</v>
      </c>
      <c r="H1102">
        <v>6.39918E-3</v>
      </c>
      <c r="J1102" s="5">
        <f t="shared" si="53"/>
        <v>2.3441052784558996E-5</v>
      </c>
      <c r="K1102" s="5">
        <f t="shared" si="53"/>
        <v>0</v>
      </c>
    </row>
    <row r="1103" spans="3:11" x14ac:dyDescent="0.2">
      <c r="C1103" t="s">
        <v>530</v>
      </c>
      <c r="D1103" t="b">
        <f t="shared" ca="1" si="51"/>
        <v>0</v>
      </c>
      <c r="E1103" s="5">
        <f t="shared" si="52"/>
        <v>4.4780797993820249E-5</v>
      </c>
      <c r="F1103" s="4">
        <v>44662</v>
      </c>
      <c r="G1103" s="4">
        <v>44664</v>
      </c>
      <c r="H1103" s="4">
        <v>44664</v>
      </c>
      <c r="I1103" s="4"/>
      <c r="J1103" s="5">
        <f t="shared" si="53"/>
        <v>4.4780797993820249E-5</v>
      </c>
      <c r="K1103" s="5">
        <f t="shared" si="53"/>
        <v>0</v>
      </c>
    </row>
    <row r="1104" spans="3:11" x14ac:dyDescent="0.2">
      <c r="C1104" t="s">
        <v>529</v>
      </c>
      <c r="D1104" t="b">
        <f t="shared" ca="1" si="51"/>
        <v>0</v>
      </c>
      <c r="E1104" s="5">
        <f t="shared" si="52"/>
        <v>0.63636363636363635</v>
      </c>
      <c r="F1104">
        <v>22</v>
      </c>
      <c r="G1104">
        <v>8</v>
      </c>
      <c r="H1104">
        <v>6</v>
      </c>
      <c r="J1104" s="5">
        <f t="shared" si="53"/>
        <v>0.63636363636363635</v>
      </c>
      <c r="K1104" s="5">
        <f t="shared" si="53"/>
        <v>0.25</v>
      </c>
    </row>
    <row r="1105" spans="3:11" x14ac:dyDescent="0.2">
      <c r="C1105" t="s">
        <v>528</v>
      </c>
      <c r="D1105" t="b">
        <f t="shared" ca="1" si="51"/>
        <v>1</v>
      </c>
      <c r="E1105" s="5">
        <f t="shared" si="52"/>
        <v>1.8825980480620177E-5</v>
      </c>
      <c r="F1105">
        <v>6.3741700000000002E-3</v>
      </c>
      <c r="G1105">
        <v>6.3742900000000003E-3</v>
      </c>
      <c r="H1105">
        <v>6.3742900000000003E-3</v>
      </c>
      <c r="J1105" s="5">
        <f t="shared" si="53"/>
        <v>1.8825980480620177E-5</v>
      </c>
      <c r="K1105" s="5">
        <f t="shared" si="53"/>
        <v>0</v>
      </c>
    </row>
    <row r="1106" spans="3:11" x14ac:dyDescent="0.2">
      <c r="C1106" t="s">
        <v>527</v>
      </c>
      <c r="D1106" t="b">
        <f t="shared" ref="D1106:D1169" ca="1" si="54">IF(CELL("format",F1106)="G",IF(ABS(F1106-G1106) &lt;= ABS(F1106*B$3),TRUE,FALSE),IF(F1106=G1106,TRUE,FALSE))</f>
        <v>1</v>
      </c>
      <c r="E1106" s="5">
        <f t="shared" ref="E1106:E1169" si="55">ABS(F1106-G1106)/ABS(F1106)</f>
        <v>0</v>
      </c>
      <c r="F1106" s="4">
        <v>44851</v>
      </c>
      <c r="G1106" s="4">
        <v>44851</v>
      </c>
      <c r="H1106" s="4">
        <v>44851</v>
      </c>
      <c r="I1106" s="4"/>
      <c r="J1106" s="5">
        <f t="shared" si="53"/>
        <v>0</v>
      </c>
      <c r="K1106" s="5">
        <f t="shared" si="53"/>
        <v>0</v>
      </c>
    </row>
    <row r="1107" spans="3:11" x14ac:dyDescent="0.2">
      <c r="C1107" t="s">
        <v>526</v>
      </c>
      <c r="D1107" t="b">
        <f t="shared" ca="1" si="54"/>
        <v>1</v>
      </c>
      <c r="E1107" s="5">
        <f t="shared" si="55"/>
        <v>0</v>
      </c>
      <c r="F1107">
        <v>10</v>
      </c>
      <c r="G1107">
        <v>10</v>
      </c>
      <c r="H1107">
        <v>10</v>
      </c>
      <c r="J1107" s="5">
        <f t="shared" si="53"/>
        <v>0</v>
      </c>
      <c r="K1107" s="5">
        <f t="shared" si="53"/>
        <v>0</v>
      </c>
    </row>
    <row r="1108" spans="3:11" x14ac:dyDescent="0.2">
      <c r="C1108" t="s">
        <v>525</v>
      </c>
      <c r="D1108" t="b">
        <f t="shared" ca="1" si="54"/>
        <v>0</v>
      </c>
      <c r="E1108" s="5">
        <f t="shared" si="55"/>
        <v>1.3953912534234078E-4</v>
      </c>
      <c r="F1108">
        <v>91.013900000000007</v>
      </c>
      <c r="G1108">
        <v>91.026600000000002</v>
      </c>
      <c r="H1108">
        <v>91.026600000000002</v>
      </c>
      <c r="J1108" s="5">
        <f t="shared" si="53"/>
        <v>1.3953912534234078E-4</v>
      </c>
      <c r="K1108" s="5">
        <f t="shared" si="53"/>
        <v>0</v>
      </c>
    </row>
    <row r="1109" spans="3:11" x14ac:dyDescent="0.2">
      <c r="C1109" t="s">
        <v>524</v>
      </c>
      <c r="D1109" t="b">
        <f t="shared" ca="1" si="54"/>
        <v>1</v>
      </c>
      <c r="E1109" s="5">
        <f t="shared" si="55"/>
        <v>0</v>
      </c>
      <c r="F1109" s="4">
        <v>44915</v>
      </c>
      <c r="G1109" s="4">
        <v>44915</v>
      </c>
      <c r="H1109" s="4">
        <v>44915</v>
      </c>
      <c r="I1109" s="4"/>
      <c r="J1109" s="5">
        <f t="shared" si="53"/>
        <v>0</v>
      </c>
      <c r="K1109" s="5">
        <f t="shared" si="53"/>
        <v>0</v>
      </c>
    </row>
    <row r="1110" spans="3:11" x14ac:dyDescent="0.2">
      <c r="C1110" t="s">
        <v>523</v>
      </c>
      <c r="D1110" t="b">
        <f t="shared" ca="1" si="54"/>
        <v>1</v>
      </c>
      <c r="E1110" s="5">
        <f t="shared" si="55"/>
        <v>0</v>
      </c>
      <c r="F1110">
        <v>11</v>
      </c>
      <c r="G1110">
        <v>11</v>
      </c>
      <c r="H1110">
        <v>11</v>
      </c>
      <c r="J1110" s="5">
        <f t="shared" si="53"/>
        <v>0</v>
      </c>
      <c r="K1110" s="5">
        <f t="shared" si="53"/>
        <v>0</v>
      </c>
    </row>
    <row r="1111" spans="3:11" x14ac:dyDescent="0.2">
      <c r="C1111" t="s">
        <v>522</v>
      </c>
      <c r="D1111" t="b">
        <f t="shared" ca="1" si="54"/>
        <v>1</v>
      </c>
      <c r="E1111" s="5">
        <f t="shared" si="55"/>
        <v>1.2419351833998837E-5</v>
      </c>
      <c r="F1111">
        <v>32.207799999999999</v>
      </c>
      <c r="G1111">
        <v>32.208199999999998</v>
      </c>
      <c r="H1111">
        <v>32.208199999999998</v>
      </c>
      <c r="J1111" s="5">
        <f t="shared" si="53"/>
        <v>1.2419351833998837E-5</v>
      </c>
      <c r="K1111" s="5">
        <f t="shared" si="53"/>
        <v>0</v>
      </c>
    </row>
    <row r="1112" spans="3:11" x14ac:dyDescent="0.2">
      <c r="C1112" t="s">
        <v>521</v>
      </c>
      <c r="D1112" t="b">
        <f t="shared" ca="1" si="54"/>
        <v>1</v>
      </c>
      <c r="E1112" s="5">
        <f t="shared" si="55"/>
        <v>0</v>
      </c>
      <c r="F1112" s="4">
        <v>44669</v>
      </c>
      <c r="G1112" s="4">
        <v>44669</v>
      </c>
      <c r="H1112" s="4">
        <v>44669</v>
      </c>
      <c r="I1112" s="4"/>
      <c r="J1112" s="5">
        <f t="shared" si="53"/>
        <v>0</v>
      </c>
      <c r="K1112" s="5">
        <f t="shared" si="53"/>
        <v>0</v>
      </c>
    </row>
    <row r="1113" spans="3:11" x14ac:dyDescent="0.2">
      <c r="C1113" t="s">
        <v>520</v>
      </c>
      <c r="D1113" t="b">
        <f t="shared" ca="1" si="54"/>
        <v>1</v>
      </c>
      <c r="E1113" s="5">
        <f t="shared" si="55"/>
        <v>0</v>
      </c>
      <c r="F1113">
        <v>19</v>
      </c>
      <c r="G1113">
        <v>19</v>
      </c>
      <c r="H1113">
        <v>19</v>
      </c>
      <c r="J1113" s="5">
        <f t="shared" si="53"/>
        <v>0</v>
      </c>
      <c r="K1113" s="5">
        <f t="shared" si="53"/>
        <v>0</v>
      </c>
    </row>
    <row r="1114" spans="3:11" x14ac:dyDescent="0.2">
      <c r="C1114" t="s">
        <v>519</v>
      </c>
      <c r="D1114" t="b">
        <f t="shared" ca="1" si="54"/>
        <v>1</v>
      </c>
      <c r="E1114" s="5">
        <f t="shared" si="55"/>
        <v>1.7299342048342719E-5</v>
      </c>
      <c r="F1114">
        <v>3.46834</v>
      </c>
      <c r="G1114">
        <v>3.4683999999999999</v>
      </c>
      <c r="H1114">
        <v>3.4683999999999999</v>
      </c>
      <c r="J1114" s="5">
        <f t="shared" si="53"/>
        <v>1.7299342048342719E-5</v>
      </c>
      <c r="K1114" s="5">
        <f t="shared" si="53"/>
        <v>0</v>
      </c>
    </row>
    <row r="1115" spans="3:11" x14ac:dyDescent="0.2">
      <c r="C1115" t="s">
        <v>518</v>
      </c>
      <c r="D1115" t="b">
        <f t="shared" ca="1" si="54"/>
        <v>1</v>
      </c>
      <c r="E1115" s="5">
        <f t="shared" si="55"/>
        <v>0</v>
      </c>
      <c r="F1115" s="4">
        <v>44836</v>
      </c>
      <c r="G1115" s="4">
        <v>44836</v>
      </c>
      <c r="H1115" s="4">
        <v>44836</v>
      </c>
      <c r="I1115" s="4"/>
      <c r="J1115" s="5">
        <f t="shared" si="53"/>
        <v>0</v>
      </c>
      <c r="K1115" s="5">
        <f t="shared" si="53"/>
        <v>0</v>
      </c>
    </row>
    <row r="1116" spans="3:11" x14ac:dyDescent="0.2">
      <c r="C1116" t="s">
        <v>517</v>
      </c>
      <c r="D1116" t="b">
        <f t="shared" ca="1" si="54"/>
        <v>1</v>
      </c>
      <c r="E1116" s="5">
        <f t="shared" si="55"/>
        <v>0</v>
      </c>
      <c r="F1116">
        <v>23</v>
      </c>
      <c r="G1116">
        <v>23</v>
      </c>
      <c r="H1116">
        <v>23</v>
      </c>
      <c r="J1116" s="5">
        <f t="shared" si="53"/>
        <v>0</v>
      </c>
      <c r="K1116" s="5">
        <f t="shared" si="53"/>
        <v>0</v>
      </c>
    </row>
    <row r="1117" spans="3:11" x14ac:dyDescent="0.2">
      <c r="C1117" t="s">
        <v>516</v>
      </c>
      <c r="D1117" t="b">
        <f t="shared" ca="1" si="54"/>
        <v>1</v>
      </c>
      <c r="E1117" s="5">
        <f t="shared" si="55"/>
        <v>0</v>
      </c>
      <c r="F1117">
        <v>2.2786200000000001</v>
      </c>
      <c r="G1117">
        <v>2.2786200000000001</v>
      </c>
      <c r="H1117">
        <v>2.2786200000000001</v>
      </c>
      <c r="J1117" s="5">
        <f t="shared" si="53"/>
        <v>0</v>
      </c>
      <c r="K1117" s="5">
        <f t="shared" si="53"/>
        <v>0</v>
      </c>
    </row>
    <row r="1118" spans="3:11" x14ac:dyDescent="0.2">
      <c r="C1118" t="s">
        <v>515</v>
      </c>
      <c r="D1118" t="b">
        <f t="shared" ca="1" si="54"/>
        <v>1</v>
      </c>
      <c r="E1118" s="5">
        <f t="shared" si="55"/>
        <v>0</v>
      </c>
      <c r="F1118" s="4">
        <v>44682</v>
      </c>
      <c r="G1118" s="4">
        <v>44682</v>
      </c>
      <c r="H1118" s="4">
        <v>44682</v>
      </c>
      <c r="I1118" s="4"/>
      <c r="J1118" s="5">
        <f t="shared" si="53"/>
        <v>0</v>
      </c>
      <c r="K1118" s="5">
        <f t="shared" si="53"/>
        <v>0</v>
      </c>
    </row>
    <row r="1119" spans="3:11" x14ac:dyDescent="0.2">
      <c r="C1119" t="s">
        <v>514</v>
      </c>
      <c r="D1119" t="b">
        <f t="shared" ca="1" si="54"/>
        <v>1</v>
      </c>
      <c r="E1119" s="5">
        <f t="shared" si="55"/>
        <v>0</v>
      </c>
      <c r="F1119">
        <v>11</v>
      </c>
      <c r="G1119">
        <v>11</v>
      </c>
      <c r="H1119">
        <v>11</v>
      </c>
      <c r="J1119" s="5">
        <f t="shared" si="53"/>
        <v>0</v>
      </c>
      <c r="K1119" s="5">
        <f t="shared" si="53"/>
        <v>0</v>
      </c>
    </row>
    <row r="1120" spans="3:11" x14ac:dyDescent="0.2">
      <c r="C1120" t="s">
        <v>513</v>
      </c>
      <c r="D1120" t="b">
        <f t="shared" ca="1" si="54"/>
        <v>1</v>
      </c>
      <c r="E1120" s="5">
        <f t="shared" si="55"/>
        <v>0</v>
      </c>
      <c r="F1120">
        <v>15.007199999999999</v>
      </c>
      <c r="G1120">
        <v>15.007199999999999</v>
      </c>
      <c r="H1120">
        <v>15.007199999999999</v>
      </c>
      <c r="J1120" s="5">
        <f t="shared" si="53"/>
        <v>0</v>
      </c>
      <c r="K1120" s="5">
        <f t="shared" si="53"/>
        <v>0</v>
      </c>
    </row>
    <row r="1121" spans="3:11" x14ac:dyDescent="0.2">
      <c r="C1121" t="s">
        <v>512</v>
      </c>
      <c r="D1121" t="b">
        <f t="shared" ca="1" si="54"/>
        <v>1</v>
      </c>
      <c r="E1121" s="5">
        <f t="shared" si="55"/>
        <v>0</v>
      </c>
      <c r="F1121" s="4">
        <v>44670</v>
      </c>
      <c r="G1121" s="4">
        <v>44670</v>
      </c>
      <c r="H1121" s="4">
        <v>44670</v>
      </c>
      <c r="I1121" s="4"/>
      <c r="J1121" s="5">
        <f t="shared" si="53"/>
        <v>0</v>
      </c>
      <c r="K1121" s="5">
        <f t="shared" si="53"/>
        <v>0</v>
      </c>
    </row>
    <row r="1122" spans="3:11" x14ac:dyDescent="0.2">
      <c r="C1122" t="s">
        <v>511</v>
      </c>
      <c r="D1122" t="b">
        <f t="shared" ca="1" si="54"/>
        <v>1</v>
      </c>
      <c r="E1122" s="5">
        <f t="shared" si="55"/>
        <v>0</v>
      </c>
      <c r="F1122">
        <v>23</v>
      </c>
      <c r="G1122">
        <v>23</v>
      </c>
      <c r="H1122">
        <v>23</v>
      </c>
      <c r="J1122" s="5">
        <f t="shared" si="53"/>
        <v>0</v>
      </c>
      <c r="K1122" s="5">
        <f t="shared" si="53"/>
        <v>0</v>
      </c>
    </row>
    <row r="1123" spans="3:11" x14ac:dyDescent="0.2">
      <c r="C1123" t="s">
        <v>510</v>
      </c>
      <c r="D1123" t="b">
        <f t="shared" ca="1" si="54"/>
        <v>1</v>
      </c>
      <c r="E1123" s="5">
        <f t="shared" si="55"/>
        <v>5.2090941724997087E-5</v>
      </c>
      <c r="F1123">
        <v>8.8307099999999998</v>
      </c>
      <c r="G1123">
        <v>8.8311700000000002</v>
      </c>
      <c r="H1123">
        <v>8.8311700000000002</v>
      </c>
      <c r="J1123" s="5">
        <f t="shared" si="53"/>
        <v>5.2090941724997087E-5</v>
      </c>
      <c r="K1123" s="5">
        <f t="shared" si="53"/>
        <v>0</v>
      </c>
    </row>
    <row r="1124" spans="3:11" x14ac:dyDescent="0.2">
      <c r="C1124" t="s">
        <v>509</v>
      </c>
      <c r="D1124" t="b">
        <f t="shared" ca="1" si="54"/>
        <v>1</v>
      </c>
      <c r="E1124" s="5">
        <f t="shared" si="55"/>
        <v>0</v>
      </c>
      <c r="F1124" s="4">
        <v>44916</v>
      </c>
      <c r="G1124" s="4">
        <v>44916</v>
      </c>
      <c r="H1124" s="4">
        <v>44916</v>
      </c>
      <c r="I1124" s="4"/>
      <c r="J1124" s="5">
        <f t="shared" si="53"/>
        <v>0</v>
      </c>
      <c r="K1124" s="5">
        <f t="shared" si="53"/>
        <v>0</v>
      </c>
    </row>
    <row r="1125" spans="3:11" x14ac:dyDescent="0.2">
      <c r="C1125" t="s">
        <v>508</v>
      </c>
      <c r="D1125" t="b">
        <f t="shared" ca="1" si="54"/>
        <v>0</v>
      </c>
      <c r="E1125" s="5">
        <f t="shared" si="55"/>
        <v>1</v>
      </c>
      <c r="F1125">
        <v>1</v>
      </c>
      <c r="G1125">
        <v>0</v>
      </c>
      <c r="H1125">
        <v>0</v>
      </c>
      <c r="J1125" s="5">
        <f t="shared" si="53"/>
        <v>1</v>
      </c>
      <c r="K1125" s="5" t="e">
        <f t="shared" si="53"/>
        <v>#DIV/0!</v>
      </c>
    </row>
    <row r="1126" spans="3:11" x14ac:dyDescent="0.2">
      <c r="C1126" t="s">
        <v>507</v>
      </c>
      <c r="D1126" t="b">
        <f t="shared" ca="1" si="54"/>
        <v>1</v>
      </c>
      <c r="E1126" s="5">
        <f t="shared" si="55"/>
        <v>0</v>
      </c>
      <c r="F1126">
        <v>3.77524E-3</v>
      </c>
      <c r="G1126">
        <v>3.77524E-3</v>
      </c>
      <c r="H1126">
        <v>3.77524E-3</v>
      </c>
      <c r="J1126" s="5">
        <f t="shared" si="53"/>
        <v>0</v>
      </c>
      <c r="K1126" s="5">
        <f t="shared" si="53"/>
        <v>0</v>
      </c>
    </row>
    <row r="1127" spans="3:11" x14ac:dyDescent="0.2">
      <c r="C1127" t="s">
        <v>506</v>
      </c>
      <c r="D1127" t="b">
        <f t="shared" ca="1" si="54"/>
        <v>0</v>
      </c>
      <c r="E1127" s="5">
        <f t="shared" si="55"/>
        <v>4.1197411727828407E-3</v>
      </c>
      <c r="F1127" s="4">
        <v>44663</v>
      </c>
      <c r="G1127" s="4">
        <v>44847</v>
      </c>
      <c r="H1127" s="4">
        <v>44847</v>
      </c>
      <c r="I1127" s="4"/>
      <c r="J1127" s="5">
        <f t="shared" si="53"/>
        <v>4.1197411727828407E-3</v>
      </c>
      <c r="K1127" s="5">
        <f t="shared" si="53"/>
        <v>0</v>
      </c>
    </row>
    <row r="1128" spans="3:11" x14ac:dyDescent="0.2">
      <c r="C1128" t="s">
        <v>505</v>
      </c>
      <c r="D1128" t="b">
        <f t="shared" ca="1" si="54"/>
        <v>0</v>
      </c>
      <c r="E1128" s="5">
        <f t="shared" si="55"/>
        <v>0.625</v>
      </c>
      <c r="F1128">
        <v>8</v>
      </c>
      <c r="G1128">
        <v>3</v>
      </c>
      <c r="H1128">
        <v>2</v>
      </c>
      <c r="J1128" s="5">
        <f t="shared" si="53"/>
        <v>0.625</v>
      </c>
      <c r="K1128" s="5">
        <f t="shared" si="53"/>
        <v>0.33333333333333331</v>
      </c>
    </row>
    <row r="1129" spans="3:11" x14ac:dyDescent="0.2">
      <c r="C1129" t="s">
        <v>504</v>
      </c>
      <c r="D1129" t="b">
        <f t="shared" ca="1" si="54"/>
        <v>1</v>
      </c>
      <c r="E1129" s="5">
        <f t="shared" si="55"/>
        <v>5.3031126619454533E-6</v>
      </c>
      <c r="F1129">
        <v>3.77137E-3</v>
      </c>
      <c r="G1129">
        <v>3.7713899999999999E-3</v>
      </c>
      <c r="H1129">
        <v>3.7713899999999999E-3</v>
      </c>
      <c r="J1129" s="5">
        <f t="shared" si="53"/>
        <v>5.3031126619454533E-6</v>
      </c>
      <c r="K1129" s="5">
        <f t="shared" si="53"/>
        <v>0</v>
      </c>
    </row>
    <row r="1130" spans="3:11" x14ac:dyDescent="0.2">
      <c r="C1130" t="s">
        <v>503</v>
      </c>
      <c r="D1130" t="b">
        <f t="shared" ca="1" si="54"/>
        <v>1</v>
      </c>
      <c r="E1130" s="5">
        <f t="shared" si="55"/>
        <v>0</v>
      </c>
      <c r="F1130" s="4">
        <v>44851</v>
      </c>
      <c r="G1130" s="4">
        <v>44851</v>
      </c>
      <c r="H1130" s="4">
        <v>44851</v>
      </c>
      <c r="I1130" s="4"/>
      <c r="J1130" s="5">
        <f t="shared" si="53"/>
        <v>0</v>
      </c>
      <c r="K1130" s="5">
        <f t="shared" si="53"/>
        <v>0</v>
      </c>
    </row>
    <row r="1131" spans="3:11" x14ac:dyDescent="0.2">
      <c r="C1131" t="s">
        <v>502</v>
      </c>
      <c r="D1131" t="b">
        <f t="shared" ca="1" si="54"/>
        <v>1</v>
      </c>
      <c r="E1131" s="5">
        <f t="shared" si="55"/>
        <v>0</v>
      </c>
      <c r="F1131">
        <v>10</v>
      </c>
      <c r="G1131">
        <v>10</v>
      </c>
      <c r="H1131">
        <v>10</v>
      </c>
      <c r="J1131" s="5">
        <f t="shared" si="53"/>
        <v>0</v>
      </c>
      <c r="K1131" s="5">
        <f t="shared" si="53"/>
        <v>0</v>
      </c>
    </row>
    <row r="1132" spans="3:11" x14ac:dyDescent="0.2">
      <c r="C1132" t="s">
        <v>501</v>
      </c>
      <c r="D1132" t="b">
        <f t="shared" ca="1" si="54"/>
        <v>1</v>
      </c>
      <c r="E1132" s="5">
        <f t="shared" si="55"/>
        <v>8.9961903887625434E-5</v>
      </c>
      <c r="F1132">
        <v>54.467500000000001</v>
      </c>
      <c r="G1132">
        <v>54.4724</v>
      </c>
      <c r="H1132">
        <v>54.4724</v>
      </c>
      <c r="J1132" s="5">
        <f t="shared" si="53"/>
        <v>8.9961903887625434E-5</v>
      </c>
      <c r="K1132" s="5">
        <f t="shared" si="53"/>
        <v>0</v>
      </c>
    </row>
    <row r="1133" spans="3:11" x14ac:dyDescent="0.2">
      <c r="C1133" t="s">
        <v>500</v>
      </c>
      <c r="D1133" t="b">
        <f t="shared" ca="1" si="54"/>
        <v>1</v>
      </c>
      <c r="E1133" s="5">
        <f t="shared" si="55"/>
        <v>0</v>
      </c>
      <c r="F1133" s="4">
        <v>44915</v>
      </c>
      <c r="G1133" s="4">
        <v>44915</v>
      </c>
      <c r="H1133" s="4">
        <v>44915</v>
      </c>
      <c r="I1133" s="4"/>
      <c r="J1133" s="5">
        <f t="shared" si="53"/>
        <v>0</v>
      </c>
      <c r="K1133" s="5">
        <f t="shared" si="53"/>
        <v>0</v>
      </c>
    </row>
    <row r="1134" spans="3:11" x14ac:dyDescent="0.2">
      <c r="C1134" t="s">
        <v>499</v>
      </c>
      <c r="D1134" t="b">
        <f t="shared" ca="1" si="54"/>
        <v>1</v>
      </c>
      <c r="E1134" s="5">
        <f t="shared" si="55"/>
        <v>0</v>
      </c>
      <c r="F1134">
        <v>11</v>
      </c>
      <c r="G1134">
        <v>11</v>
      </c>
      <c r="H1134">
        <v>11</v>
      </c>
      <c r="J1134" s="5">
        <f t="shared" si="53"/>
        <v>0</v>
      </c>
      <c r="K1134" s="5">
        <f t="shared" si="53"/>
        <v>0</v>
      </c>
    </row>
    <row r="1135" spans="3:11" x14ac:dyDescent="0.2">
      <c r="C1135" t="s">
        <v>498</v>
      </c>
      <c r="D1135" t="b">
        <f t="shared" ca="1" si="54"/>
        <v>1</v>
      </c>
      <c r="E1135" s="5">
        <f t="shared" si="55"/>
        <v>5.6368832544977782E-6</v>
      </c>
      <c r="F1135">
        <v>35.480600000000003</v>
      </c>
      <c r="G1135">
        <v>35.480800000000002</v>
      </c>
      <c r="H1135">
        <v>35.480800000000002</v>
      </c>
      <c r="J1135" s="5">
        <f t="shared" si="53"/>
        <v>5.6368832544977782E-6</v>
      </c>
      <c r="K1135" s="5">
        <f t="shared" si="53"/>
        <v>0</v>
      </c>
    </row>
    <row r="1136" spans="3:11" x14ac:dyDescent="0.2">
      <c r="C1136" t="s">
        <v>497</v>
      </c>
      <c r="D1136" t="b">
        <f t="shared" ca="1" si="54"/>
        <v>1</v>
      </c>
      <c r="E1136" s="5">
        <f t="shared" si="55"/>
        <v>0</v>
      </c>
      <c r="F1136" s="4">
        <v>44832</v>
      </c>
      <c r="G1136" s="4">
        <v>44832</v>
      </c>
      <c r="H1136" s="4">
        <v>44832</v>
      </c>
      <c r="I1136" s="4"/>
      <c r="J1136" s="5">
        <f t="shared" si="53"/>
        <v>0</v>
      </c>
      <c r="K1136" s="5">
        <f t="shared" si="53"/>
        <v>0</v>
      </c>
    </row>
    <row r="1137" spans="3:11" x14ac:dyDescent="0.2">
      <c r="C1137" t="s">
        <v>496</v>
      </c>
      <c r="D1137" t="b">
        <f t="shared" ca="1" si="54"/>
        <v>1</v>
      </c>
      <c r="E1137" s="5">
        <f t="shared" si="55"/>
        <v>0</v>
      </c>
      <c r="F1137">
        <v>18</v>
      </c>
      <c r="G1137">
        <v>18</v>
      </c>
      <c r="H1137">
        <v>18</v>
      </c>
      <c r="J1137" s="5">
        <f t="shared" si="53"/>
        <v>0</v>
      </c>
      <c r="K1137" s="5">
        <f t="shared" si="53"/>
        <v>0</v>
      </c>
    </row>
    <row r="1138" spans="3:11" x14ac:dyDescent="0.2">
      <c r="C1138" t="s">
        <v>495</v>
      </c>
      <c r="D1138" t="b">
        <f t="shared" ca="1" si="54"/>
        <v>1</v>
      </c>
      <c r="E1138" s="5">
        <f t="shared" si="55"/>
        <v>7.5258427730014144E-5</v>
      </c>
      <c r="F1138">
        <v>4.1191399999999998</v>
      </c>
      <c r="G1138">
        <v>4.1194499999999996</v>
      </c>
      <c r="H1138">
        <v>4.1194499999999996</v>
      </c>
      <c r="J1138" s="5">
        <f t="shared" si="53"/>
        <v>7.5258427730014144E-5</v>
      </c>
      <c r="K1138" s="5">
        <f t="shared" si="53"/>
        <v>0</v>
      </c>
    </row>
    <row r="1139" spans="3:11" x14ac:dyDescent="0.2">
      <c r="C1139" t="s">
        <v>494</v>
      </c>
      <c r="D1139" t="b">
        <f t="shared" ca="1" si="54"/>
        <v>1</v>
      </c>
      <c r="E1139" s="5">
        <f t="shared" si="55"/>
        <v>0</v>
      </c>
      <c r="F1139" s="4">
        <v>44836</v>
      </c>
      <c r="G1139" s="4">
        <v>44836</v>
      </c>
      <c r="H1139" s="4">
        <v>44836</v>
      </c>
      <c r="I1139" s="4"/>
      <c r="J1139" s="5">
        <f t="shared" si="53"/>
        <v>0</v>
      </c>
      <c r="K1139" s="5">
        <f t="shared" si="53"/>
        <v>0</v>
      </c>
    </row>
    <row r="1140" spans="3:11" x14ac:dyDescent="0.2">
      <c r="C1140" t="s">
        <v>493</v>
      </c>
      <c r="D1140" t="b">
        <f t="shared" ca="1" si="54"/>
        <v>1</v>
      </c>
      <c r="E1140" s="5">
        <f t="shared" si="55"/>
        <v>0</v>
      </c>
      <c r="F1140">
        <v>23</v>
      </c>
      <c r="G1140">
        <v>23</v>
      </c>
      <c r="H1140">
        <v>23</v>
      </c>
      <c r="J1140" s="5">
        <f t="shared" si="53"/>
        <v>0</v>
      </c>
      <c r="K1140" s="5">
        <f t="shared" si="53"/>
        <v>0</v>
      </c>
    </row>
    <row r="1141" spans="3:11" x14ac:dyDescent="0.2">
      <c r="C1141" t="s">
        <v>492</v>
      </c>
      <c r="D1141" t="b">
        <f t="shared" ca="1" si="54"/>
        <v>1</v>
      </c>
      <c r="E1141" s="5">
        <f t="shared" si="55"/>
        <v>6.3952088599893698E-5</v>
      </c>
      <c r="F1141">
        <v>2.6582400000000002</v>
      </c>
      <c r="G1141">
        <v>2.6584099999999999</v>
      </c>
      <c r="H1141">
        <v>2.6584099999999999</v>
      </c>
      <c r="J1141" s="5">
        <f t="shared" si="53"/>
        <v>6.3952088599893698E-5</v>
      </c>
      <c r="K1141" s="5">
        <f t="shared" si="53"/>
        <v>0</v>
      </c>
    </row>
    <row r="1142" spans="3:11" x14ac:dyDescent="0.2">
      <c r="C1142" t="s">
        <v>491</v>
      </c>
      <c r="D1142" t="b">
        <f t="shared" ca="1" si="54"/>
        <v>1</v>
      </c>
      <c r="E1142" s="5">
        <f t="shared" si="55"/>
        <v>0</v>
      </c>
      <c r="F1142" s="4">
        <v>44682</v>
      </c>
      <c r="G1142" s="4">
        <v>44682</v>
      </c>
      <c r="H1142" s="4">
        <v>44682</v>
      </c>
      <c r="I1142" s="4"/>
      <c r="J1142" s="5">
        <f t="shared" si="53"/>
        <v>0</v>
      </c>
      <c r="K1142" s="5">
        <f t="shared" si="53"/>
        <v>0</v>
      </c>
    </row>
    <row r="1143" spans="3:11" x14ac:dyDescent="0.2">
      <c r="C1143" t="s">
        <v>490</v>
      </c>
      <c r="D1143" t="b">
        <f t="shared" ca="1" si="54"/>
        <v>1</v>
      </c>
      <c r="E1143" s="5">
        <f t="shared" si="55"/>
        <v>0</v>
      </c>
      <c r="F1143">
        <v>11</v>
      </c>
      <c r="G1143">
        <v>11</v>
      </c>
      <c r="H1143">
        <v>11</v>
      </c>
      <c r="J1143" s="5">
        <f t="shared" si="53"/>
        <v>0</v>
      </c>
      <c r="K1143" s="5">
        <f t="shared" si="53"/>
        <v>0</v>
      </c>
    </row>
    <row r="1144" spans="3:11" x14ac:dyDescent="0.2">
      <c r="C1144" t="s">
        <v>489</v>
      </c>
      <c r="D1144" t="b">
        <f t="shared" ca="1" si="54"/>
        <v>1</v>
      </c>
      <c r="E1144" s="5">
        <f t="shared" si="55"/>
        <v>0</v>
      </c>
      <c r="F1144">
        <v>35.000300000000003</v>
      </c>
      <c r="G1144">
        <v>35.000300000000003</v>
      </c>
      <c r="H1144">
        <v>35.000300000000003</v>
      </c>
      <c r="J1144" s="5">
        <f t="shared" si="53"/>
        <v>0</v>
      </c>
      <c r="K1144" s="5">
        <f t="shared" si="53"/>
        <v>0</v>
      </c>
    </row>
    <row r="1145" spans="3:11" x14ac:dyDescent="0.2">
      <c r="C1145" t="s">
        <v>488</v>
      </c>
      <c r="D1145" t="b">
        <f t="shared" ca="1" si="54"/>
        <v>1</v>
      </c>
      <c r="E1145" s="5">
        <f t="shared" si="55"/>
        <v>0</v>
      </c>
      <c r="F1145" s="4">
        <v>44756</v>
      </c>
      <c r="G1145" s="4">
        <v>44756</v>
      </c>
      <c r="H1145" s="4">
        <v>44756</v>
      </c>
      <c r="I1145" s="4"/>
      <c r="J1145" s="5">
        <f t="shared" si="53"/>
        <v>0</v>
      </c>
      <c r="K1145" s="5">
        <f t="shared" si="53"/>
        <v>0</v>
      </c>
    </row>
    <row r="1146" spans="3:11" x14ac:dyDescent="0.2">
      <c r="C1146" t="s">
        <v>487</v>
      </c>
      <c r="D1146" t="b">
        <f t="shared" ca="1" si="54"/>
        <v>1</v>
      </c>
      <c r="E1146" s="5">
        <f t="shared" si="55"/>
        <v>0</v>
      </c>
      <c r="F1146">
        <v>18</v>
      </c>
      <c r="G1146">
        <v>18</v>
      </c>
      <c r="H1146">
        <v>18</v>
      </c>
      <c r="J1146" s="5">
        <f t="shared" si="53"/>
        <v>0</v>
      </c>
      <c r="K1146" s="5">
        <f t="shared" si="53"/>
        <v>0</v>
      </c>
    </row>
    <row r="1147" spans="3:11" x14ac:dyDescent="0.2">
      <c r="C1147" t="s">
        <v>486</v>
      </c>
      <c r="D1147" t="b">
        <f t="shared" ca="1" si="54"/>
        <v>1</v>
      </c>
      <c r="E1147" s="5">
        <f t="shared" si="55"/>
        <v>3.1071650115470905E-5</v>
      </c>
      <c r="F1147">
        <v>9.0114300000000007</v>
      </c>
      <c r="G1147">
        <v>9.0111500000000007</v>
      </c>
      <c r="H1147">
        <v>9.0111500000000007</v>
      </c>
      <c r="J1147" s="5">
        <f t="shared" si="53"/>
        <v>3.1071650115470905E-5</v>
      </c>
      <c r="K1147" s="5">
        <f t="shared" si="53"/>
        <v>0</v>
      </c>
    </row>
    <row r="1148" spans="3:11" x14ac:dyDescent="0.2">
      <c r="C1148" t="s">
        <v>485</v>
      </c>
      <c r="D1148" t="b">
        <f t="shared" ca="1" si="54"/>
        <v>1</v>
      </c>
      <c r="E1148" s="5">
        <f t="shared" si="55"/>
        <v>0</v>
      </c>
      <c r="F1148" s="4">
        <v>44916</v>
      </c>
      <c r="G1148" s="4">
        <v>44916</v>
      </c>
      <c r="H1148" s="4">
        <v>44916</v>
      </c>
      <c r="I1148" s="4"/>
      <c r="J1148" s="5">
        <f t="shared" si="53"/>
        <v>0</v>
      </c>
      <c r="K1148" s="5">
        <f t="shared" si="53"/>
        <v>0</v>
      </c>
    </row>
    <row r="1149" spans="3:11" x14ac:dyDescent="0.2">
      <c r="C1149" t="s">
        <v>484</v>
      </c>
      <c r="D1149" t="b">
        <f t="shared" ca="1" si="54"/>
        <v>0</v>
      </c>
      <c r="E1149" s="5">
        <f t="shared" si="55"/>
        <v>1</v>
      </c>
      <c r="F1149">
        <v>2</v>
      </c>
      <c r="G1149">
        <v>0</v>
      </c>
      <c r="H1149">
        <v>0</v>
      </c>
      <c r="J1149" s="5">
        <f t="shared" si="53"/>
        <v>1</v>
      </c>
      <c r="K1149" s="5" t="e">
        <f t="shared" si="53"/>
        <v>#DIV/0!</v>
      </c>
    </row>
    <row r="1150" spans="3:11" x14ac:dyDescent="0.2">
      <c r="C1150" t="s">
        <v>483</v>
      </c>
      <c r="D1150" t="b">
        <f t="shared" ca="1" si="54"/>
        <v>0</v>
      </c>
      <c r="E1150" s="5">
        <f t="shared" si="55"/>
        <v>1.8324989708791962E-3</v>
      </c>
      <c r="F1150">
        <v>6.7776299999999998E-3</v>
      </c>
      <c r="G1150">
        <v>6.7900499999999997E-3</v>
      </c>
      <c r="H1150">
        <v>6.7900499999999997E-3</v>
      </c>
      <c r="J1150" s="5">
        <f t="shared" si="53"/>
        <v>1.8324989708791962E-3</v>
      </c>
      <c r="K1150" s="5">
        <f t="shared" si="53"/>
        <v>0</v>
      </c>
    </row>
    <row r="1151" spans="3:11" x14ac:dyDescent="0.2">
      <c r="C1151" t="s">
        <v>482</v>
      </c>
      <c r="D1151" t="b">
        <f t="shared" ca="1" si="54"/>
        <v>0</v>
      </c>
      <c r="E1151" s="5">
        <f t="shared" si="55"/>
        <v>8.1683945962928058E-3</v>
      </c>
      <c r="F1151" s="4">
        <v>44562</v>
      </c>
      <c r="G1151" s="4">
        <v>44926</v>
      </c>
      <c r="H1151" s="4">
        <v>44926</v>
      </c>
      <c r="I1151" s="4"/>
      <c r="J1151" s="5">
        <f t="shared" si="53"/>
        <v>8.1683945962928058E-3</v>
      </c>
      <c r="K1151" s="5">
        <f t="shared" si="53"/>
        <v>0</v>
      </c>
    </row>
    <row r="1152" spans="3:11" x14ac:dyDescent="0.2">
      <c r="C1152" t="s">
        <v>481</v>
      </c>
      <c r="D1152" t="b">
        <f t="shared" ca="1" si="54"/>
        <v>0</v>
      </c>
      <c r="E1152" s="5" t="e">
        <f t="shared" si="55"/>
        <v>#DIV/0!</v>
      </c>
      <c r="F1152">
        <v>0</v>
      </c>
      <c r="G1152">
        <v>1</v>
      </c>
      <c r="H1152">
        <v>22</v>
      </c>
      <c r="J1152" s="5" t="e">
        <f t="shared" si="53"/>
        <v>#DIV/0!</v>
      </c>
      <c r="K1152" s="5">
        <f t="shared" si="53"/>
        <v>21</v>
      </c>
    </row>
    <row r="1153" spans="3:11" x14ac:dyDescent="0.2">
      <c r="C1153" t="s">
        <v>480</v>
      </c>
      <c r="D1153" t="b">
        <f t="shared" ca="1" si="54"/>
        <v>0</v>
      </c>
      <c r="E1153" s="5">
        <f t="shared" si="55"/>
        <v>1.8324989708791962E-3</v>
      </c>
      <c r="F1153">
        <v>6.7776299999999998E-3</v>
      </c>
      <c r="G1153">
        <v>6.7900499999999997E-3</v>
      </c>
      <c r="H1153">
        <v>6.7900499999999997E-3</v>
      </c>
      <c r="J1153" s="5">
        <f t="shared" si="53"/>
        <v>1.8324989708791962E-3</v>
      </c>
      <c r="K1153" s="5">
        <f t="shared" si="53"/>
        <v>0</v>
      </c>
    </row>
    <row r="1154" spans="3:11" x14ac:dyDescent="0.2">
      <c r="C1154" t="s">
        <v>479</v>
      </c>
      <c r="D1154" t="b">
        <f t="shared" ca="1" si="54"/>
        <v>1</v>
      </c>
      <c r="E1154" s="5">
        <f t="shared" si="55"/>
        <v>0</v>
      </c>
      <c r="F1154" s="4">
        <v>44652</v>
      </c>
      <c r="G1154" s="4">
        <v>44652</v>
      </c>
      <c r="H1154" s="4">
        <v>44652</v>
      </c>
      <c r="I1154" s="4"/>
      <c r="J1154" s="5">
        <f t="shared" si="53"/>
        <v>0</v>
      </c>
      <c r="K1154" s="5">
        <f t="shared" si="53"/>
        <v>0</v>
      </c>
    </row>
    <row r="1155" spans="3:11" x14ac:dyDescent="0.2">
      <c r="C1155" t="s">
        <v>478</v>
      </c>
      <c r="D1155" t="b">
        <f t="shared" ca="1" si="54"/>
        <v>1</v>
      </c>
      <c r="E1155" s="5">
        <f t="shared" si="55"/>
        <v>0</v>
      </c>
      <c r="F1155">
        <v>1</v>
      </c>
      <c r="G1155">
        <v>1</v>
      </c>
      <c r="H1155">
        <v>15</v>
      </c>
      <c r="J1155" s="5">
        <f t="shared" si="53"/>
        <v>0</v>
      </c>
      <c r="K1155" s="5">
        <f t="shared" si="53"/>
        <v>14</v>
      </c>
    </row>
    <row r="1156" spans="3:11" x14ac:dyDescent="0.2">
      <c r="C1156" t="s">
        <v>477</v>
      </c>
      <c r="D1156" t="b">
        <f t="shared" ca="1" si="54"/>
        <v>0</v>
      </c>
      <c r="E1156" s="5">
        <f t="shared" si="55"/>
        <v>1.9822584232988909E-3</v>
      </c>
      <c r="F1156">
        <v>96.203400000000002</v>
      </c>
      <c r="G1156">
        <v>96.394099999999995</v>
      </c>
      <c r="H1156">
        <v>96.394099999999995</v>
      </c>
      <c r="J1156" s="5">
        <f t="shared" si="53"/>
        <v>1.9822584232988909E-3</v>
      </c>
      <c r="K1156" s="5">
        <f t="shared" si="53"/>
        <v>0</v>
      </c>
    </row>
    <row r="1157" spans="3:11" x14ac:dyDescent="0.2">
      <c r="C1157" t="s">
        <v>476</v>
      </c>
      <c r="D1157" t="b">
        <f t="shared" ca="1" si="54"/>
        <v>1</v>
      </c>
      <c r="E1157" s="5">
        <f t="shared" si="55"/>
        <v>0</v>
      </c>
      <c r="F1157" s="4">
        <v>44915</v>
      </c>
      <c r="G1157" s="4">
        <v>44915</v>
      </c>
      <c r="H1157" s="4">
        <v>44915</v>
      </c>
      <c r="I1157" s="4"/>
      <c r="J1157" s="5">
        <f t="shared" si="53"/>
        <v>0</v>
      </c>
      <c r="K1157" s="5">
        <f t="shared" si="53"/>
        <v>0</v>
      </c>
    </row>
    <row r="1158" spans="3:11" x14ac:dyDescent="0.2">
      <c r="C1158" t="s">
        <v>475</v>
      </c>
      <c r="D1158" t="b">
        <f t="shared" ca="1" si="54"/>
        <v>1</v>
      </c>
      <c r="E1158" s="5">
        <f t="shared" si="55"/>
        <v>0</v>
      </c>
      <c r="F1158">
        <v>11</v>
      </c>
      <c r="G1158">
        <v>11</v>
      </c>
      <c r="H1158">
        <v>11</v>
      </c>
      <c r="J1158" s="5">
        <f t="shared" si="53"/>
        <v>0</v>
      </c>
      <c r="K1158" s="5">
        <f t="shared" si="53"/>
        <v>0</v>
      </c>
    </row>
    <row r="1159" spans="3:11" x14ac:dyDescent="0.2">
      <c r="C1159" t="s">
        <v>474</v>
      </c>
      <c r="D1159" t="b">
        <f t="shared" ca="1" si="54"/>
        <v>0</v>
      </c>
      <c r="E1159" s="5">
        <f t="shared" si="55"/>
        <v>1.8114621831242835E-3</v>
      </c>
      <c r="F1159">
        <v>19.210999999999999</v>
      </c>
      <c r="G1159">
        <v>19.245799999999999</v>
      </c>
      <c r="H1159">
        <v>19.245799999999999</v>
      </c>
      <c r="J1159" s="5">
        <f t="shared" ref="J1159:K1222" si="56">ABS(F1159-G1159)/ABS(F1159)</f>
        <v>1.8114621831242835E-3</v>
      </c>
      <c r="K1159" s="5">
        <f t="shared" si="56"/>
        <v>0</v>
      </c>
    </row>
    <row r="1160" spans="3:11" x14ac:dyDescent="0.2">
      <c r="C1160" t="s">
        <v>473</v>
      </c>
      <c r="D1160" t="b">
        <f t="shared" ca="1" si="54"/>
        <v>1</v>
      </c>
      <c r="E1160" s="5">
        <f t="shared" si="55"/>
        <v>0</v>
      </c>
      <c r="F1160" s="4">
        <v>44669</v>
      </c>
      <c r="G1160" s="4">
        <v>44669</v>
      </c>
      <c r="H1160" s="4">
        <v>44669</v>
      </c>
      <c r="I1160" s="4"/>
      <c r="J1160" s="5">
        <f t="shared" si="56"/>
        <v>0</v>
      </c>
      <c r="K1160" s="5">
        <f t="shared" si="56"/>
        <v>0</v>
      </c>
    </row>
    <row r="1161" spans="3:11" x14ac:dyDescent="0.2">
      <c r="C1161" t="s">
        <v>472</v>
      </c>
      <c r="D1161" t="b">
        <f t="shared" ca="1" si="54"/>
        <v>1</v>
      </c>
      <c r="E1161" s="5">
        <f t="shared" si="55"/>
        <v>0</v>
      </c>
      <c r="F1161">
        <v>17</v>
      </c>
      <c r="G1161">
        <v>17</v>
      </c>
      <c r="H1161">
        <v>17</v>
      </c>
      <c r="J1161" s="5">
        <f t="shared" si="56"/>
        <v>0</v>
      </c>
      <c r="K1161" s="5">
        <f t="shared" si="56"/>
        <v>0</v>
      </c>
    </row>
    <row r="1162" spans="3:11" x14ac:dyDescent="0.2">
      <c r="C1162" t="s">
        <v>1629</v>
      </c>
      <c r="D1162" t="b">
        <f t="shared" ca="1" si="54"/>
        <v>1</v>
      </c>
      <c r="E1162" s="5">
        <f t="shared" si="55"/>
        <v>7.8319929757655739E-10</v>
      </c>
      <c r="F1162">
        <v>2158.8116328220499</v>
      </c>
      <c r="G1162">
        <v>2158.8116311312701</v>
      </c>
      <c r="H1162">
        <v>2158.8116311312701</v>
      </c>
      <c r="J1162" s="5">
        <f t="shared" si="56"/>
        <v>7.8319929757655739E-10</v>
      </c>
      <c r="K1162" s="5">
        <f t="shared" si="56"/>
        <v>0</v>
      </c>
    </row>
    <row r="1163" spans="3:11" x14ac:dyDescent="0.2">
      <c r="C1163" t="s">
        <v>1630</v>
      </c>
      <c r="D1163" t="b">
        <f t="shared" ca="1" si="54"/>
        <v>1</v>
      </c>
      <c r="E1163" s="5">
        <f t="shared" si="55"/>
        <v>4.8110303222052539E-10</v>
      </c>
      <c r="F1163">
        <v>2172.7778442691601</v>
      </c>
      <c r="G1163">
        <v>2172.7778432238301</v>
      </c>
      <c r="H1163">
        <v>2172.7778432238301</v>
      </c>
      <c r="J1163" s="5">
        <f t="shared" si="56"/>
        <v>4.8110303222052539E-10</v>
      </c>
      <c r="K1163" s="5">
        <f t="shared" si="56"/>
        <v>0</v>
      </c>
    </row>
    <row r="1164" spans="3:11" x14ac:dyDescent="0.2">
      <c r="C1164" t="s">
        <v>1631</v>
      </c>
      <c r="D1164" t="b">
        <f t="shared" ca="1" si="54"/>
        <v>1</v>
      </c>
      <c r="E1164" s="5">
        <f t="shared" si="55"/>
        <v>2.9822206103102051E-10</v>
      </c>
      <c r="F1164">
        <v>2153.5299291482702</v>
      </c>
      <c r="G1164">
        <v>2153.5299285060401</v>
      </c>
      <c r="H1164">
        <v>2153.5299285060401</v>
      </c>
      <c r="J1164" s="5">
        <f t="shared" si="56"/>
        <v>2.9822206103102051E-10</v>
      </c>
      <c r="K1164" s="5">
        <f t="shared" si="56"/>
        <v>0</v>
      </c>
    </row>
    <row r="1165" spans="3:11" x14ac:dyDescent="0.2">
      <c r="C1165" t="s">
        <v>1632</v>
      </c>
      <c r="D1165" t="b">
        <f t="shared" ca="1" si="54"/>
        <v>1</v>
      </c>
      <c r="E1165" s="5">
        <f t="shared" si="55"/>
        <v>1.8535634308829265E-10</v>
      </c>
      <c r="F1165">
        <v>2115.384804498</v>
      </c>
      <c r="G1165">
        <v>2115.3848041059</v>
      </c>
      <c r="H1165">
        <v>2115.3848041059</v>
      </c>
      <c r="J1165" s="5">
        <f t="shared" si="56"/>
        <v>1.8535634308829265E-10</v>
      </c>
      <c r="K1165" s="5">
        <f t="shared" si="56"/>
        <v>0</v>
      </c>
    </row>
    <row r="1166" spans="3:11" x14ac:dyDescent="0.2">
      <c r="C1166" t="s">
        <v>1633</v>
      </c>
      <c r="D1166" t="b">
        <f t="shared" ca="1" si="54"/>
        <v>1</v>
      </c>
      <c r="E1166" s="5">
        <f t="shared" si="55"/>
        <v>1.1663294382967171E-10</v>
      </c>
      <c r="F1166">
        <v>2036.90323457625</v>
      </c>
      <c r="G1166">
        <v>2036.90323433868</v>
      </c>
      <c r="H1166">
        <v>2036.90323433867</v>
      </c>
      <c r="J1166" s="5">
        <f t="shared" si="56"/>
        <v>1.1663294382967171E-10</v>
      </c>
      <c r="K1166" s="5">
        <f t="shared" si="56"/>
        <v>4.911594007434696E-15</v>
      </c>
    </row>
    <row r="1167" spans="3:11" x14ac:dyDescent="0.2">
      <c r="C1167" t="s">
        <v>1634</v>
      </c>
      <c r="D1167" t="b">
        <f t="shared" ca="1" si="54"/>
        <v>1</v>
      </c>
      <c r="E1167" s="5">
        <f t="shared" si="55"/>
        <v>6.4196238947703938E-11</v>
      </c>
      <c r="F1167">
        <v>2187.9729336188698</v>
      </c>
      <c r="G1167">
        <v>2187.9729334784101</v>
      </c>
      <c r="H1167">
        <v>2187.9729334784101</v>
      </c>
      <c r="J1167" s="5">
        <f t="shared" si="56"/>
        <v>6.4196238947703938E-11</v>
      </c>
      <c r="K1167" s="5">
        <f t="shared" si="56"/>
        <v>0</v>
      </c>
    </row>
    <row r="1168" spans="3:11" x14ac:dyDescent="0.2">
      <c r="C1168" t="s">
        <v>1635</v>
      </c>
      <c r="D1168" t="b">
        <f t="shared" ca="1" si="54"/>
        <v>1</v>
      </c>
      <c r="E1168" s="5">
        <f t="shared" si="55"/>
        <v>9.6283959200845864E-12</v>
      </c>
      <c r="F1168">
        <v>2936.1358628375201</v>
      </c>
      <c r="G1168">
        <v>2936.1358628092498</v>
      </c>
      <c r="H1168">
        <v>2936.1358628092498</v>
      </c>
      <c r="J1168" s="5">
        <f t="shared" si="56"/>
        <v>9.6283959200845864E-12</v>
      </c>
      <c r="K1168" s="5">
        <f t="shared" si="56"/>
        <v>0</v>
      </c>
    </row>
    <row r="1169" spans="3:11" x14ac:dyDescent="0.2">
      <c r="C1169" t="s">
        <v>1636</v>
      </c>
      <c r="D1169" t="b">
        <f t="shared" ca="1" si="54"/>
        <v>1</v>
      </c>
      <c r="E1169" s="5">
        <f t="shared" si="55"/>
        <v>1.5578189241383974E-12</v>
      </c>
      <c r="F1169">
        <v>3581.7705825232401</v>
      </c>
      <c r="G1169">
        <v>3581.7705825288199</v>
      </c>
      <c r="H1169">
        <v>3581.7705825288199</v>
      </c>
      <c r="J1169" s="5">
        <f t="shared" si="56"/>
        <v>1.5578189241383974E-12</v>
      </c>
      <c r="K1169" s="5">
        <f t="shared" si="56"/>
        <v>0</v>
      </c>
    </row>
    <row r="1170" spans="3:11" x14ac:dyDescent="0.2">
      <c r="C1170" t="s">
        <v>1637</v>
      </c>
      <c r="D1170" t="b">
        <f t="shared" ref="D1170:D1233" ca="1" si="57">IF(CELL("format",F1170)="G",IF(ABS(F1170-G1170) &lt;= ABS(F1170*B$3),TRUE,FALSE),IF(F1170=G1170,TRUE,FALSE))</f>
        <v>1</v>
      </c>
      <c r="E1170" s="5">
        <f t="shared" ref="E1170:E1233" si="58">ABS(F1170-G1170)/ABS(F1170)</f>
        <v>1.1539854739722267E-12</v>
      </c>
      <c r="F1170">
        <v>4783.9708248307998</v>
      </c>
      <c r="G1170">
        <v>4783.9708248363204</v>
      </c>
      <c r="H1170">
        <v>4783.9708248363204</v>
      </c>
      <c r="J1170" s="5">
        <f t="shared" si="56"/>
        <v>1.1539854739722267E-12</v>
      </c>
      <c r="K1170" s="5">
        <f t="shared" si="56"/>
        <v>0</v>
      </c>
    </row>
    <row r="1171" spans="3:11" x14ac:dyDescent="0.2">
      <c r="C1171" t="s">
        <v>1638</v>
      </c>
      <c r="D1171" t="b">
        <f t="shared" ca="1" si="57"/>
        <v>1</v>
      </c>
      <c r="E1171" s="5">
        <f t="shared" si="58"/>
        <v>1.7267133343550889E-13</v>
      </c>
      <c r="F1171">
        <v>5040.7118094201396</v>
      </c>
      <c r="G1171">
        <v>5040.71180942101</v>
      </c>
      <c r="H1171">
        <v>5040.71180942101</v>
      </c>
      <c r="J1171" s="5">
        <f t="shared" si="56"/>
        <v>1.7267133343550889E-13</v>
      </c>
      <c r="K1171" s="5">
        <f t="shared" si="56"/>
        <v>0</v>
      </c>
    </row>
    <row r="1172" spans="3:11" x14ac:dyDescent="0.2">
      <c r="C1172" t="s">
        <v>1639</v>
      </c>
      <c r="D1172" t="b">
        <f t="shared" ca="1" si="57"/>
        <v>1</v>
      </c>
      <c r="E1172" s="5">
        <f t="shared" si="58"/>
        <v>9.2807973267696379E-14</v>
      </c>
      <c r="F1172">
        <v>5497.6583339764302</v>
      </c>
      <c r="G1172">
        <v>5497.65833397592</v>
      </c>
      <c r="H1172">
        <v>5497.65833397592</v>
      </c>
      <c r="J1172" s="5">
        <f t="shared" si="56"/>
        <v>9.2807973267696379E-14</v>
      </c>
      <c r="K1172" s="5">
        <f t="shared" si="56"/>
        <v>0</v>
      </c>
    </row>
    <row r="1173" spans="3:11" x14ac:dyDescent="0.2">
      <c r="C1173" t="s">
        <v>1640</v>
      </c>
      <c r="D1173" t="b">
        <f t="shared" ca="1" si="57"/>
        <v>1</v>
      </c>
      <c r="E1173" s="5">
        <f t="shared" si="58"/>
        <v>1.0845034785230978E-13</v>
      </c>
      <c r="F1173">
        <v>5719.4411903025202</v>
      </c>
      <c r="G1173">
        <v>5719.4411903019</v>
      </c>
      <c r="H1173">
        <v>5719.4411903019</v>
      </c>
      <c r="J1173" s="5">
        <f t="shared" si="56"/>
        <v>1.0845034785230978E-13</v>
      </c>
      <c r="K1173" s="5">
        <f t="shared" si="56"/>
        <v>0</v>
      </c>
    </row>
    <row r="1174" spans="3:11" x14ac:dyDescent="0.2">
      <c r="C1174" t="s">
        <v>1641</v>
      </c>
      <c r="D1174" t="b">
        <f t="shared" ca="1" si="57"/>
        <v>1</v>
      </c>
      <c r="E1174" s="5">
        <f t="shared" si="58"/>
        <v>5.7889326266769258E-14</v>
      </c>
      <c r="F1174">
        <v>7242.7351388610195</v>
      </c>
      <c r="G1174">
        <v>7242.7351388606003</v>
      </c>
      <c r="H1174">
        <v>7242.7351388606003</v>
      </c>
      <c r="J1174" s="5">
        <f t="shared" si="56"/>
        <v>5.7889326266769258E-14</v>
      </c>
      <c r="K1174" s="5">
        <f t="shared" si="56"/>
        <v>0</v>
      </c>
    </row>
    <row r="1175" spans="3:11" x14ac:dyDescent="0.2">
      <c r="C1175" t="s">
        <v>1642</v>
      </c>
      <c r="D1175" t="b">
        <f t="shared" ca="1" si="57"/>
        <v>1</v>
      </c>
      <c r="E1175" s="5">
        <f t="shared" si="58"/>
        <v>4.9338174494633075E-14</v>
      </c>
      <c r="F1175">
        <v>7097.0493693613798</v>
      </c>
      <c r="G1175">
        <v>7097.0493693610297</v>
      </c>
      <c r="H1175">
        <v>7097.0493693610297</v>
      </c>
      <c r="J1175" s="5">
        <f t="shared" si="56"/>
        <v>4.9338174494633075E-14</v>
      </c>
      <c r="K1175" s="5">
        <f t="shared" si="56"/>
        <v>0</v>
      </c>
    </row>
    <row r="1176" spans="3:11" x14ac:dyDescent="0.2">
      <c r="C1176" t="s">
        <v>1643</v>
      </c>
      <c r="D1176" t="b">
        <f t="shared" ca="1" si="57"/>
        <v>1</v>
      </c>
      <c r="E1176" s="5">
        <f t="shared" si="58"/>
        <v>2.6543142613968532E-14</v>
      </c>
      <c r="F1176">
        <v>8703.2518195020402</v>
      </c>
      <c r="G1176">
        <v>8703.2518195018092</v>
      </c>
      <c r="H1176">
        <v>8703.2518195018092</v>
      </c>
      <c r="J1176" s="5">
        <f t="shared" si="56"/>
        <v>2.6543142613968532E-14</v>
      </c>
      <c r="K1176" s="5">
        <f t="shared" si="56"/>
        <v>0</v>
      </c>
    </row>
    <row r="1177" spans="3:11" x14ac:dyDescent="0.2">
      <c r="C1177" t="s">
        <v>1644</v>
      </c>
      <c r="D1177" t="b">
        <f t="shared" ca="1" si="57"/>
        <v>1</v>
      </c>
      <c r="E1177" s="5">
        <f t="shared" si="58"/>
        <v>1.7047975830444214E-14</v>
      </c>
      <c r="F1177">
        <v>8855.9558035443406</v>
      </c>
      <c r="G1177">
        <v>8855.9558035441896</v>
      </c>
      <c r="H1177">
        <v>8855.9558035441896</v>
      </c>
      <c r="J1177" s="5">
        <f t="shared" si="56"/>
        <v>1.7047975830444214E-14</v>
      </c>
      <c r="K1177" s="5">
        <f t="shared" si="56"/>
        <v>0</v>
      </c>
    </row>
    <row r="1178" spans="3:11" x14ac:dyDescent="0.2">
      <c r="C1178" t="s">
        <v>1645</v>
      </c>
      <c r="D1178" t="b">
        <f t="shared" ca="1" si="57"/>
        <v>1</v>
      </c>
      <c r="E1178" s="5">
        <f t="shared" si="58"/>
        <v>2.2408192405868222E-14</v>
      </c>
      <c r="F1178">
        <v>5804.0264916446104</v>
      </c>
      <c r="G1178">
        <v>5804.0264916444803</v>
      </c>
      <c r="H1178">
        <v>5804.0264916444803</v>
      </c>
      <c r="J1178" s="5">
        <f t="shared" si="56"/>
        <v>2.2408192405868222E-14</v>
      </c>
      <c r="K1178" s="5">
        <f t="shared" si="56"/>
        <v>0</v>
      </c>
    </row>
    <row r="1179" spans="3:11" x14ac:dyDescent="0.2">
      <c r="C1179" t="s">
        <v>1646</v>
      </c>
      <c r="D1179" t="b">
        <f t="shared" ca="1" si="57"/>
        <v>1</v>
      </c>
      <c r="E1179" s="5">
        <f t="shared" si="58"/>
        <v>1.3419462791535463E-14</v>
      </c>
      <c r="F1179">
        <v>5964.1384308246197</v>
      </c>
      <c r="G1179">
        <v>5964.1384308245397</v>
      </c>
      <c r="H1179">
        <v>5964.1384308245397</v>
      </c>
      <c r="J1179" s="5">
        <f t="shared" si="56"/>
        <v>1.3419462791535463E-14</v>
      </c>
      <c r="K1179" s="5">
        <f t="shared" si="56"/>
        <v>0</v>
      </c>
    </row>
    <row r="1180" spans="3:11" x14ac:dyDescent="0.2">
      <c r="C1180" t="s">
        <v>1647</v>
      </c>
      <c r="D1180" t="b">
        <f t="shared" ca="1" si="57"/>
        <v>1</v>
      </c>
      <c r="E1180" s="5">
        <f t="shared" si="58"/>
        <v>5.334016531625091E-15</v>
      </c>
      <c r="F1180">
        <v>5626.7776788015699</v>
      </c>
      <c r="G1180">
        <v>5626.7776788015399</v>
      </c>
      <c r="H1180">
        <v>5626.7776788015399</v>
      </c>
      <c r="J1180" s="5">
        <f t="shared" si="56"/>
        <v>5.334016531625091E-15</v>
      </c>
      <c r="K1180" s="5">
        <f t="shared" si="56"/>
        <v>0</v>
      </c>
    </row>
    <row r="1181" spans="3:11" x14ac:dyDescent="0.2">
      <c r="C1181" t="s">
        <v>1648</v>
      </c>
      <c r="D1181" t="b">
        <f t="shared" ca="1" si="57"/>
        <v>1</v>
      </c>
      <c r="E1181" s="5">
        <f t="shared" si="58"/>
        <v>0</v>
      </c>
      <c r="F1181">
        <v>5325.0779399585699</v>
      </c>
      <c r="G1181">
        <v>5325.0779399585699</v>
      </c>
      <c r="H1181">
        <v>5325.0779399585699</v>
      </c>
      <c r="J1181" s="5">
        <f t="shared" si="56"/>
        <v>0</v>
      </c>
      <c r="K1181" s="5">
        <f t="shared" si="56"/>
        <v>0</v>
      </c>
    </row>
    <row r="1182" spans="3:11" x14ac:dyDescent="0.2">
      <c r="C1182" t="s">
        <v>1649</v>
      </c>
      <c r="D1182" t="b">
        <f t="shared" ca="1" si="57"/>
        <v>1</v>
      </c>
      <c r="E1182" s="5">
        <f t="shared" si="58"/>
        <v>0</v>
      </c>
      <c r="F1182">
        <v>4378.1619612679297</v>
      </c>
      <c r="G1182">
        <v>4378.1619612679297</v>
      </c>
      <c r="H1182">
        <v>4378.1619612679297</v>
      </c>
      <c r="J1182" s="5">
        <f t="shared" si="56"/>
        <v>0</v>
      </c>
      <c r="K1182" s="5">
        <f t="shared" si="56"/>
        <v>0</v>
      </c>
    </row>
    <row r="1183" spans="3:11" x14ac:dyDescent="0.2">
      <c r="C1183" t="s">
        <v>1650</v>
      </c>
      <c r="D1183" t="b">
        <f t="shared" ca="1" si="57"/>
        <v>1</v>
      </c>
      <c r="E1183" s="5">
        <f t="shared" si="58"/>
        <v>2.3092335717897901E-15</v>
      </c>
      <c r="F1183">
        <v>4332.3645739950798</v>
      </c>
      <c r="G1183">
        <v>4332.3645739950698</v>
      </c>
      <c r="H1183">
        <v>4332.3645739950698</v>
      </c>
      <c r="J1183" s="5">
        <f t="shared" si="56"/>
        <v>2.3092335717897901E-15</v>
      </c>
      <c r="K1183" s="5">
        <f t="shared" si="56"/>
        <v>0</v>
      </c>
    </row>
    <row r="1184" spans="3:11" x14ac:dyDescent="0.2">
      <c r="C1184" t="s">
        <v>1651</v>
      </c>
      <c r="D1184" t="b">
        <f t="shared" ca="1" si="57"/>
        <v>1</v>
      </c>
      <c r="E1184" s="5">
        <f t="shared" si="58"/>
        <v>0</v>
      </c>
      <c r="F1184">
        <v>4224.3276501211403</v>
      </c>
      <c r="G1184">
        <v>4224.3276501211403</v>
      </c>
      <c r="H1184">
        <v>4224.3276501211403</v>
      </c>
      <c r="J1184" s="5">
        <f t="shared" si="56"/>
        <v>0</v>
      </c>
      <c r="K1184" s="5">
        <f t="shared" si="56"/>
        <v>0</v>
      </c>
    </row>
    <row r="1185" spans="3:11" x14ac:dyDescent="0.2">
      <c r="C1185" t="s">
        <v>1652</v>
      </c>
      <c r="D1185" t="b">
        <f t="shared" ca="1" si="57"/>
        <v>1</v>
      </c>
      <c r="E1185" s="5">
        <f t="shared" si="58"/>
        <v>0</v>
      </c>
      <c r="F1185">
        <v>4202.6476385695696</v>
      </c>
      <c r="G1185">
        <v>4202.6476385695696</v>
      </c>
      <c r="H1185">
        <v>4202.6476385695696</v>
      </c>
      <c r="J1185" s="5">
        <f t="shared" si="56"/>
        <v>0</v>
      </c>
      <c r="K1185" s="5">
        <f t="shared" si="56"/>
        <v>0</v>
      </c>
    </row>
    <row r="1186" spans="3:11" x14ac:dyDescent="0.2">
      <c r="C1186" t="s">
        <v>471</v>
      </c>
      <c r="D1186" t="b">
        <f t="shared" ca="1" si="57"/>
        <v>1</v>
      </c>
      <c r="E1186" s="5">
        <f t="shared" si="58"/>
        <v>8.3182097702419081E-10</v>
      </c>
      <c r="F1186">
        <v>7622.8658596048899</v>
      </c>
      <c r="G1186">
        <v>7622.8658532640302</v>
      </c>
      <c r="H1186">
        <v>7622.8658532640302</v>
      </c>
      <c r="J1186" s="5">
        <f t="shared" si="56"/>
        <v>8.3182097702419081E-10</v>
      </c>
      <c r="K1186" s="5">
        <f t="shared" si="56"/>
        <v>0</v>
      </c>
    </row>
    <row r="1187" spans="3:11" x14ac:dyDescent="0.2">
      <c r="C1187" t="s">
        <v>470</v>
      </c>
      <c r="D1187" t="b">
        <f t="shared" ca="1" si="57"/>
        <v>1</v>
      </c>
      <c r="E1187" s="5">
        <f t="shared" si="58"/>
        <v>5.1136693728501071E-10</v>
      </c>
      <c r="F1187">
        <v>7649.3005187100398</v>
      </c>
      <c r="G1187">
        <v>7649.3005147984404</v>
      </c>
      <c r="H1187">
        <v>7649.3005147984804</v>
      </c>
      <c r="J1187" s="5">
        <f t="shared" si="56"/>
        <v>5.1136693728501071E-10</v>
      </c>
      <c r="K1187" s="5">
        <f t="shared" si="56"/>
        <v>5.2315589903403488E-15</v>
      </c>
    </row>
    <row r="1188" spans="3:11" x14ac:dyDescent="0.2">
      <c r="C1188" t="s">
        <v>469</v>
      </c>
      <c r="D1188" t="b">
        <f t="shared" ca="1" si="57"/>
        <v>1</v>
      </c>
      <c r="E1188" s="5">
        <f t="shared" si="58"/>
        <v>3.1668256576838698E-10</v>
      </c>
      <c r="F1188">
        <v>7600.2302102915201</v>
      </c>
      <c r="G1188">
        <v>7600.2302078846596</v>
      </c>
      <c r="H1188">
        <v>7600.2302078846697</v>
      </c>
      <c r="J1188" s="5">
        <f t="shared" si="56"/>
        <v>3.1668256576838698E-10</v>
      </c>
      <c r="K1188" s="5">
        <f t="shared" si="56"/>
        <v>1.316334038029975E-15</v>
      </c>
    </row>
    <row r="1189" spans="3:11" x14ac:dyDescent="0.2">
      <c r="C1189" t="s">
        <v>468</v>
      </c>
      <c r="D1189" t="b">
        <f t="shared" ca="1" si="57"/>
        <v>1</v>
      </c>
      <c r="E1189" s="5">
        <f t="shared" si="58"/>
        <v>1.9670955901987707E-10</v>
      </c>
      <c r="F1189">
        <v>7484.5372341032298</v>
      </c>
      <c r="G1189">
        <v>7484.5372326309498</v>
      </c>
      <c r="H1189">
        <v>7484.5372326309698</v>
      </c>
      <c r="J1189" s="5">
        <f t="shared" si="56"/>
        <v>1.9670955901987707E-10</v>
      </c>
      <c r="K1189" s="5">
        <f t="shared" si="56"/>
        <v>2.6733628034837017E-15</v>
      </c>
    </row>
    <row r="1190" spans="3:11" x14ac:dyDescent="0.2">
      <c r="C1190" t="s">
        <v>467</v>
      </c>
      <c r="D1190" t="b">
        <f t="shared" ca="1" si="57"/>
        <v>1</v>
      </c>
      <c r="E1190" s="5">
        <f t="shared" si="58"/>
        <v>1.2352891486903243E-10</v>
      </c>
      <c r="F1190">
        <v>7238.5532285357804</v>
      </c>
      <c r="G1190">
        <v>7238.5532276416097</v>
      </c>
      <c r="H1190">
        <v>7238.5532276415997</v>
      </c>
      <c r="J1190" s="5">
        <f t="shared" si="56"/>
        <v>1.2352891486903243E-10</v>
      </c>
      <c r="K1190" s="5">
        <f t="shared" si="56"/>
        <v>1.3821051534578207E-15</v>
      </c>
    </row>
    <row r="1191" spans="3:11" x14ac:dyDescent="0.2">
      <c r="C1191" t="s">
        <v>466</v>
      </c>
      <c r="D1191" t="b">
        <f t="shared" ca="1" si="57"/>
        <v>1</v>
      </c>
      <c r="E1191" s="5">
        <f t="shared" si="58"/>
        <v>6.8347527802517088E-11</v>
      </c>
      <c r="F1191">
        <v>7586.2319774724301</v>
      </c>
      <c r="G1191">
        <v>7586.2319769539299</v>
      </c>
      <c r="H1191">
        <v>7586.2319769539299</v>
      </c>
      <c r="J1191" s="5">
        <f t="shared" si="56"/>
        <v>6.8347527802517088E-11</v>
      </c>
      <c r="K1191" s="5">
        <f t="shared" si="56"/>
        <v>0</v>
      </c>
    </row>
    <row r="1192" spans="3:11" x14ac:dyDescent="0.2">
      <c r="C1192" t="s">
        <v>465</v>
      </c>
      <c r="D1192" t="b">
        <f t="shared" ca="1" si="57"/>
        <v>1</v>
      </c>
      <c r="E1192" s="5">
        <f t="shared" si="58"/>
        <v>1.0635966982943379E-11</v>
      </c>
      <c r="F1192">
        <v>9424.7065839296702</v>
      </c>
      <c r="G1192">
        <v>9424.7065838294293</v>
      </c>
      <c r="H1192">
        <v>9424.7065838294293</v>
      </c>
      <c r="J1192" s="5">
        <f t="shared" si="56"/>
        <v>1.0635966982943379E-11</v>
      </c>
      <c r="K1192" s="5">
        <f t="shared" si="56"/>
        <v>0</v>
      </c>
    </row>
    <row r="1193" spans="3:11" x14ac:dyDescent="0.2">
      <c r="C1193" t="s">
        <v>464</v>
      </c>
      <c r="D1193" t="b">
        <f t="shared" ca="1" si="57"/>
        <v>1</v>
      </c>
      <c r="E1193" s="5">
        <f t="shared" si="58"/>
        <v>1.7046863732898897E-12</v>
      </c>
      <c r="F1193">
        <v>10852.988275937099</v>
      </c>
      <c r="G1193">
        <v>10852.9882759556</v>
      </c>
      <c r="H1193">
        <v>10852.9882759556</v>
      </c>
      <c r="J1193" s="5">
        <f t="shared" si="56"/>
        <v>1.7046863732898897E-12</v>
      </c>
      <c r="K1193" s="5">
        <f t="shared" si="56"/>
        <v>0</v>
      </c>
    </row>
    <row r="1194" spans="3:11" x14ac:dyDescent="0.2">
      <c r="C1194" t="s">
        <v>463</v>
      </c>
      <c r="D1194" t="b">
        <f t="shared" ca="1" si="57"/>
        <v>1</v>
      </c>
      <c r="E1194" s="5">
        <f t="shared" si="58"/>
        <v>1.2987687441982814E-12</v>
      </c>
      <c r="F1194">
        <v>14320.614608521</v>
      </c>
      <c r="G1194">
        <v>14320.614608539599</v>
      </c>
      <c r="H1194">
        <v>14320.614608539599</v>
      </c>
      <c r="J1194" s="5">
        <f t="shared" si="56"/>
        <v>1.2987687441982814E-12</v>
      </c>
      <c r="K1194" s="5">
        <f t="shared" si="56"/>
        <v>0</v>
      </c>
    </row>
    <row r="1195" spans="3:11" x14ac:dyDescent="0.2">
      <c r="C1195" t="s">
        <v>462</v>
      </c>
      <c r="D1195" t="b">
        <f t="shared" ca="1" si="57"/>
        <v>1</v>
      </c>
      <c r="E1195" s="5">
        <f t="shared" si="58"/>
        <v>1.9941754321048626E-13</v>
      </c>
      <c r="F1195">
        <v>15041.372379566001</v>
      </c>
      <c r="G1195">
        <v>15041.372379569</v>
      </c>
      <c r="H1195">
        <v>15041.372379569</v>
      </c>
      <c r="J1195" s="5">
        <f t="shared" si="56"/>
        <v>1.9941754321048626E-13</v>
      </c>
      <c r="K1195" s="5">
        <f t="shared" si="56"/>
        <v>0</v>
      </c>
    </row>
    <row r="1196" spans="3:11" x14ac:dyDescent="0.2">
      <c r="C1196" t="s">
        <v>461</v>
      </c>
      <c r="D1196" t="b">
        <f t="shared" ca="1" si="57"/>
        <v>1</v>
      </c>
      <c r="E1196" s="5">
        <f t="shared" si="58"/>
        <v>1.05090183769644E-13</v>
      </c>
      <c r="F1196">
        <v>16166.458578432699</v>
      </c>
      <c r="G1196">
        <v>16166.458578431</v>
      </c>
      <c r="H1196">
        <v>16166.458578431</v>
      </c>
      <c r="J1196" s="5">
        <f t="shared" si="56"/>
        <v>1.05090183769644E-13</v>
      </c>
      <c r="K1196" s="5">
        <f t="shared" si="56"/>
        <v>0</v>
      </c>
    </row>
    <row r="1197" spans="3:11" x14ac:dyDescent="0.2">
      <c r="C1197" t="s">
        <v>460</v>
      </c>
      <c r="D1197" t="b">
        <f t="shared" ca="1" si="57"/>
        <v>1</v>
      </c>
      <c r="E1197" s="5">
        <f t="shared" si="58"/>
        <v>1.2534318485744092E-13</v>
      </c>
      <c r="F1197">
        <v>16775.955971523901</v>
      </c>
      <c r="G1197">
        <v>16775.955971521798</v>
      </c>
      <c r="H1197">
        <v>16775.955971521798</v>
      </c>
      <c r="J1197" s="5">
        <f t="shared" si="56"/>
        <v>1.2534318485744092E-13</v>
      </c>
      <c r="K1197" s="5">
        <f t="shared" si="56"/>
        <v>0</v>
      </c>
    </row>
    <row r="1198" spans="3:11" x14ac:dyDescent="0.2">
      <c r="C1198" t="s">
        <v>459</v>
      </c>
      <c r="D1198" t="b">
        <f t="shared" ca="1" si="57"/>
        <v>1</v>
      </c>
      <c r="E1198" s="5">
        <f t="shared" si="58"/>
        <v>6.842364698170482E-14</v>
      </c>
      <c r="F1198">
        <v>21905.398712853599</v>
      </c>
      <c r="G1198">
        <v>21905.3987128521</v>
      </c>
      <c r="H1198">
        <v>21905.3987128521</v>
      </c>
      <c r="J1198" s="5">
        <f t="shared" si="56"/>
        <v>6.842364698170482E-14</v>
      </c>
      <c r="K1198" s="5">
        <f t="shared" si="56"/>
        <v>0</v>
      </c>
    </row>
    <row r="1199" spans="3:11" x14ac:dyDescent="0.2">
      <c r="C1199" t="s">
        <v>458</v>
      </c>
      <c r="D1199" t="b">
        <f t="shared" ca="1" si="57"/>
        <v>1</v>
      </c>
      <c r="E1199" s="5">
        <f t="shared" si="58"/>
        <v>5.7252217945668992E-14</v>
      </c>
      <c r="F1199">
        <v>20969.196468153299</v>
      </c>
      <c r="G1199">
        <v>20969.196468152099</v>
      </c>
      <c r="H1199">
        <v>20969.196468152099</v>
      </c>
      <c r="J1199" s="5">
        <f t="shared" si="56"/>
        <v>5.7252217945668992E-14</v>
      </c>
      <c r="K1199" s="5">
        <f t="shared" si="56"/>
        <v>0</v>
      </c>
    </row>
    <row r="1200" spans="3:11" x14ac:dyDescent="0.2">
      <c r="C1200" t="s">
        <v>457</v>
      </c>
      <c r="D1200" t="b">
        <f t="shared" ca="1" si="57"/>
        <v>1</v>
      </c>
      <c r="E1200" s="5">
        <f t="shared" si="58"/>
        <v>3.0226546921060113E-14</v>
      </c>
      <c r="F1200">
        <v>26478.556735256301</v>
      </c>
      <c r="G1200">
        <v>26478.556735255501</v>
      </c>
      <c r="H1200">
        <v>26478.556735255501</v>
      </c>
      <c r="J1200" s="5">
        <f t="shared" si="56"/>
        <v>3.0226546921060113E-14</v>
      </c>
      <c r="K1200" s="5">
        <f t="shared" si="56"/>
        <v>0</v>
      </c>
    </row>
    <row r="1201" spans="3:11" x14ac:dyDescent="0.2">
      <c r="C1201" t="s">
        <v>456</v>
      </c>
      <c r="D1201" t="b">
        <f t="shared" ca="1" si="57"/>
        <v>1</v>
      </c>
      <c r="E1201" s="5">
        <f t="shared" si="58"/>
        <v>2.2242243318046766E-14</v>
      </c>
      <c r="F1201">
        <v>26987.678112625101</v>
      </c>
      <c r="G1201">
        <v>26987.6781126245</v>
      </c>
      <c r="H1201">
        <v>26987.6781126245</v>
      </c>
      <c r="J1201" s="5">
        <f t="shared" si="56"/>
        <v>2.2242243318046766E-14</v>
      </c>
      <c r="K1201" s="5">
        <f t="shared" si="56"/>
        <v>0</v>
      </c>
    </row>
    <row r="1202" spans="3:11" x14ac:dyDescent="0.2">
      <c r="C1202" t="s">
        <v>455</v>
      </c>
      <c r="D1202" t="b">
        <f t="shared" ca="1" si="57"/>
        <v>1</v>
      </c>
      <c r="E1202" s="5">
        <f t="shared" si="58"/>
        <v>2.4158848404584951E-14</v>
      </c>
      <c r="F1202">
        <v>16564.434780928601</v>
      </c>
      <c r="G1202">
        <v>16564.434780928201</v>
      </c>
      <c r="H1202">
        <v>16564.434780928201</v>
      </c>
      <c r="J1202" s="5">
        <f t="shared" si="56"/>
        <v>2.4158848404584951E-14</v>
      </c>
      <c r="K1202" s="5">
        <f t="shared" si="56"/>
        <v>0</v>
      </c>
    </row>
    <row r="1203" spans="3:11" x14ac:dyDescent="0.2">
      <c r="C1203" t="s">
        <v>454</v>
      </c>
      <c r="D1203" t="b">
        <f t="shared" ca="1" si="57"/>
        <v>1</v>
      </c>
      <c r="E1203" s="5">
        <f t="shared" si="58"/>
        <v>1.7313210821197037E-14</v>
      </c>
      <c r="F1203">
        <v>17440.568598571201</v>
      </c>
      <c r="G1203">
        <v>17440.568598570899</v>
      </c>
      <c r="H1203">
        <v>17440.568598570899</v>
      </c>
      <c r="J1203" s="5">
        <f t="shared" si="56"/>
        <v>1.7313210821197037E-14</v>
      </c>
      <c r="K1203" s="5">
        <f t="shared" si="56"/>
        <v>0</v>
      </c>
    </row>
    <row r="1204" spans="3:11" x14ac:dyDescent="0.2">
      <c r="C1204" t="s">
        <v>453</v>
      </c>
      <c r="D1204" t="b">
        <f t="shared" ca="1" si="57"/>
        <v>1</v>
      </c>
      <c r="E1204" s="5">
        <f t="shared" si="58"/>
        <v>5.740699242676122E-15</v>
      </c>
      <c r="F1204">
        <v>17110.359494410099</v>
      </c>
      <c r="G1204">
        <v>17110.35949441</v>
      </c>
      <c r="H1204">
        <v>17110.35949441</v>
      </c>
      <c r="J1204" s="5">
        <f t="shared" si="56"/>
        <v>5.740699242676122E-15</v>
      </c>
      <c r="K1204" s="5">
        <f t="shared" si="56"/>
        <v>0</v>
      </c>
    </row>
    <row r="1205" spans="3:11" x14ac:dyDescent="0.2">
      <c r="C1205" t="s">
        <v>452</v>
      </c>
      <c r="D1205" t="b">
        <f t="shared" ca="1" si="57"/>
        <v>1</v>
      </c>
      <c r="E1205" s="5">
        <f t="shared" si="58"/>
        <v>0</v>
      </c>
      <c r="F1205">
        <v>16772.661893339198</v>
      </c>
      <c r="G1205">
        <v>16772.661893339198</v>
      </c>
      <c r="H1205">
        <v>16772.661893339198</v>
      </c>
      <c r="J1205" s="5">
        <f t="shared" si="56"/>
        <v>0</v>
      </c>
      <c r="K1205" s="5">
        <f t="shared" si="56"/>
        <v>0</v>
      </c>
    </row>
    <row r="1206" spans="3:11" x14ac:dyDescent="0.2">
      <c r="C1206" t="s">
        <v>451</v>
      </c>
      <c r="D1206" t="b">
        <f t="shared" ca="1" si="57"/>
        <v>1</v>
      </c>
      <c r="E1206" s="5">
        <f t="shared" si="58"/>
        <v>0</v>
      </c>
      <c r="F1206">
        <v>13638.960764613499</v>
      </c>
      <c r="G1206">
        <v>13638.960764613499</v>
      </c>
      <c r="H1206">
        <v>13638.960764613401</v>
      </c>
      <c r="J1206" s="5">
        <f t="shared" si="56"/>
        <v>0</v>
      </c>
      <c r="K1206" s="5">
        <f t="shared" si="56"/>
        <v>7.2018264064754621E-15</v>
      </c>
    </row>
    <row r="1207" spans="3:11" x14ac:dyDescent="0.2">
      <c r="C1207" t="s">
        <v>450</v>
      </c>
      <c r="D1207" t="b">
        <f t="shared" ca="1" si="57"/>
        <v>1</v>
      </c>
      <c r="E1207" s="5">
        <f t="shared" si="58"/>
        <v>7.3621462567706841E-15</v>
      </c>
      <c r="F1207">
        <v>13589.0287567997</v>
      </c>
      <c r="G1207">
        <v>13589.0287567996</v>
      </c>
      <c r="H1207">
        <v>13589.0287567996</v>
      </c>
      <c r="J1207" s="5">
        <f t="shared" si="56"/>
        <v>7.3621462567706841E-15</v>
      </c>
      <c r="K1207" s="5">
        <f t="shared" si="56"/>
        <v>0</v>
      </c>
    </row>
    <row r="1208" spans="3:11" x14ac:dyDescent="0.2">
      <c r="C1208" t="s">
        <v>449</v>
      </c>
      <c r="D1208" t="b">
        <f t="shared" ca="1" si="57"/>
        <v>1</v>
      </c>
      <c r="E1208" s="5">
        <f t="shared" si="58"/>
        <v>0</v>
      </c>
      <c r="F1208">
        <v>13392.311318685401</v>
      </c>
      <c r="G1208">
        <v>13392.311318685401</v>
      </c>
      <c r="H1208">
        <v>13392.311318685401</v>
      </c>
      <c r="J1208" s="5">
        <f t="shared" si="56"/>
        <v>0</v>
      </c>
      <c r="K1208" s="5">
        <f t="shared" si="56"/>
        <v>0</v>
      </c>
    </row>
    <row r="1209" spans="3:11" x14ac:dyDescent="0.2">
      <c r="C1209" t="s">
        <v>448</v>
      </c>
      <c r="D1209" t="b">
        <f t="shared" ca="1" si="57"/>
        <v>1</v>
      </c>
      <c r="E1209" s="5">
        <f t="shared" si="58"/>
        <v>0</v>
      </c>
      <c r="F1209">
        <v>13398.280239882501</v>
      </c>
      <c r="G1209">
        <v>13398.280239882501</v>
      </c>
      <c r="H1209">
        <v>13398.280239882501</v>
      </c>
      <c r="J1209" s="5">
        <f t="shared" si="56"/>
        <v>0</v>
      </c>
      <c r="K1209" s="5">
        <f t="shared" si="56"/>
        <v>0</v>
      </c>
    </row>
    <row r="1210" spans="3:11" x14ac:dyDescent="0.2">
      <c r="C1210" t="s">
        <v>447</v>
      </c>
      <c r="D1210" t="b">
        <f t="shared" ca="1" si="57"/>
        <v>1</v>
      </c>
      <c r="E1210" s="5">
        <f t="shared" si="58"/>
        <v>1.0657815042934296E-9</v>
      </c>
      <c r="F1210">
        <v>5807.1758068885702</v>
      </c>
      <c r="G1210">
        <v>5807.1758006993896</v>
      </c>
      <c r="H1210">
        <v>5807.1758006993796</v>
      </c>
      <c r="J1210" s="5">
        <f t="shared" si="56"/>
        <v>1.0657815042934296E-9</v>
      </c>
      <c r="K1210" s="5">
        <f t="shared" si="56"/>
        <v>1.7227723187400873E-15</v>
      </c>
    </row>
    <row r="1211" spans="3:11" x14ac:dyDescent="0.2">
      <c r="C1211" t="s">
        <v>446</v>
      </c>
      <c r="D1211" t="b">
        <f t="shared" ca="1" si="57"/>
        <v>1</v>
      </c>
      <c r="E1211" s="5">
        <f t="shared" si="58"/>
        <v>6.5852077659365512E-10</v>
      </c>
      <c r="F1211">
        <v>5849.91462160831</v>
      </c>
      <c r="G1211">
        <v>5849.9146177560197</v>
      </c>
      <c r="H1211">
        <v>5849.9146177560497</v>
      </c>
      <c r="J1211" s="5">
        <f t="shared" si="56"/>
        <v>6.5852077659365512E-10</v>
      </c>
      <c r="K1211" s="5">
        <f t="shared" si="56"/>
        <v>5.1305578148796134E-15</v>
      </c>
    </row>
    <row r="1212" spans="3:11" x14ac:dyDescent="0.2">
      <c r="C1212" t="s">
        <v>445</v>
      </c>
      <c r="D1212" t="b">
        <f t="shared" ca="1" si="57"/>
        <v>1</v>
      </c>
      <c r="E1212" s="5">
        <f t="shared" si="58"/>
        <v>4.08907762261774E-10</v>
      </c>
      <c r="F1212">
        <v>5805.90689267569</v>
      </c>
      <c r="G1212">
        <v>5805.9068903016096</v>
      </c>
      <c r="H1212">
        <v>5805.9068903016096</v>
      </c>
      <c r="J1212" s="5">
        <f t="shared" si="56"/>
        <v>4.08907762261774E-10</v>
      </c>
      <c r="K1212" s="5">
        <f t="shared" si="56"/>
        <v>0</v>
      </c>
    </row>
    <row r="1213" spans="3:11" x14ac:dyDescent="0.2">
      <c r="C1213" t="s">
        <v>444</v>
      </c>
      <c r="D1213" t="b">
        <f t="shared" ca="1" si="57"/>
        <v>1</v>
      </c>
      <c r="E1213" s="5">
        <f t="shared" si="58"/>
        <v>2.5417292621333459E-10</v>
      </c>
      <c r="F1213">
        <v>5740.2671372896402</v>
      </c>
      <c r="G1213">
        <v>5740.2671358306197</v>
      </c>
      <c r="H1213">
        <v>5740.2671358306297</v>
      </c>
      <c r="J1213" s="5">
        <f t="shared" si="56"/>
        <v>2.5417292621333459E-10</v>
      </c>
      <c r="K1213" s="5">
        <f t="shared" si="56"/>
        <v>1.7428529862407809E-15</v>
      </c>
    </row>
    <row r="1214" spans="3:11" x14ac:dyDescent="0.2">
      <c r="C1214" t="s">
        <v>443</v>
      </c>
      <c r="D1214" t="b">
        <f t="shared" ca="1" si="57"/>
        <v>1</v>
      </c>
      <c r="E1214" s="5">
        <f t="shared" si="58"/>
        <v>1.5907036328449991E-10</v>
      </c>
      <c r="F1214">
        <v>5610.6037979598104</v>
      </c>
      <c r="G1214">
        <v>5610.6037970673297</v>
      </c>
      <c r="H1214">
        <v>5610.6037970673297</v>
      </c>
      <c r="J1214" s="5">
        <f t="shared" si="56"/>
        <v>1.5907036328449991E-10</v>
      </c>
      <c r="K1214" s="5">
        <f t="shared" si="56"/>
        <v>0</v>
      </c>
    </row>
    <row r="1215" spans="3:11" x14ac:dyDescent="0.2">
      <c r="C1215" t="s">
        <v>442</v>
      </c>
      <c r="D1215" t="b">
        <f t="shared" ca="1" si="57"/>
        <v>1</v>
      </c>
      <c r="E1215" s="5">
        <f t="shared" si="58"/>
        <v>8.9663402511102341E-11</v>
      </c>
      <c r="F1215">
        <v>6012.3778091437798</v>
      </c>
      <c r="G1215">
        <v>6012.3778086046896</v>
      </c>
      <c r="H1215">
        <v>6012.3778086046896</v>
      </c>
      <c r="J1215" s="5">
        <f t="shared" si="56"/>
        <v>8.9663402511102341E-11</v>
      </c>
      <c r="K1215" s="5">
        <f t="shared" si="56"/>
        <v>0</v>
      </c>
    </row>
    <row r="1216" spans="3:11" x14ac:dyDescent="0.2">
      <c r="C1216" t="s">
        <v>441</v>
      </c>
      <c r="D1216" t="b">
        <f t="shared" ca="1" si="57"/>
        <v>1</v>
      </c>
      <c r="E1216" s="5">
        <f t="shared" si="58"/>
        <v>2.2446090016033735E-11</v>
      </c>
      <c r="F1216">
        <v>7529.5778160175096</v>
      </c>
      <c r="G1216">
        <v>7529.5778158485</v>
      </c>
      <c r="H1216">
        <v>7529.5778158485</v>
      </c>
      <c r="J1216" s="5">
        <f t="shared" si="56"/>
        <v>2.2446090016033735E-11</v>
      </c>
      <c r="K1216" s="5">
        <f t="shared" si="56"/>
        <v>0</v>
      </c>
    </row>
    <row r="1217" spans="3:11" x14ac:dyDescent="0.2">
      <c r="C1217" t="s">
        <v>440</v>
      </c>
      <c r="D1217" t="b">
        <f t="shared" ca="1" si="57"/>
        <v>1</v>
      </c>
      <c r="E1217" s="5">
        <f t="shared" si="58"/>
        <v>3.6362724726864049E-12</v>
      </c>
      <c r="F1217">
        <v>8750.6043277114495</v>
      </c>
      <c r="G1217">
        <v>8750.6043276796299</v>
      </c>
      <c r="H1217">
        <v>8750.6043276796208</v>
      </c>
      <c r="J1217" s="5">
        <f t="shared" si="56"/>
        <v>3.6362724726864049E-12</v>
      </c>
      <c r="K1217" s="5">
        <f t="shared" si="56"/>
        <v>1.0393507324928907E-15</v>
      </c>
    </row>
    <row r="1218" spans="3:11" x14ac:dyDescent="0.2">
      <c r="C1218" t="s">
        <v>439</v>
      </c>
      <c r="D1218" t="b">
        <f t="shared" ca="1" si="57"/>
        <v>1</v>
      </c>
      <c r="E1218" s="5">
        <f t="shared" si="58"/>
        <v>8.0804217042639662E-13</v>
      </c>
      <c r="F1218">
        <v>11757.5319734942</v>
      </c>
      <c r="G1218">
        <v>11757.5319734847</v>
      </c>
      <c r="H1218">
        <v>11757.5319734847</v>
      </c>
      <c r="J1218" s="5">
        <f t="shared" si="56"/>
        <v>8.0804217042639662E-13</v>
      </c>
      <c r="K1218" s="5">
        <f t="shared" si="56"/>
        <v>0</v>
      </c>
    </row>
    <row r="1219" spans="3:11" x14ac:dyDescent="0.2">
      <c r="C1219" t="s">
        <v>438</v>
      </c>
      <c r="D1219" t="b">
        <f t="shared" ca="1" si="57"/>
        <v>1</v>
      </c>
      <c r="E1219" s="5">
        <f t="shared" si="58"/>
        <v>5.673188339389829E-13</v>
      </c>
      <c r="F1219">
        <v>11985.1166287663</v>
      </c>
      <c r="G1219">
        <v>11985.116628759501</v>
      </c>
      <c r="H1219">
        <v>11985.116628759501</v>
      </c>
      <c r="J1219" s="5">
        <f t="shared" si="56"/>
        <v>5.673188339389829E-13</v>
      </c>
      <c r="K1219" s="5">
        <f t="shared" si="56"/>
        <v>0</v>
      </c>
    </row>
    <row r="1220" spans="3:11" x14ac:dyDescent="0.2">
      <c r="C1220" t="s">
        <v>437</v>
      </c>
      <c r="D1220" t="b">
        <f t="shared" ca="1" si="57"/>
        <v>1</v>
      </c>
      <c r="E1220" s="5">
        <f t="shared" si="58"/>
        <v>3.8464806874883509E-13</v>
      </c>
      <c r="F1220">
        <v>12475.024409097599</v>
      </c>
      <c r="G1220">
        <v>12475.024409092801</v>
      </c>
      <c r="H1220">
        <v>12475.024409092801</v>
      </c>
      <c r="J1220" s="5">
        <f t="shared" si="56"/>
        <v>3.8464806874883509E-13</v>
      </c>
      <c r="K1220" s="5">
        <f t="shared" si="56"/>
        <v>0</v>
      </c>
    </row>
    <row r="1221" spans="3:11" x14ac:dyDescent="0.2">
      <c r="C1221" t="s">
        <v>436</v>
      </c>
      <c r="D1221" t="b">
        <f t="shared" ca="1" si="57"/>
        <v>1</v>
      </c>
      <c r="E1221" s="5">
        <f t="shared" si="58"/>
        <v>2.3704814107990443E-13</v>
      </c>
      <c r="F1221">
        <v>12653.6049292875</v>
      </c>
      <c r="G1221">
        <v>12653.6049292845</v>
      </c>
      <c r="H1221">
        <v>12653.6049292845</v>
      </c>
      <c r="J1221" s="5">
        <f t="shared" si="56"/>
        <v>2.3704814107990443E-13</v>
      </c>
      <c r="K1221" s="5">
        <f t="shared" si="56"/>
        <v>0</v>
      </c>
    </row>
    <row r="1222" spans="3:11" x14ac:dyDescent="0.2">
      <c r="C1222" t="s">
        <v>435</v>
      </c>
      <c r="D1222" t="b">
        <f t="shared" ca="1" si="57"/>
        <v>1</v>
      </c>
      <c r="E1222" s="5">
        <f t="shared" si="58"/>
        <v>1.1521140453555186E-13</v>
      </c>
      <c r="F1222">
        <v>17367.103126349</v>
      </c>
      <c r="G1222">
        <v>17367.103126346999</v>
      </c>
      <c r="H1222">
        <v>17367.103126346901</v>
      </c>
      <c r="J1222" s="5">
        <f t="shared" si="56"/>
        <v>1.1521140453555186E-13</v>
      </c>
      <c r="K1222" s="5">
        <f t="shared" si="56"/>
        <v>5.6558325862913793E-15</v>
      </c>
    </row>
    <row r="1223" spans="3:11" x14ac:dyDescent="0.2">
      <c r="C1223" t="s">
        <v>434</v>
      </c>
      <c r="D1223" t="b">
        <f t="shared" ca="1" si="57"/>
        <v>1</v>
      </c>
      <c r="E1223" s="5">
        <f t="shared" si="58"/>
        <v>7.3921741979522058E-14</v>
      </c>
      <c r="F1223">
        <v>17569.369976312599</v>
      </c>
      <c r="G1223">
        <v>17569.3699763113</v>
      </c>
      <c r="H1223">
        <v>17569.3699763113</v>
      </c>
      <c r="J1223" s="5">
        <f t="shared" ref="J1223:K1286" si="59">ABS(F1223-G1223)/ABS(F1223)</f>
        <v>7.3921741979522058E-14</v>
      </c>
      <c r="K1223" s="5">
        <f t="shared" si="59"/>
        <v>0</v>
      </c>
    </row>
    <row r="1224" spans="3:11" x14ac:dyDescent="0.2">
      <c r="C1224" t="s">
        <v>433</v>
      </c>
      <c r="D1224" t="b">
        <f t="shared" ca="1" si="57"/>
        <v>1</v>
      </c>
      <c r="E1224" s="5">
        <f t="shared" si="58"/>
        <v>4.0025162430887256E-14</v>
      </c>
      <c r="F1224">
        <v>22450.396470052099</v>
      </c>
      <c r="G1224">
        <v>22450.396470051201</v>
      </c>
      <c r="H1224">
        <v>22450.396470051201</v>
      </c>
      <c r="J1224" s="5">
        <f t="shared" si="59"/>
        <v>4.0025162430887256E-14</v>
      </c>
      <c r="K1224" s="5">
        <f t="shared" si="59"/>
        <v>0</v>
      </c>
    </row>
    <row r="1225" spans="3:11" x14ac:dyDescent="0.2">
      <c r="C1225" t="s">
        <v>432</v>
      </c>
      <c r="D1225" t="b">
        <f t="shared" ca="1" si="57"/>
        <v>1</v>
      </c>
      <c r="E1225" s="5">
        <f t="shared" si="58"/>
        <v>2.6647252762789514E-14</v>
      </c>
      <c r="F1225">
        <v>22526.3935653566</v>
      </c>
      <c r="G1225">
        <v>22526.393565356</v>
      </c>
      <c r="H1225">
        <v>22526.393565356</v>
      </c>
      <c r="J1225" s="5">
        <f t="shared" si="59"/>
        <v>2.6647252762789514E-14</v>
      </c>
      <c r="K1225" s="5">
        <f t="shared" si="59"/>
        <v>0</v>
      </c>
    </row>
    <row r="1226" spans="3:11" x14ac:dyDescent="0.2">
      <c r="C1226" t="s">
        <v>431</v>
      </c>
      <c r="D1226" t="b">
        <f t="shared" ca="1" si="57"/>
        <v>1</v>
      </c>
      <c r="E1226" s="5">
        <f t="shared" si="58"/>
        <v>3.0654747000558417E-14</v>
      </c>
      <c r="F1226">
        <v>13054.345833380999</v>
      </c>
      <c r="G1226">
        <v>13054.345833380599</v>
      </c>
      <c r="H1226">
        <v>13054.345833380599</v>
      </c>
      <c r="J1226" s="5">
        <f t="shared" si="59"/>
        <v>3.0654747000558417E-14</v>
      </c>
      <c r="K1226" s="5">
        <f t="shared" si="59"/>
        <v>0</v>
      </c>
    </row>
    <row r="1227" spans="3:11" x14ac:dyDescent="0.2">
      <c r="C1227" t="s">
        <v>430</v>
      </c>
      <c r="D1227" t="b">
        <f t="shared" ca="1" si="57"/>
        <v>1</v>
      </c>
      <c r="E1227" s="5">
        <f t="shared" si="58"/>
        <v>2.3350770497450423E-14</v>
      </c>
      <c r="F1227">
        <v>12853.2483164886</v>
      </c>
      <c r="G1227">
        <v>12853.2483164883</v>
      </c>
      <c r="H1227">
        <v>12853.2483164883</v>
      </c>
      <c r="J1227" s="5">
        <f t="shared" si="59"/>
        <v>2.3350770497450423E-14</v>
      </c>
      <c r="K1227" s="5">
        <f t="shared" si="59"/>
        <v>0</v>
      </c>
    </row>
    <row r="1228" spans="3:11" x14ac:dyDescent="0.2">
      <c r="C1228" t="s">
        <v>429</v>
      </c>
      <c r="D1228" t="b">
        <f t="shared" ca="1" si="57"/>
        <v>1</v>
      </c>
      <c r="E1228" s="5">
        <f t="shared" si="58"/>
        <v>8.2339562669340409E-15</v>
      </c>
      <c r="F1228">
        <v>12150.2245034724</v>
      </c>
      <c r="G1228">
        <v>12150.2245034723</v>
      </c>
      <c r="H1228">
        <v>12150.2245034723</v>
      </c>
      <c r="J1228" s="5">
        <f t="shared" si="59"/>
        <v>8.2339562669340409E-15</v>
      </c>
      <c r="K1228" s="5">
        <f t="shared" si="59"/>
        <v>0</v>
      </c>
    </row>
    <row r="1229" spans="3:11" x14ac:dyDescent="0.2">
      <c r="C1229" t="s">
        <v>428</v>
      </c>
      <c r="D1229" t="b">
        <f t="shared" ca="1" si="57"/>
        <v>1</v>
      </c>
      <c r="E1229" s="5">
        <f t="shared" si="58"/>
        <v>0</v>
      </c>
      <c r="F1229">
        <v>11538.016211353301</v>
      </c>
      <c r="G1229">
        <v>11538.016211353301</v>
      </c>
      <c r="H1229">
        <v>11538.016211353301</v>
      </c>
      <c r="J1229" s="5">
        <f t="shared" si="59"/>
        <v>0</v>
      </c>
      <c r="K1229" s="5">
        <f t="shared" si="59"/>
        <v>0</v>
      </c>
    </row>
    <row r="1230" spans="3:11" x14ac:dyDescent="0.2">
      <c r="C1230" t="s">
        <v>427</v>
      </c>
      <c r="D1230" t="b">
        <f t="shared" ca="1" si="57"/>
        <v>1</v>
      </c>
      <c r="E1230" s="5">
        <f t="shared" si="58"/>
        <v>2.2104962908244616E-15</v>
      </c>
      <c r="F1230">
        <v>9051.7606937678192</v>
      </c>
      <c r="G1230">
        <v>9051.7606937677992</v>
      </c>
      <c r="H1230">
        <v>9051.7606937678102</v>
      </c>
      <c r="J1230" s="5">
        <f t="shared" si="59"/>
        <v>2.2104962908244616E-15</v>
      </c>
      <c r="K1230" s="5">
        <f t="shared" si="59"/>
        <v>1.2057252495406181E-15</v>
      </c>
    </row>
    <row r="1231" spans="3:11" x14ac:dyDescent="0.2">
      <c r="C1231" t="s">
        <v>426</v>
      </c>
      <c r="D1231" t="b">
        <f t="shared" ca="1" si="57"/>
        <v>1</v>
      </c>
      <c r="E1231" s="5">
        <f t="shared" si="58"/>
        <v>2.2380000961072255E-15</v>
      </c>
      <c r="F1231">
        <v>8940.5194726344507</v>
      </c>
      <c r="G1231">
        <v>8940.5194726344307</v>
      </c>
      <c r="H1231">
        <v>8940.5194726344398</v>
      </c>
      <c r="J1231" s="5">
        <f t="shared" si="59"/>
        <v>2.2380000961072255E-15</v>
      </c>
      <c r="K1231" s="5">
        <f t="shared" si="59"/>
        <v>1.0172727709578321E-15</v>
      </c>
    </row>
    <row r="1232" spans="3:11" x14ac:dyDescent="0.2">
      <c r="C1232" t="s">
        <v>425</v>
      </c>
      <c r="D1232" t="b">
        <f t="shared" ca="1" si="57"/>
        <v>1</v>
      </c>
      <c r="E1232" s="5">
        <f t="shared" si="58"/>
        <v>0</v>
      </c>
      <c r="F1232">
        <v>8741.5976372524292</v>
      </c>
      <c r="G1232">
        <v>8741.5976372524292</v>
      </c>
      <c r="H1232">
        <v>8741.5976372524292</v>
      </c>
      <c r="J1232" s="5">
        <f t="shared" si="59"/>
        <v>0</v>
      </c>
      <c r="K1232" s="5">
        <f t="shared" si="59"/>
        <v>0</v>
      </c>
    </row>
    <row r="1233" spans="3:11" x14ac:dyDescent="0.2">
      <c r="C1233" t="s">
        <v>424</v>
      </c>
      <c r="D1233" t="b">
        <f t="shared" ca="1" si="57"/>
        <v>1</v>
      </c>
      <c r="E1233" s="5">
        <f t="shared" si="58"/>
        <v>1.0499631098089858E-15</v>
      </c>
      <c r="F1233">
        <v>8662.1586346818203</v>
      </c>
      <c r="G1233">
        <v>8662.1586346818294</v>
      </c>
      <c r="H1233">
        <v>8662.1586346818094</v>
      </c>
      <c r="J1233" s="5">
        <f t="shared" si="59"/>
        <v>1.0499631098089858E-15</v>
      </c>
      <c r="K1233" s="5">
        <f t="shared" si="59"/>
        <v>2.3099188415797662E-15</v>
      </c>
    </row>
    <row r="1234" spans="3:11" x14ac:dyDescent="0.2">
      <c r="C1234" t="s">
        <v>423</v>
      </c>
      <c r="D1234" t="b">
        <f t="shared" ref="D1234:D1297" ca="1" si="60">IF(CELL("format",F1234)="G",IF(ABS(F1234-G1234) &lt;= ABS(F1234*B$3),TRUE,FALSE),IF(F1234=G1234,TRUE,FALSE))</f>
        <v>1</v>
      </c>
      <c r="E1234" s="5">
        <f t="shared" ref="E1234:E1297" si="61">ABS(F1234-G1234)/ABS(F1234)</f>
        <v>8.3533015298980823E-11</v>
      </c>
      <c r="F1234">
        <v>1815.69005271631</v>
      </c>
      <c r="G1234">
        <v>1815.6900525646399</v>
      </c>
      <c r="H1234">
        <v>1815.6900525646399</v>
      </c>
      <c r="J1234" s="5">
        <f t="shared" si="59"/>
        <v>8.3533015298980823E-11</v>
      </c>
      <c r="K1234" s="5">
        <f t="shared" si="59"/>
        <v>0</v>
      </c>
    </row>
    <row r="1235" spans="3:11" x14ac:dyDescent="0.2">
      <c r="C1235" t="s">
        <v>422</v>
      </c>
      <c r="D1235" t="b">
        <f t="shared" ca="1" si="60"/>
        <v>1</v>
      </c>
      <c r="E1235" s="5">
        <f t="shared" si="61"/>
        <v>3.2961227820862141E-11</v>
      </c>
      <c r="F1235">
        <v>1799.38589710172</v>
      </c>
      <c r="G1235">
        <v>1799.3858970424101</v>
      </c>
      <c r="H1235">
        <v>1799.3858970424301</v>
      </c>
      <c r="J1235" s="5">
        <f t="shared" si="59"/>
        <v>3.2961227820862141E-11</v>
      </c>
      <c r="K1235" s="5">
        <f t="shared" si="59"/>
        <v>1.1119840092051598E-14</v>
      </c>
    </row>
    <row r="1236" spans="3:11" x14ac:dyDescent="0.2">
      <c r="C1236" t="s">
        <v>421</v>
      </c>
      <c r="D1236" t="b">
        <f t="shared" ca="1" si="60"/>
        <v>1</v>
      </c>
      <c r="E1236" s="5">
        <f t="shared" si="61"/>
        <v>1.8274305506205221E-11</v>
      </c>
      <c r="F1236">
        <v>1794.3233176158301</v>
      </c>
      <c r="G1236">
        <v>1794.3233175830401</v>
      </c>
      <c r="H1236">
        <v>1794.3233175830501</v>
      </c>
      <c r="J1236" s="5">
        <f t="shared" si="59"/>
        <v>1.8274305506205221E-11</v>
      </c>
      <c r="K1236" s="5">
        <f t="shared" si="59"/>
        <v>5.5756070388575397E-15</v>
      </c>
    </row>
    <row r="1237" spans="3:11" x14ac:dyDescent="0.2">
      <c r="C1237" t="s">
        <v>420</v>
      </c>
      <c r="D1237" t="b">
        <f t="shared" ca="1" si="60"/>
        <v>1</v>
      </c>
      <c r="E1237" s="5">
        <f t="shared" si="61"/>
        <v>7.596285453143903E-12</v>
      </c>
      <c r="F1237">
        <v>1744.27009681358</v>
      </c>
      <c r="G1237">
        <v>1744.2700968003301</v>
      </c>
      <c r="H1237">
        <v>1744.2700968003301</v>
      </c>
      <c r="J1237" s="5">
        <f t="shared" si="59"/>
        <v>7.596285453143903E-12</v>
      </c>
      <c r="K1237" s="5">
        <f t="shared" si="59"/>
        <v>0</v>
      </c>
    </row>
    <row r="1238" spans="3:11" x14ac:dyDescent="0.2">
      <c r="C1238" t="s">
        <v>419</v>
      </c>
      <c r="D1238" t="b">
        <f t="shared" ca="1" si="60"/>
        <v>1</v>
      </c>
      <c r="E1238" s="5">
        <f t="shared" si="61"/>
        <v>1.0441636365892497E-12</v>
      </c>
      <c r="F1238">
        <v>1627.9494305759699</v>
      </c>
      <c r="G1238">
        <v>1627.9494305742701</v>
      </c>
      <c r="H1238">
        <v>1627.9494305742601</v>
      </c>
      <c r="J1238" s="5">
        <f t="shared" si="59"/>
        <v>1.0441636365892497E-12</v>
      </c>
      <c r="K1238" s="5">
        <f t="shared" si="59"/>
        <v>6.1454253624899615E-15</v>
      </c>
    </row>
    <row r="1239" spans="3:11" x14ac:dyDescent="0.2">
      <c r="C1239" t="s">
        <v>418</v>
      </c>
      <c r="D1239" t="b">
        <f t="shared" ca="1" si="60"/>
        <v>1</v>
      </c>
      <c r="E1239" s="5">
        <f t="shared" si="61"/>
        <v>1.3082421226883545E-11</v>
      </c>
      <c r="F1239">
        <v>1573.8541683286501</v>
      </c>
      <c r="G1239">
        <v>1573.8541683492399</v>
      </c>
      <c r="H1239">
        <v>1573.8541683492299</v>
      </c>
      <c r="J1239" s="5">
        <f t="shared" si="59"/>
        <v>1.3082421226883545E-11</v>
      </c>
      <c r="K1239" s="5">
        <f t="shared" si="59"/>
        <v>6.3566510294886575E-15</v>
      </c>
    </row>
    <row r="1240" spans="3:11" x14ac:dyDescent="0.2">
      <c r="C1240" t="s">
        <v>417</v>
      </c>
      <c r="D1240" t="b">
        <f t="shared" ca="1" si="60"/>
        <v>1</v>
      </c>
      <c r="E1240" s="5">
        <f t="shared" si="61"/>
        <v>3.6282533596141828E-11</v>
      </c>
      <c r="F1240">
        <v>1895.1287679121599</v>
      </c>
      <c r="G1240">
        <v>1895.12876798092</v>
      </c>
      <c r="H1240">
        <v>1895.12876798093</v>
      </c>
      <c r="J1240" s="5">
        <f t="shared" si="59"/>
        <v>3.6282533596141828E-11</v>
      </c>
      <c r="K1240" s="5">
        <f t="shared" si="59"/>
        <v>5.2790300524860874E-15</v>
      </c>
    </row>
    <row r="1241" spans="3:11" x14ac:dyDescent="0.2">
      <c r="C1241" t="s">
        <v>416</v>
      </c>
      <c r="D1241" t="b">
        <f t="shared" ca="1" si="60"/>
        <v>1</v>
      </c>
      <c r="E1241" s="5">
        <f t="shared" si="61"/>
        <v>2.3930007510322138E-11</v>
      </c>
      <c r="F1241">
        <v>2102.3839482257199</v>
      </c>
      <c r="G1241">
        <v>2102.38394827603</v>
      </c>
      <c r="H1241">
        <v>2102.38394827602</v>
      </c>
      <c r="J1241" s="5">
        <f t="shared" si="59"/>
        <v>2.3930007510322138E-11</v>
      </c>
      <c r="K1241" s="5">
        <f t="shared" si="59"/>
        <v>4.7586178194073087E-15</v>
      </c>
    </row>
    <row r="1242" spans="3:11" x14ac:dyDescent="0.2">
      <c r="C1242" t="s">
        <v>415</v>
      </c>
      <c r="D1242" t="b">
        <f t="shared" ca="1" si="60"/>
        <v>1</v>
      </c>
      <c r="E1242" s="5">
        <f t="shared" si="61"/>
        <v>1.0979053283590656E-11</v>
      </c>
      <c r="F1242">
        <v>2563.0826350268098</v>
      </c>
      <c r="G1242">
        <v>2563.0826350549501</v>
      </c>
      <c r="H1242">
        <v>2563.0826350549501</v>
      </c>
      <c r="J1242" s="5">
        <f t="shared" si="59"/>
        <v>1.0979053283590656E-11</v>
      </c>
      <c r="K1242" s="5">
        <f t="shared" si="59"/>
        <v>0</v>
      </c>
    </row>
    <row r="1243" spans="3:11" x14ac:dyDescent="0.2">
      <c r="C1243" t="s">
        <v>414</v>
      </c>
      <c r="D1243" t="b">
        <f t="shared" ca="1" si="60"/>
        <v>1</v>
      </c>
      <c r="E1243" s="5">
        <f t="shared" si="61"/>
        <v>3.1738887490750449E-12</v>
      </c>
      <c r="F1243">
        <v>3056.2557507997299</v>
      </c>
      <c r="G1243">
        <v>3056.2557508094301</v>
      </c>
      <c r="H1243">
        <v>3056.2557508094301</v>
      </c>
      <c r="J1243" s="5">
        <f t="shared" si="59"/>
        <v>3.1738887490750449E-12</v>
      </c>
      <c r="K1243" s="5">
        <f t="shared" si="59"/>
        <v>0</v>
      </c>
    </row>
    <row r="1244" spans="3:11" x14ac:dyDescent="0.2">
      <c r="C1244" t="s">
        <v>413</v>
      </c>
      <c r="D1244" t="b">
        <f t="shared" ca="1" si="60"/>
        <v>1</v>
      </c>
      <c r="E1244" s="5">
        <f t="shared" si="61"/>
        <v>8.5875668848797917E-13</v>
      </c>
      <c r="F1244">
        <v>3691.4341693350498</v>
      </c>
      <c r="G1244">
        <v>3691.4341693382198</v>
      </c>
      <c r="H1244">
        <v>3691.4341693382098</v>
      </c>
      <c r="J1244" s="5">
        <f t="shared" si="59"/>
        <v>8.5875668848797917E-13</v>
      </c>
      <c r="K1244" s="5">
        <f t="shared" si="59"/>
        <v>2.7101774704804643E-15</v>
      </c>
    </row>
    <row r="1245" spans="3:11" x14ac:dyDescent="0.2">
      <c r="C1245" t="s">
        <v>412</v>
      </c>
      <c r="D1245" t="b">
        <f t="shared" ca="1" si="60"/>
        <v>1</v>
      </c>
      <c r="E1245" s="5">
        <f t="shared" si="61"/>
        <v>2.3055337927676948E-13</v>
      </c>
      <c r="F1245">
        <v>4122.3510422363797</v>
      </c>
      <c r="G1245">
        <v>4122.3510422373301</v>
      </c>
      <c r="H1245">
        <v>4122.3510422373301</v>
      </c>
      <c r="J1245" s="5">
        <f t="shared" si="59"/>
        <v>2.3055337927676948E-13</v>
      </c>
      <c r="K1245" s="5">
        <f t="shared" si="59"/>
        <v>0</v>
      </c>
    </row>
    <row r="1246" spans="3:11" x14ac:dyDescent="0.2">
      <c r="C1246" t="s">
        <v>411</v>
      </c>
      <c r="D1246" t="b">
        <f t="shared" ca="1" si="60"/>
        <v>1</v>
      </c>
      <c r="E1246" s="5">
        <f t="shared" si="61"/>
        <v>1.1904025256962444E-13</v>
      </c>
      <c r="F1246">
        <v>4538.2955865045997</v>
      </c>
      <c r="G1246">
        <v>4538.2955865051399</v>
      </c>
      <c r="H1246">
        <v>4538.2955865051599</v>
      </c>
      <c r="J1246" s="5">
        <f t="shared" si="59"/>
        <v>1.1904025256962444E-13</v>
      </c>
      <c r="K1246" s="5">
        <f t="shared" si="59"/>
        <v>4.4088982433188986E-15</v>
      </c>
    </row>
    <row r="1247" spans="3:11" x14ac:dyDescent="0.2">
      <c r="C1247" t="s">
        <v>410</v>
      </c>
      <c r="D1247" t="b">
        <f t="shared" ca="1" si="60"/>
        <v>1</v>
      </c>
      <c r="E1247" s="5">
        <f t="shared" si="61"/>
        <v>3.2368963292283419E-14</v>
      </c>
      <c r="F1247">
        <v>3399.8264918406999</v>
      </c>
      <c r="G1247">
        <v>3399.8264918408099</v>
      </c>
      <c r="H1247">
        <v>3399.8264918408099</v>
      </c>
      <c r="J1247" s="5">
        <f t="shared" si="59"/>
        <v>3.2368963292283419E-14</v>
      </c>
      <c r="K1247" s="5">
        <f t="shared" si="59"/>
        <v>0</v>
      </c>
    </row>
    <row r="1248" spans="3:11" x14ac:dyDescent="0.2">
      <c r="C1248" t="s">
        <v>409</v>
      </c>
      <c r="D1248" t="b">
        <f t="shared" ca="1" si="60"/>
        <v>1</v>
      </c>
      <c r="E1248" s="5">
        <f t="shared" si="61"/>
        <v>1.4901753248382813E-14</v>
      </c>
      <c r="F1248">
        <v>4028.1602652042002</v>
      </c>
      <c r="G1248">
        <v>4028.1602652042602</v>
      </c>
      <c r="H1248">
        <v>4028.1602652042702</v>
      </c>
      <c r="J1248" s="5">
        <f t="shared" si="59"/>
        <v>1.4901753248382813E-14</v>
      </c>
      <c r="K1248" s="5">
        <f t="shared" si="59"/>
        <v>2.4836255413970984E-15</v>
      </c>
    </row>
    <row r="1249" spans="3:11" x14ac:dyDescent="0.2">
      <c r="C1249" t="s">
        <v>408</v>
      </c>
      <c r="D1249" t="b">
        <f t="shared" ca="1" si="60"/>
        <v>1</v>
      </c>
      <c r="E1249" s="5">
        <f t="shared" si="61"/>
        <v>4.4850049861212112E-15</v>
      </c>
      <c r="F1249">
        <v>4461.2845472684303</v>
      </c>
      <c r="G1249">
        <v>4461.2845472684503</v>
      </c>
      <c r="H1249">
        <v>4461.2845472684503</v>
      </c>
      <c r="J1249" s="5">
        <f t="shared" si="59"/>
        <v>4.4850049861212112E-15</v>
      </c>
      <c r="K1249" s="5">
        <f t="shared" si="59"/>
        <v>0</v>
      </c>
    </row>
    <row r="1250" spans="3:11" x14ac:dyDescent="0.2">
      <c r="C1250" t="s">
        <v>407</v>
      </c>
      <c r="D1250" t="b">
        <f t="shared" ca="1" si="60"/>
        <v>1</v>
      </c>
      <c r="E1250" s="5">
        <f t="shared" si="61"/>
        <v>1.1400784275272538E-14</v>
      </c>
      <c r="F1250">
        <v>3510.0889475476201</v>
      </c>
      <c r="G1250">
        <v>3510.0889475475801</v>
      </c>
      <c r="H1250">
        <v>3510.0889475475701</v>
      </c>
      <c r="J1250" s="5">
        <f t="shared" si="59"/>
        <v>1.1400784275272538E-14</v>
      </c>
      <c r="K1250" s="5">
        <f t="shared" si="59"/>
        <v>2.8501960688181672E-15</v>
      </c>
    </row>
    <row r="1251" spans="3:11" x14ac:dyDescent="0.2">
      <c r="C1251" t="s">
        <v>406</v>
      </c>
      <c r="D1251" t="b">
        <f t="shared" ca="1" si="60"/>
        <v>1</v>
      </c>
      <c r="E1251" s="5">
        <f t="shared" si="61"/>
        <v>8.7235606884289527E-15</v>
      </c>
      <c r="F1251">
        <v>4587.32028208263</v>
      </c>
      <c r="G1251">
        <v>4587.32028208259</v>
      </c>
      <c r="H1251">
        <v>4587.3202820826</v>
      </c>
      <c r="J1251" s="5">
        <f t="shared" si="59"/>
        <v>8.7235606884289527E-15</v>
      </c>
      <c r="K1251" s="5">
        <f t="shared" si="59"/>
        <v>2.1808901721072571E-15</v>
      </c>
    </row>
    <row r="1252" spans="3:11" x14ac:dyDescent="0.2">
      <c r="C1252" t="s">
        <v>405</v>
      </c>
      <c r="D1252" t="b">
        <f t="shared" ca="1" si="60"/>
        <v>1</v>
      </c>
      <c r="E1252" s="5">
        <f t="shared" si="61"/>
        <v>0</v>
      </c>
      <c r="F1252">
        <v>4960.1349909376904</v>
      </c>
      <c r="G1252">
        <v>4960.1349909376904</v>
      </c>
      <c r="H1252">
        <v>4960.1349909376904</v>
      </c>
      <c r="J1252" s="5">
        <f t="shared" si="59"/>
        <v>0</v>
      </c>
      <c r="K1252" s="5">
        <f t="shared" si="59"/>
        <v>0</v>
      </c>
    </row>
    <row r="1253" spans="3:11" x14ac:dyDescent="0.2">
      <c r="C1253" t="s">
        <v>404</v>
      </c>
      <c r="D1253" t="b">
        <f t="shared" ca="1" si="60"/>
        <v>1</v>
      </c>
      <c r="E1253" s="5">
        <f t="shared" si="61"/>
        <v>0</v>
      </c>
      <c r="F1253">
        <v>5234.6456819859004</v>
      </c>
      <c r="G1253">
        <v>5234.6456819859004</v>
      </c>
      <c r="H1253">
        <v>5234.6456819859104</v>
      </c>
      <c r="J1253" s="5">
        <f t="shared" si="59"/>
        <v>0</v>
      </c>
      <c r="K1253" s="5">
        <f t="shared" si="59"/>
        <v>1.9111974959319047E-15</v>
      </c>
    </row>
    <row r="1254" spans="3:11" x14ac:dyDescent="0.2">
      <c r="C1254" t="s">
        <v>403</v>
      </c>
      <c r="D1254" t="b">
        <f t="shared" ca="1" si="60"/>
        <v>1</v>
      </c>
      <c r="E1254" s="5">
        <f t="shared" si="61"/>
        <v>0</v>
      </c>
      <c r="F1254">
        <v>4587.2000708456899</v>
      </c>
      <c r="G1254">
        <v>4587.2000708456899</v>
      </c>
      <c r="H1254">
        <v>4587.2000708456799</v>
      </c>
      <c r="J1254" s="5">
        <f t="shared" si="59"/>
        <v>0</v>
      </c>
      <c r="K1254" s="5">
        <f t="shared" si="59"/>
        <v>2.1809473240738345E-15</v>
      </c>
    </row>
    <row r="1255" spans="3:11" x14ac:dyDescent="0.2">
      <c r="C1255" t="s">
        <v>402</v>
      </c>
      <c r="D1255" t="b">
        <f t="shared" ca="1" si="60"/>
        <v>1</v>
      </c>
      <c r="E1255" s="5">
        <f t="shared" si="61"/>
        <v>0</v>
      </c>
      <c r="F1255">
        <v>4648.5092841652604</v>
      </c>
      <c r="G1255">
        <v>4648.5092841652604</v>
      </c>
      <c r="H1255">
        <v>4648.5092841652504</v>
      </c>
      <c r="J1255" s="5">
        <f t="shared" si="59"/>
        <v>0</v>
      </c>
      <c r="K1255" s="5">
        <f t="shared" si="59"/>
        <v>2.1521827983825836E-15</v>
      </c>
    </row>
    <row r="1256" spans="3:11" x14ac:dyDescent="0.2">
      <c r="C1256" t="s">
        <v>401</v>
      </c>
      <c r="D1256" t="b">
        <f t="shared" ca="1" si="60"/>
        <v>1</v>
      </c>
      <c r="E1256" s="5">
        <f t="shared" si="61"/>
        <v>0</v>
      </c>
      <c r="F1256">
        <v>4650.7136814330497</v>
      </c>
      <c r="G1256">
        <v>4650.7136814330497</v>
      </c>
      <c r="H1256">
        <v>4650.7136814330397</v>
      </c>
      <c r="J1256" s="5">
        <f t="shared" si="59"/>
        <v>0</v>
      </c>
      <c r="K1256" s="5">
        <f t="shared" si="59"/>
        <v>2.1511626827174376E-15</v>
      </c>
    </row>
    <row r="1257" spans="3:11" x14ac:dyDescent="0.2">
      <c r="C1257" t="s">
        <v>400</v>
      </c>
      <c r="D1257" t="b">
        <f t="shared" ca="1" si="60"/>
        <v>1</v>
      </c>
      <c r="E1257" s="5">
        <f t="shared" si="61"/>
        <v>2.1123701107075298E-15</v>
      </c>
      <c r="F1257">
        <v>4736.1216052007403</v>
      </c>
      <c r="G1257">
        <v>4736.1216052007303</v>
      </c>
      <c r="H1257">
        <v>4736.1216052007403</v>
      </c>
      <c r="J1257" s="5">
        <f t="shared" si="59"/>
        <v>2.1123701107075298E-15</v>
      </c>
      <c r="K1257" s="5">
        <f t="shared" si="59"/>
        <v>2.1123701107075341E-15</v>
      </c>
    </row>
    <row r="1258" spans="3:11" x14ac:dyDescent="0.2">
      <c r="C1258" t="s">
        <v>399</v>
      </c>
      <c r="D1258" t="b">
        <f t="shared" ca="1" si="60"/>
        <v>1</v>
      </c>
      <c r="E1258" s="5">
        <f t="shared" si="61"/>
        <v>3.3728924934173127E-10</v>
      </c>
      <c r="F1258">
        <v>9.2316306144270294E-3</v>
      </c>
      <c r="G1258">
        <v>9.2316306175407592E-3</v>
      </c>
      <c r="H1258">
        <v>9.2316306175407592E-3</v>
      </c>
      <c r="J1258" s="5">
        <f t="shared" si="59"/>
        <v>3.3728924934173127E-10</v>
      </c>
      <c r="K1258" s="5">
        <f t="shared" si="59"/>
        <v>0</v>
      </c>
    </row>
    <row r="1259" spans="3:11" x14ac:dyDescent="0.2">
      <c r="C1259" t="s">
        <v>398</v>
      </c>
      <c r="D1259" t="b">
        <f t="shared" ca="1" si="60"/>
        <v>1</v>
      </c>
      <c r="E1259" s="5">
        <f t="shared" si="61"/>
        <v>2.1324669745151203E-10</v>
      </c>
      <c r="F1259">
        <v>9.1954051683573006E-3</v>
      </c>
      <c r="G1259">
        <v>9.1954051703181904E-3</v>
      </c>
      <c r="H1259">
        <v>9.1954051703181904E-3</v>
      </c>
      <c r="J1259" s="5">
        <f t="shared" si="59"/>
        <v>2.1324669745151203E-10</v>
      </c>
      <c r="K1259" s="5">
        <f t="shared" si="59"/>
        <v>0</v>
      </c>
    </row>
    <row r="1260" spans="3:11" x14ac:dyDescent="0.2">
      <c r="C1260" t="s">
        <v>397</v>
      </c>
      <c r="D1260" t="b">
        <f t="shared" ca="1" si="60"/>
        <v>1</v>
      </c>
      <c r="E1260" s="5">
        <f t="shared" si="61"/>
        <v>1.3309788198581413E-10</v>
      </c>
      <c r="F1260">
        <v>9.2021050617638895E-3</v>
      </c>
      <c r="G1260">
        <v>9.2021050629886702E-3</v>
      </c>
      <c r="H1260">
        <v>9.2021050629886702E-3</v>
      </c>
      <c r="J1260" s="5">
        <f t="shared" si="59"/>
        <v>1.3309788198581413E-10</v>
      </c>
      <c r="K1260" s="5">
        <f t="shared" si="59"/>
        <v>0</v>
      </c>
    </row>
    <row r="1261" spans="3:11" x14ac:dyDescent="0.2">
      <c r="C1261" t="s">
        <v>396</v>
      </c>
      <c r="D1261" t="b">
        <f t="shared" ca="1" si="60"/>
        <v>1</v>
      </c>
      <c r="E1261" s="5">
        <f t="shared" si="61"/>
        <v>8.3556146030336647E-11</v>
      </c>
      <c r="F1261">
        <v>9.1455866935150499E-3</v>
      </c>
      <c r="G1261">
        <v>9.1455866942792199E-3</v>
      </c>
      <c r="H1261">
        <v>9.1455866942792199E-3</v>
      </c>
      <c r="J1261" s="5">
        <f t="shared" si="59"/>
        <v>8.3556146030336647E-11</v>
      </c>
      <c r="K1261" s="5">
        <f t="shared" si="59"/>
        <v>0</v>
      </c>
    </row>
    <row r="1262" spans="3:11" x14ac:dyDescent="0.2">
      <c r="C1262" t="s">
        <v>395</v>
      </c>
      <c r="D1262" t="b">
        <f t="shared" ca="1" si="60"/>
        <v>1</v>
      </c>
      <c r="E1262" s="5">
        <f t="shared" si="61"/>
        <v>5.2452725717046794E-11</v>
      </c>
      <c r="F1262">
        <v>9.0239296869809495E-3</v>
      </c>
      <c r="G1262">
        <v>9.0239296874542792E-3</v>
      </c>
      <c r="H1262">
        <v>9.0239296874542792E-3</v>
      </c>
      <c r="J1262" s="5">
        <f t="shared" si="59"/>
        <v>5.2452725717046794E-11</v>
      </c>
      <c r="K1262" s="5">
        <f t="shared" si="59"/>
        <v>0</v>
      </c>
    </row>
    <row r="1263" spans="3:11" x14ac:dyDescent="0.2">
      <c r="C1263" t="s">
        <v>394</v>
      </c>
      <c r="D1263" t="b">
        <f t="shared" ca="1" si="60"/>
        <v>1</v>
      </c>
      <c r="E1263" s="5">
        <f t="shared" si="61"/>
        <v>3.2269581238344926E-11</v>
      </c>
      <c r="F1263">
        <v>8.8774161022867597E-3</v>
      </c>
      <c r="G1263">
        <v>8.8774161025732302E-3</v>
      </c>
      <c r="H1263">
        <v>8.8774161025732302E-3</v>
      </c>
      <c r="J1263" s="5">
        <f t="shared" si="59"/>
        <v>3.2269581238344926E-11</v>
      </c>
      <c r="K1263" s="5">
        <f t="shared" si="59"/>
        <v>0</v>
      </c>
    </row>
    <row r="1264" spans="3:11" x14ac:dyDescent="0.2">
      <c r="C1264" t="s">
        <v>393</v>
      </c>
      <c r="D1264" t="b">
        <f t="shared" ca="1" si="60"/>
        <v>1</v>
      </c>
      <c r="E1264" s="5">
        <f t="shared" si="61"/>
        <v>1.6932874755467648E-11</v>
      </c>
      <c r="F1264">
        <v>9.1438111579274992E-3</v>
      </c>
      <c r="G1264">
        <v>9.1438111580823302E-3</v>
      </c>
      <c r="H1264">
        <v>9.1438111580823302E-3</v>
      </c>
      <c r="J1264" s="5">
        <f t="shared" si="59"/>
        <v>1.6932874755467648E-11</v>
      </c>
      <c r="K1264" s="5">
        <f t="shared" si="59"/>
        <v>0</v>
      </c>
    </row>
    <row r="1265" spans="3:11" x14ac:dyDescent="0.2">
      <c r="C1265" t="s">
        <v>392</v>
      </c>
      <c r="D1265" t="b">
        <f t="shared" ca="1" si="60"/>
        <v>1</v>
      </c>
      <c r="E1265" s="5">
        <f t="shared" si="61"/>
        <v>7.1526904164232435E-12</v>
      </c>
      <c r="F1265">
        <v>9.4510506116863794E-3</v>
      </c>
      <c r="G1265">
        <v>9.4510506117539798E-3</v>
      </c>
      <c r="H1265">
        <v>9.4510506117539798E-3</v>
      </c>
      <c r="J1265" s="5">
        <f t="shared" si="59"/>
        <v>7.1526904164232435E-12</v>
      </c>
      <c r="K1265" s="5">
        <f t="shared" si="59"/>
        <v>0</v>
      </c>
    </row>
    <row r="1266" spans="3:11" x14ac:dyDescent="0.2">
      <c r="C1266" t="s">
        <v>391</v>
      </c>
      <c r="D1266" t="b">
        <f t="shared" ca="1" si="60"/>
        <v>1</v>
      </c>
      <c r="E1266" s="5">
        <f t="shared" si="61"/>
        <v>2.713589768974708E-12</v>
      </c>
      <c r="F1266">
        <v>9.5852527512380499E-3</v>
      </c>
      <c r="G1266">
        <v>9.5852527512640603E-3</v>
      </c>
      <c r="H1266">
        <v>9.5852527512640603E-3</v>
      </c>
      <c r="J1266" s="5">
        <f t="shared" si="59"/>
        <v>2.713589768974708E-12</v>
      </c>
      <c r="K1266" s="5">
        <f t="shared" si="59"/>
        <v>0</v>
      </c>
    </row>
    <row r="1267" spans="3:11" x14ac:dyDescent="0.2">
      <c r="C1267" t="s">
        <v>390</v>
      </c>
      <c r="D1267" t="b">
        <f t="shared" ca="1" si="60"/>
        <v>1</v>
      </c>
      <c r="E1267" s="5">
        <f t="shared" si="61"/>
        <v>9.3378779840581025E-13</v>
      </c>
      <c r="F1267">
        <v>9.9388432921487298E-3</v>
      </c>
      <c r="G1267">
        <v>9.9388432921580106E-3</v>
      </c>
      <c r="H1267">
        <v>9.9388432921580106E-3</v>
      </c>
      <c r="J1267" s="5">
        <f t="shared" si="59"/>
        <v>9.3378779840581025E-13</v>
      </c>
      <c r="K1267" s="5">
        <f t="shared" si="59"/>
        <v>0</v>
      </c>
    </row>
    <row r="1268" spans="3:11" x14ac:dyDescent="0.2">
      <c r="C1268" t="s">
        <v>389</v>
      </c>
      <c r="D1268" t="b">
        <f t="shared" ca="1" si="60"/>
        <v>1</v>
      </c>
      <c r="E1268" s="5">
        <f t="shared" si="61"/>
        <v>3.3816027743194432E-13</v>
      </c>
      <c r="F1268">
        <v>1.0352108772520499E-2</v>
      </c>
      <c r="G1268">
        <v>1.0352108772524E-2</v>
      </c>
      <c r="H1268">
        <v>1.0352108772524E-2</v>
      </c>
      <c r="J1268" s="5">
        <f t="shared" si="59"/>
        <v>3.3816027743194432E-13</v>
      </c>
      <c r="K1268" s="5">
        <f t="shared" si="59"/>
        <v>0</v>
      </c>
    </row>
    <row r="1269" spans="3:11" x14ac:dyDescent="0.2">
      <c r="C1269" t="s">
        <v>388</v>
      </c>
      <c r="D1269" t="b">
        <f t="shared" ca="1" si="60"/>
        <v>1</v>
      </c>
      <c r="E1269" s="5">
        <f t="shared" si="61"/>
        <v>1.3132113947160641E-13</v>
      </c>
      <c r="F1269">
        <v>1.0660293161833E-2</v>
      </c>
      <c r="G1269">
        <v>1.06602931618344E-2</v>
      </c>
      <c r="H1269">
        <v>1.06602931618344E-2</v>
      </c>
      <c r="J1269" s="5">
        <f t="shared" si="59"/>
        <v>1.3132113947160641E-13</v>
      </c>
      <c r="K1269" s="5">
        <f t="shared" si="59"/>
        <v>0</v>
      </c>
    </row>
    <row r="1270" spans="3:11" x14ac:dyDescent="0.2">
      <c r="C1270" t="s">
        <v>387</v>
      </c>
      <c r="D1270" t="b">
        <f t="shared" ca="1" si="60"/>
        <v>1</v>
      </c>
      <c r="E1270" s="5">
        <f t="shared" si="61"/>
        <v>6.948506422567163E-14</v>
      </c>
      <c r="F1270">
        <v>1.0086027725591499E-2</v>
      </c>
      <c r="G1270">
        <v>1.00860277255922E-2</v>
      </c>
      <c r="H1270">
        <v>1.00860277255922E-2</v>
      </c>
      <c r="J1270" s="5">
        <f t="shared" si="59"/>
        <v>6.948506422567163E-14</v>
      </c>
      <c r="K1270" s="5">
        <f t="shared" si="59"/>
        <v>0</v>
      </c>
    </row>
    <row r="1271" spans="3:11" x14ac:dyDescent="0.2">
      <c r="C1271" t="s">
        <v>386</v>
      </c>
      <c r="D1271" t="b">
        <f t="shared" ca="1" si="60"/>
        <v>1</v>
      </c>
      <c r="E1271" s="5">
        <f t="shared" si="61"/>
        <v>2.696515678752565E-14</v>
      </c>
      <c r="F1271">
        <v>9.6498056157009304E-3</v>
      </c>
      <c r="G1271">
        <v>9.6498056157011906E-3</v>
      </c>
      <c r="H1271">
        <v>9.6498056157011906E-3</v>
      </c>
      <c r="J1271" s="5">
        <f t="shared" si="59"/>
        <v>2.696515678752565E-14</v>
      </c>
      <c r="K1271" s="5">
        <f t="shared" si="59"/>
        <v>0</v>
      </c>
    </row>
    <row r="1272" spans="3:11" x14ac:dyDescent="0.2">
      <c r="C1272" t="s">
        <v>385</v>
      </c>
      <c r="D1272" t="b">
        <f t="shared" ca="1" si="60"/>
        <v>1</v>
      </c>
      <c r="E1272" s="5">
        <f t="shared" si="61"/>
        <v>1.2635219416917134E-14</v>
      </c>
      <c r="F1272">
        <v>9.4731967758423206E-3</v>
      </c>
      <c r="G1272">
        <v>9.4731967758424403E-3</v>
      </c>
      <c r="H1272">
        <v>9.4731967758424507E-3</v>
      </c>
      <c r="J1272" s="5">
        <f t="shared" si="59"/>
        <v>1.2635219416917134E-14</v>
      </c>
      <c r="K1272" s="5">
        <f t="shared" si="59"/>
        <v>1.0987147319058238E-15</v>
      </c>
    </row>
    <row r="1273" spans="3:11" x14ac:dyDescent="0.2">
      <c r="C1273" t="s">
        <v>384</v>
      </c>
      <c r="D1273" t="b">
        <f t="shared" ca="1" si="60"/>
        <v>1</v>
      </c>
      <c r="E1273" s="5">
        <f t="shared" si="61"/>
        <v>7.2477465496853527E-15</v>
      </c>
      <c r="F1273">
        <v>9.5738638987154807E-3</v>
      </c>
      <c r="G1273">
        <v>9.5738638987155501E-3</v>
      </c>
      <c r="H1273">
        <v>9.5738638987155501E-3</v>
      </c>
      <c r="J1273" s="5">
        <f t="shared" si="59"/>
        <v>7.2477465496853527E-15</v>
      </c>
      <c r="K1273" s="5">
        <f t="shared" si="59"/>
        <v>0</v>
      </c>
    </row>
    <row r="1274" spans="3:11" x14ac:dyDescent="0.2">
      <c r="C1274" t="s">
        <v>383</v>
      </c>
      <c r="D1274" t="b">
        <f t="shared" ca="1" si="60"/>
        <v>1</v>
      </c>
      <c r="E1274" s="5">
        <f t="shared" si="61"/>
        <v>9.5859545431330536E-15</v>
      </c>
      <c r="F1274">
        <v>1.0315012207262201E-2</v>
      </c>
      <c r="G1274">
        <v>1.0315012207262299E-2</v>
      </c>
      <c r="H1274">
        <v>1.0315012207262299E-2</v>
      </c>
      <c r="J1274" s="5">
        <f t="shared" si="59"/>
        <v>9.5859545431330536E-15</v>
      </c>
      <c r="K1274" s="5">
        <f t="shared" si="59"/>
        <v>0</v>
      </c>
    </row>
    <row r="1275" spans="3:11" x14ac:dyDescent="0.2">
      <c r="C1275" t="s">
        <v>382</v>
      </c>
      <c r="D1275" t="b">
        <f t="shared" ca="1" si="60"/>
        <v>1</v>
      </c>
      <c r="E1275" s="5">
        <f t="shared" si="61"/>
        <v>9.0867872486739532E-15</v>
      </c>
      <c r="F1275">
        <v>1.0881649963259301E-2</v>
      </c>
      <c r="G1275">
        <v>1.08816499632594E-2</v>
      </c>
      <c r="H1275">
        <v>1.08816499632594E-2</v>
      </c>
      <c r="J1275" s="5">
        <f t="shared" si="59"/>
        <v>9.0867872486739532E-15</v>
      </c>
      <c r="K1275" s="5">
        <f t="shared" si="59"/>
        <v>0</v>
      </c>
    </row>
    <row r="1276" spans="3:11" x14ac:dyDescent="0.2">
      <c r="C1276" t="s">
        <v>381</v>
      </c>
      <c r="D1276" t="b">
        <f t="shared" ca="1" si="60"/>
        <v>1</v>
      </c>
      <c r="E1276" s="5">
        <f t="shared" si="61"/>
        <v>9.1177732325352491E-15</v>
      </c>
      <c r="F1276">
        <v>1.10349269542733E-2</v>
      </c>
      <c r="G1276">
        <v>1.10349269542734E-2</v>
      </c>
      <c r="H1276">
        <v>1.10349269542734E-2</v>
      </c>
      <c r="J1276" s="5">
        <f t="shared" si="59"/>
        <v>9.1177732325352491E-15</v>
      </c>
      <c r="K1276" s="5">
        <f t="shared" si="59"/>
        <v>0</v>
      </c>
    </row>
    <row r="1277" spans="3:11" x14ac:dyDescent="0.2">
      <c r="C1277" t="s">
        <v>380</v>
      </c>
      <c r="D1277" t="b">
        <f t="shared" ca="1" si="60"/>
        <v>1</v>
      </c>
      <c r="E1277" s="5">
        <f t="shared" si="61"/>
        <v>9.0731079522858712E-15</v>
      </c>
      <c r="F1277">
        <v>1.1089249916982E-2</v>
      </c>
      <c r="G1277">
        <v>1.10892499169821E-2</v>
      </c>
      <c r="H1277">
        <v>1.10892499169821E-2</v>
      </c>
      <c r="J1277" s="5">
        <f t="shared" si="59"/>
        <v>9.0731079522858712E-15</v>
      </c>
      <c r="K1277" s="5">
        <f t="shared" si="59"/>
        <v>0</v>
      </c>
    </row>
    <row r="1278" spans="3:11" x14ac:dyDescent="0.2">
      <c r="C1278" t="s">
        <v>379</v>
      </c>
      <c r="D1278" t="b">
        <f t="shared" ca="1" si="60"/>
        <v>1</v>
      </c>
      <c r="E1278" s="5">
        <f t="shared" si="61"/>
        <v>0</v>
      </c>
      <c r="F1278">
        <v>1.1320309422332E-2</v>
      </c>
      <c r="G1278">
        <v>1.1320309422332E-2</v>
      </c>
      <c r="H1278">
        <v>1.1320309422332E-2</v>
      </c>
      <c r="J1278" s="5">
        <f t="shared" si="59"/>
        <v>0</v>
      </c>
      <c r="K1278" s="5">
        <f t="shared" si="59"/>
        <v>0</v>
      </c>
    </row>
    <row r="1279" spans="3:11" x14ac:dyDescent="0.2">
      <c r="C1279" t="s">
        <v>378</v>
      </c>
      <c r="D1279" t="b">
        <f t="shared" ca="1" si="60"/>
        <v>1</v>
      </c>
      <c r="E1279" s="5">
        <f t="shared" si="61"/>
        <v>0</v>
      </c>
      <c r="F1279">
        <v>1.1370870577336101E-2</v>
      </c>
      <c r="G1279">
        <v>1.1370870577336101E-2</v>
      </c>
      <c r="H1279">
        <v>1.1370870577336101E-2</v>
      </c>
      <c r="J1279" s="5">
        <f t="shared" si="59"/>
        <v>0</v>
      </c>
      <c r="K1279" s="5">
        <f t="shared" si="59"/>
        <v>0</v>
      </c>
    </row>
    <row r="1280" spans="3:11" x14ac:dyDescent="0.2">
      <c r="C1280" t="s">
        <v>377</v>
      </c>
      <c r="D1280" t="b">
        <f t="shared" ca="1" si="60"/>
        <v>1</v>
      </c>
      <c r="E1280" s="5">
        <f t="shared" si="61"/>
        <v>0</v>
      </c>
      <c r="F1280">
        <v>1.13886768297975E-2</v>
      </c>
      <c r="G1280">
        <v>1.13886768297975E-2</v>
      </c>
      <c r="H1280">
        <v>1.13886768297975E-2</v>
      </c>
      <c r="J1280" s="5">
        <f t="shared" si="59"/>
        <v>0</v>
      </c>
      <c r="K1280" s="5">
        <f t="shared" si="59"/>
        <v>0</v>
      </c>
    </row>
    <row r="1281" spans="3:11" x14ac:dyDescent="0.2">
      <c r="C1281" t="s">
        <v>376</v>
      </c>
      <c r="D1281" t="b">
        <f t="shared" ca="1" si="60"/>
        <v>1</v>
      </c>
      <c r="E1281" s="5">
        <f t="shared" si="61"/>
        <v>0</v>
      </c>
      <c r="F1281">
        <v>1.14454504017787E-2</v>
      </c>
      <c r="G1281">
        <v>1.14454504017787E-2</v>
      </c>
      <c r="H1281">
        <v>1.14454504017787E-2</v>
      </c>
      <c r="J1281" s="5">
        <f t="shared" si="59"/>
        <v>0</v>
      </c>
      <c r="K1281" s="5">
        <f t="shared" si="59"/>
        <v>0</v>
      </c>
    </row>
    <row r="1282" spans="3:11" x14ac:dyDescent="0.2">
      <c r="C1282" t="s">
        <v>375</v>
      </c>
      <c r="D1282" t="b">
        <f t="shared" ca="1" si="60"/>
        <v>1</v>
      </c>
      <c r="E1282" s="5">
        <f t="shared" si="61"/>
        <v>4.862013783341255E-11</v>
      </c>
      <c r="F1282">
        <v>3.53104724085633</v>
      </c>
      <c r="G1282">
        <v>3.53104724068465</v>
      </c>
      <c r="H1282">
        <v>3.53104724068465</v>
      </c>
      <c r="J1282" s="5">
        <f t="shared" si="59"/>
        <v>4.862013783341255E-11</v>
      </c>
      <c r="K1282" s="5">
        <f t="shared" si="59"/>
        <v>0</v>
      </c>
    </row>
    <row r="1283" spans="3:11" x14ac:dyDescent="0.2">
      <c r="C1283" t="s">
        <v>374</v>
      </c>
      <c r="D1283" t="b">
        <f t="shared" ca="1" si="60"/>
        <v>1</v>
      </c>
      <c r="E1283" s="5">
        <f t="shared" si="61"/>
        <v>3.0259733847427042E-11</v>
      </c>
      <c r="F1283">
        <v>3.5205166229421598</v>
      </c>
      <c r="G1283">
        <v>3.5205166228356299</v>
      </c>
      <c r="H1283">
        <v>3.5205166228356299</v>
      </c>
      <c r="J1283" s="5">
        <f t="shared" si="59"/>
        <v>3.0259733847427042E-11</v>
      </c>
      <c r="K1283" s="5">
        <f t="shared" si="59"/>
        <v>0</v>
      </c>
    </row>
    <row r="1284" spans="3:11" x14ac:dyDescent="0.2">
      <c r="C1284" t="s">
        <v>373</v>
      </c>
      <c r="D1284" t="b">
        <f t="shared" ca="1" si="60"/>
        <v>1</v>
      </c>
      <c r="E1284" s="5">
        <f t="shared" si="61"/>
        <v>1.8457429091962363E-11</v>
      </c>
      <c r="F1284">
        <v>3.5291964636393098</v>
      </c>
      <c r="G1284">
        <v>3.5291964635741699</v>
      </c>
      <c r="H1284">
        <v>3.5291964635741699</v>
      </c>
      <c r="J1284" s="5">
        <f t="shared" si="59"/>
        <v>1.8457429091962363E-11</v>
      </c>
      <c r="K1284" s="5">
        <f t="shared" si="59"/>
        <v>0</v>
      </c>
    </row>
    <row r="1285" spans="3:11" x14ac:dyDescent="0.2">
      <c r="C1285" t="s">
        <v>372</v>
      </c>
      <c r="D1285" t="b">
        <f t="shared" ca="1" si="60"/>
        <v>1</v>
      </c>
      <c r="E1285" s="5">
        <f t="shared" si="61"/>
        <v>1.1350546809738356E-11</v>
      </c>
      <c r="F1285">
        <v>3.5381445579965498</v>
      </c>
      <c r="G1285">
        <v>3.5381445579563899</v>
      </c>
      <c r="H1285">
        <v>3.5381445579563899</v>
      </c>
      <c r="J1285" s="5">
        <f t="shared" si="59"/>
        <v>1.1350546809738356E-11</v>
      </c>
      <c r="K1285" s="5">
        <f t="shared" si="59"/>
        <v>0</v>
      </c>
    </row>
    <row r="1286" spans="3:11" x14ac:dyDescent="0.2">
      <c r="C1286" t="s">
        <v>371</v>
      </c>
      <c r="D1286" t="b">
        <f t="shared" ca="1" si="60"/>
        <v>1</v>
      </c>
      <c r="E1286" s="5">
        <f t="shared" si="61"/>
        <v>6.8942012780673063E-12</v>
      </c>
      <c r="F1286">
        <v>3.5537050094781</v>
      </c>
      <c r="G1286">
        <v>3.5537050094536</v>
      </c>
      <c r="H1286">
        <v>3.5537050094536</v>
      </c>
      <c r="J1286" s="5">
        <f t="shared" si="59"/>
        <v>6.8942012780673063E-12</v>
      </c>
      <c r="K1286" s="5">
        <f t="shared" si="59"/>
        <v>0</v>
      </c>
    </row>
    <row r="1287" spans="3:11" x14ac:dyDescent="0.2">
      <c r="C1287" t="s">
        <v>370</v>
      </c>
      <c r="D1287" t="b">
        <f t="shared" ca="1" si="60"/>
        <v>1</v>
      </c>
      <c r="E1287" s="5">
        <f t="shared" si="61"/>
        <v>4.1502214284991615E-12</v>
      </c>
      <c r="F1287">
        <v>3.4672421495291998</v>
      </c>
      <c r="G1287">
        <v>3.46724214951481</v>
      </c>
      <c r="H1287">
        <v>3.46724214951481</v>
      </c>
      <c r="J1287" s="5">
        <f t="shared" ref="J1287:K1350" si="62">ABS(F1287-G1287)/ABS(F1287)</f>
        <v>4.1502214284991615E-12</v>
      </c>
      <c r="K1287" s="5">
        <f t="shared" si="62"/>
        <v>0</v>
      </c>
    </row>
    <row r="1288" spans="3:11" x14ac:dyDescent="0.2">
      <c r="C1288" t="s">
        <v>369</v>
      </c>
      <c r="D1288" t="b">
        <f t="shared" ca="1" si="60"/>
        <v>1</v>
      </c>
      <c r="E1288" s="5">
        <f t="shared" si="61"/>
        <v>1.0094001287193033E-12</v>
      </c>
      <c r="F1288">
        <v>3.2099013888347399</v>
      </c>
      <c r="G1288">
        <v>3.2099013888314998</v>
      </c>
      <c r="H1288">
        <v>3.20990138883151</v>
      </c>
      <c r="J1288" s="5">
        <f t="shared" si="62"/>
        <v>1.0094001287193033E-12</v>
      </c>
      <c r="K1288" s="5">
        <f t="shared" si="62"/>
        <v>3.1820453619198754E-15</v>
      </c>
    </row>
    <row r="1289" spans="3:11" x14ac:dyDescent="0.2">
      <c r="C1289" t="s">
        <v>368</v>
      </c>
      <c r="D1289" t="b">
        <f t="shared" ca="1" si="60"/>
        <v>1</v>
      </c>
      <c r="E1289" s="5">
        <f t="shared" si="61"/>
        <v>1.4524202890195388E-13</v>
      </c>
      <c r="F1289">
        <v>3.0300623744281201</v>
      </c>
      <c r="G1289">
        <v>3.0300623744285602</v>
      </c>
      <c r="H1289">
        <v>3.0300623744285602</v>
      </c>
      <c r="J1289" s="5">
        <f t="shared" si="62"/>
        <v>1.4524202890195388E-13</v>
      </c>
      <c r="K1289" s="5">
        <f t="shared" si="62"/>
        <v>0</v>
      </c>
    </row>
    <row r="1290" spans="3:11" x14ac:dyDescent="0.2">
      <c r="C1290" t="s">
        <v>367</v>
      </c>
      <c r="D1290" t="b">
        <f t="shared" ca="1" si="60"/>
        <v>1</v>
      </c>
      <c r="E1290" s="5">
        <f t="shared" si="61"/>
        <v>1.4701807797272979E-13</v>
      </c>
      <c r="F1290">
        <v>2.9934577640379998</v>
      </c>
      <c r="G1290">
        <v>2.9934577640384399</v>
      </c>
      <c r="H1290">
        <v>2.9934577640384399</v>
      </c>
      <c r="J1290" s="5">
        <f t="shared" si="62"/>
        <v>1.4701807797272979E-13</v>
      </c>
      <c r="K1290" s="5">
        <f t="shared" si="62"/>
        <v>0</v>
      </c>
    </row>
    <row r="1291" spans="3:11" x14ac:dyDescent="0.2">
      <c r="C1291" t="s">
        <v>366</v>
      </c>
      <c r="D1291" t="b">
        <f t="shared" ca="1" si="60"/>
        <v>1</v>
      </c>
      <c r="E1291" s="5">
        <f t="shared" si="61"/>
        <v>2.0091316482645327E-14</v>
      </c>
      <c r="F1291">
        <v>2.9839778484174699</v>
      </c>
      <c r="G1291">
        <v>2.9839778484175299</v>
      </c>
      <c r="H1291">
        <v>2.9839778484175299</v>
      </c>
      <c r="J1291" s="5">
        <f t="shared" si="62"/>
        <v>2.0091316482645327E-14</v>
      </c>
      <c r="K1291" s="5">
        <f t="shared" si="62"/>
        <v>0</v>
      </c>
    </row>
    <row r="1292" spans="3:11" x14ac:dyDescent="0.2">
      <c r="C1292" t="s">
        <v>365</v>
      </c>
      <c r="D1292" t="b">
        <f t="shared" ca="1" si="60"/>
        <v>1</v>
      </c>
      <c r="E1292" s="5">
        <f t="shared" si="61"/>
        <v>1.3591756415573048E-14</v>
      </c>
      <c r="F1292">
        <v>2.9406080909978201</v>
      </c>
      <c r="G1292">
        <v>2.9406080909977801</v>
      </c>
      <c r="H1292">
        <v>2.9406080909977899</v>
      </c>
      <c r="J1292" s="5">
        <f t="shared" si="62"/>
        <v>1.3591756415573048E-14</v>
      </c>
      <c r="K1292" s="5">
        <f t="shared" si="62"/>
        <v>3.3224293460290126E-15</v>
      </c>
    </row>
    <row r="1293" spans="3:11" x14ac:dyDescent="0.2">
      <c r="C1293" t="s">
        <v>364</v>
      </c>
      <c r="D1293" t="b">
        <f t="shared" ca="1" si="60"/>
        <v>1</v>
      </c>
      <c r="E1293" s="5">
        <f t="shared" si="61"/>
        <v>1.6957216495395789E-14</v>
      </c>
      <c r="F1293">
        <v>2.9331459863540599</v>
      </c>
      <c r="G1293">
        <v>2.9331459863540101</v>
      </c>
      <c r="H1293">
        <v>2.9331459863540101</v>
      </c>
      <c r="J1293" s="5">
        <f t="shared" si="62"/>
        <v>1.6957216495395789E-14</v>
      </c>
      <c r="K1293" s="5">
        <f t="shared" si="62"/>
        <v>0</v>
      </c>
    </row>
    <row r="1294" spans="3:11" x14ac:dyDescent="0.2">
      <c r="C1294" t="s">
        <v>363</v>
      </c>
      <c r="D1294" t="b">
        <f t="shared" ca="1" si="60"/>
        <v>1</v>
      </c>
      <c r="E1294" s="5">
        <f t="shared" si="61"/>
        <v>9.9845977955026576E-15</v>
      </c>
      <c r="F1294">
        <v>3.0244649697763801</v>
      </c>
      <c r="G1294">
        <v>3.0244649697763499</v>
      </c>
      <c r="H1294">
        <v>3.0244649697763499</v>
      </c>
      <c r="J1294" s="5">
        <f t="shared" si="62"/>
        <v>9.9845977955026576E-15</v>
      </c>
      <c r="K1294" s="5">
        <f t="shared" si="62"/>
        <v>0</v>
      </c>
    </row>
    <row r="1295" spans="3:11" x14ac:dyDescent="0.2">
      <c r="C1295" t="s">
        <v>362</v>
      </c>
      <c r="D1295" t="b">
        <f t="shared" ca="1" si="60"/>
        <v>1</v>
      </c>
      <c r="E1295" s="5">
        <f t="shared" si="61"/>
        <v>1.0220571279473608E-14</v>
      </c>
      <c r="F1295">
        <v>2.95463584608546</v>
      </c>
      <c r="G1295">
        <v>2.9546358460854298</v>
      </c>
      <c r="H1295">
        <v>2.9546358460854298</v>
      </c>
      <c r="J1295" s="5">
        <f t="shared" si="62"/>
        <v>1.0220571279473608E-14</v>
      </c>
      <c r="K1295" s="5">
        <f t="shared" si="62"/>
        <v>0</v>
      </c>
    </row>
    <row r="1296" spans="3:11" x14ac:dyDescent="0.2">
      <c r="C1296" t="s">
        <v>361</v>
      </c>
      <c r="D1296" t="b">
        <f t="shared" ca="1" si="60"/>
        <v>1</v>
      </c>
      <c r="E1296" s="5">
        <f t="shared" si="61"/>
        <v>6.5685570328918853E-15</v>
      </c>
      <c r="F1296">
        <v>3.0423751127048702</v>
      </c>
      <c r="G1296">
        <v>3.0423751127048502</v>
      </c>
      <c r="H1296">
        <v>3.0423751127048502</v>
      </c>
      <c r="J1296" s="5">
        <f t="shared" si="62"/>
        <v>6.5685570328918853E-15</v>
      </c>
      <c r="K1296" s="5">
        <f t="shared" si="62"/>
        <v>0</v>
      </c>
    </row>
    <row r="1297" spans="3:11" x14ac:dyDescent="0.2">
      <c r="C1297" t="s">
        <v>360</v>
      </c>
      <c r="D1297" t="b">
        <f t="shared" ca="1" si="60"/>
        <v>1</v>
      </c>
      <c r="E1297" s="5">
        <f t="shared" si="61"/>
        <v>3.2059948534554334E-15</v>
      </c>
      <c r="F1297">
        <v>3.0474043357154099</v>
      </c>
      <c r="G1297">
        <v>3.0474043357154001</v>
      </c>
      <c r="H1297">
        <v>3.0474043357154001</v>
      </c>
      <c r="J1297" s="5">
        <f t="shared" si="62"/>
        <v>3.2059948534554334E-15</v>
      </c>
      <c r="K1297" s="5">
        <f t="shared" si="62"/>
        <v>0</v>
      </c>
    </row>
    <row r="1298" spans="3:11" x14ac:dyDescent="0.2">
      <c r="C1298" t="s">
        <v>359</v>
      </c>
      <c r="D1298" t="b">
        <f t="shared" ref="D1298:D1361" ca="1" si="63">IF(CELL("format",F1298)="G",IF(ABS(F1298-G1298) &lt;= ABS(F1298*B$3),TRUE,FALSE),IF(F1298=G1298,TRUE,FALSE))</f>
        <v>1</v>
      </c>
      <c r="E1298" s="5">
        <f t="shared" ref="E1298:E1361" si="64">ABS(F1298-G1298)/ABS(F1298)</f>
        <v>3.4233055700155571E-15</v>
      </c>
      <c r="F1298">
        <v>2.85395575033548</v>
      </c>
      <c r="G1298">
        <v>2.8539557503354702</v>
      </c>
      <c r="H1298">
        <v>2.8539557503354702</v>
      </c>
      <c r="J1298" s="5">
        <f t="shared" si="62"/>
        <v>3.4233055700155571E-15</v>
      </c>
      <c r="K1298" s="5">
        <f t="shared" si="62"/>
        <v>0</v>
      </c>
    </row>
    <row r="1299" spans="3:11" x14ac:dyDescent="0.2">
      <c r="C1299" t="s">
        <v>358</v>
      </c>
      <c r="D1299" t="b">
        <f t="shared" ca="1" si="63"/>
        <v>1</v>
      </c>
      <c r="E1299" s="5">
        <f t="shared" si="64"/>
        <v>3.4928917993052383E-15</v>
      </c>
      <c r="F1299">
        <v>2.9242394020287401</v>
      </c>
      <c r="G1299">
        <v>2.9242394020287299</v>
      </c>
      <c r="H1299">
        <v>2.9242394020287299</v>
      </c>
      <c r="J1299" s="5">
        <f t="shared" si="62"/>
        <v>3.4928917993052383E-15</v>
      </c>
      <c r="K1299" s="5">
        <f t="shared" si="62"/>
        <v>0</v>
      </c>
    </row>
    <row r="1300" spans="3:11" x14ac:dyDescent="0.2">
      <c r="C1300" t="s">
        <v>357</v>
      </c>
      <c r="D1300" t="b">
        <f t="shared" ca="1" si="63"/>
        <v>1</v>
      </c>
      <c r="E1300" s="5">
        <f t="shared" si="64"/>
        <v>0</v>
      </c>
      <c r="F1300">
        <v>3.04088067294217</v>
      </c>
      <c r="G1300">
        <v>3.04088067294217</v>
      </c>
      <c r="H1300">
        <v>3.04088067294217</v>
      </c>
      <c r="J1300" s="5">
        <f t="shared" si="62"/>
        <v>0</v>
      </c>
      <c r="K1300" s="5">
        <f t="shared" si="62"/>
        <v>0</v>
      </c>
    </row>
    <row r="1301" spans="3:11" x14ac:dyDescent="0.2">
      <c r="C1301" t="s">
        <v>356</v>
      </c>
      <c r="D1301" t="b">
        <f t="shared" ca="1" si="63"/>
        <v>1</v>
      </c>
      <c r="E1301" s="5">
        <f t="shared" si="64"/>
        <v>3.2428139555333284E-15</v>
      </c>
      <c r="F1301">
        <v>3.1497495590589901</v>
      </c>
      <c r="G1301">
        <v>3.1497495590589799</v>
      </c>
      <c r="H1301">
        <v>3.1497495590589901</v>
      </c>
      <c r="J1301" s="5">
        <f t="shared" si="62"/>
        <v>3.2428139555333284E-15</v>
      </c>
      <c r="K1301" s="5">
        <f t="shared" si="62"/>
        <v>3.2428139555333386E-15</v>
      </c>
    </row>
    <row r="1302" spans="3:11" x14ac:dyDescent="0.2">
      <c r="C1302" t="s">
        <v>355</v>
      </c>
      <c r="D1302" t="b">
        <f t="shared" ca="1" si="63"/>
        <v>1</v>
      </c>
      <c r="E1302" s="5">
        <f t="shared" si="64"/>
        <v>0</v>
      </c>
      <c r="F1302">
        <v>3.1152252669665002</v>
      </c>
      <c r="G1302">
        <v>3.1152252669665002</v>
      </c>
      <c r="H1302">
        <v>3.1152252669665002</v>
      </c>
      <c r="J1302" s="5">
        <f t="shared" si="62"/>
        <v>0</v>
      </c>
      <c r="K1302" s="5">
        <f t="shared" si="62"/>
        <v>0</v>
      </c>
    </row>
    <row r="1303" spans="3:11" x14ac:dyDescent="0.2">
      <c r="C1303" t="s">
        <v>354</v>
      </c>
      <c r="D1303" t="b">
        <f t="shared" ca="1" si="63"/>
        <v>1</v>
      </c>
      <c r="E1303" s="5">
        <f t="shared" si="64"/>
        <v>3.1147950811917769E-15</v>
      </c>
      <c r="F1303">
        <v>3.1366309378410899</v>
      </c>
      <c r="G1303">
        <v>3.1366309378410802</v>
      </c>
      <c r="H1303">
        <v>3.1366309378410899</v>
      </c>
      <c r="J1303" s="5">
        <f t="shared" si="62"/>
        <v>3.1147950811917769E-15</v>
      </c>
      <c r="K1303" s="5">
        <f t="shared" si="62"/>
        <v>3.1147950811917867E-15</v>
      </c>
    </row>
    <row r="1304" spans="3:11" x14ac:dyDescent="0.2">
      <c r="C1304" t="s">
        <v>353</v>
      </c>
      <c r="D1304" t="b">
        <f t="shared" ca="1" si="63"/>
        <v>1</v>
      </c>
      <c r="E1304" s="5">
        <f t="shared" si="64"/>
        <v>0</v>
      </c>
      <c r="F1304">
        <v>3.1702823331664201</v>
      </c>
      <c r="G1304">
        <v>3.1702823331664201</v>
      </c>
      <c r="H1304">
        <v>3.1702823331664201</v>
      </c>
      <c r="J1304" s="5">
        <f t="shared" si="62"/>
        <v>0</v>
      </c>
      <c r="K1304" s="5">
        <f t="shared" si="62"/>
        <v>0</v>
      </c>
    </row>
    <row r="1305" spans="3:11" x14ac:dyDescent="0.2">
      <c r="C1305" t="s">
        <v>352</v>
      </c>
      <c r="D1305" t="b">
        <f t="shared" ca="1" si="63"/>
        <v>1</v>
      </c>
      <c r="E1305" s="5">
        <f t="shared" si="64"/>
        <v>3.0645507919569445E-15</v>
      </c>
      <c r="F1305">
        <v>3.1880570040944001</v>
      </c>
      <c r="G1305">
        <v>3.1880570040944098</v>
      </c>
      <c r="H1305">
        <v>3.1880570040944098</v>
      </c>
      <c r="J1305" s="5">
        <f t="shared" si="62"/>
        <v>3.0645507919569445E-15</v>
      </c>
      <c r="K1305" s="5">
        <f t="shared" si="62"/>
        <v>0</v>
      </c>
    </row>
    <row r="1306" spans="3:11" x14ac:dyDescent="0.2">
      <c r="C1306" t="s">
        <v>351</v>
      </c>
      <c r="D1306" t="b">
        <f t="shared" ca="1" si="63"/>
        <v>1</v>
      </c>
      <c r="E1306" s="5">
        <f t="shared" si="64"/>
        <v>0</v>
      </c>
      <c r="F1306">
        <v>17.987500000000001</v>
      </c>
      <c r="G1306">
        <v>17.987500000000001</v>
      </c>
      <c r="H1306">
        <v>17.987500000000001</v>
      </c>
      <c r="J1306" s="5">
        <f t="shared" si="62"/>
        <v>0</v>
      </c>
      <c r="K1306" s="5">
        <f t="shared" si="62"/>
        <v>0</v>
      </c>
    </row>
    <row r="1307" spans="3:11" x14ac:dyDescent="0.2">
      <c r="C1307" t="s">
        <v>350</v>
      </c>
      <c r="D1307" t="b">
        <f t="shared" ca="1" si="63"/>
        <v>1</v>
      </c>
      <c r="E1307" s="5">
        <f t="shared" si="64"/>
        <v>0</v>
      </c>
      <c r="F1307">
        <v>18.112500000000001</v>
      </c>
      <c r="G1307">
        <v>18.112500000000001</v>
      </c>
      <c r="H1307">
        <v>18.112500000000001</v>
      </c>
      <c r="J1307" s="5">
        <f t="shared" si="62"/>
        <v>0</v>
      </c>
      <c r="K1307" s="5">
        <f t="shared" si="62"/>
        <v>0</v>
      </c>
    </row>
    <row r="1308" spans="3:11" x14ac:dyDescent="0.2">
      <c r="C1308" t="s">
        <v>349</v>
      </c>
      <c r="D1308" t="b">
        <f t="shared" ca="1" si="63"/>
        <v>1</v>
      </c>
      <c r="E1308" s="5">
        <f t="shared" si="64"/>
        <v>0</v>
      </c>
      <c r="F1308">
        <v>17.987500000000001</v>
      </c>
      <c r="G1308">
        <v>17.987500000000001</v>
      </c>
      <c r="H1308">
        <v>17.987500000000001</v>
      </c>
      <c r="J1308" s="5">
        <f t="shared" si="62"/>
        <v>0</v>
      </c>
      <c r="K1308" s="5">
        <f t="shared" si="62"/>
        <v>0</v>
      </c>
    </row>
    <row r="1309" spans="3:11" x14ac:dyDescent="0.2">
      <c r="C1309" t="s">
        <v>348</v>
      </c>
      <c r="D1309" t="b">
        <f t="shared" ca="1" si="63"/>
        <v>1</v>
      </c>
      <c r="E1309" s="5">
        <f t="shared" si="64"/>
        <v>0</v>
      </c>
      <c r="F1309">
        <v>17.8</v>
      </c>
      <c r="G1309">
        <v>17.8</v>
      </c>
      <c r="H1309">
        <v>17.8</v>
      </c>
      <c r="J1309" s="5">
        <f t="shared" si="62"/>
        <v>0</v>
      </c>
      <c r="K1309" s="5">
        <f t="shared" si="62"/>
        <v>0</v>
      </c>
    </row>
    <row r="1310" spans="3:11" x14ac:dyDescent="0.2">
      <c r="C1310" t="s">
        <v>347</v>
      </c>
      <c r="D1310" t="b">
        <f t="shared" ca="1" si="63"/>
        <v>1</v>
      </c>
      <c r="E1310" s="5">
        <f t="shared" si="64"/>
        <v>0</v>
      </c>
      <c r="F1310">
        <v>17.425000000000001</v>
      </c>
      <c r="G1310">
        <v>17.425000000000001</v>
      </c>
      <c r="H1310">
        <v>17.425000000000001</v>
      </c>
      <c r="J1310" s="5">
        <f t="shared" si="62"/>
        <v>0</v>
      </c>
      <c r="K1310" s="5">
        <f t="shared" si="62"/>
        <v>0</v>
      </c>
    </row>
    <row r="1311" spans="3:11" x14ac:dyDescent="0.2">
      <c r="C1311" t="s">
        <v>346</v>
      </c>
      <c r="D1311" t="b">
        <f t="shared" ca="1" si="63"/>
        <v>1</v>
      </c>
      <c r="E1311" s="5">
        <f t="shared" si="64"/>
        <v>0</v>
      </c>
      <c r="F1311">
        <v>18.5749999999999</v>
      </c>
      <c r="G1311">
        <v>18.5749999999999</v>
      </c>
      <c r="H1311">
        <v>18.5749999999999</v>
      </c>
      <c r="J1311" s="5">
        <f t="shared" si="62"/>
        <v>0</v>
      </c>
      <c r="K1311" s="5">
        <f t="shared" si="62"/>
        <v>0</v>
      </c>
    </row>
    <row r="1312" spans="3:11" x14ac:dyDescent="0.2">
      <c r="C1312" t="s">
        <v>345</v>
      </c>
      <c r="D1312" t="b">
        <f t="shared" ca="1" si="63"/>
        <v>1</v>
      </c>
      <c r="E1312" s="5">
        <f t="shared" si="64"/>
        <v>0</v>
      </c>
      <c r="F1312">
        <v>22.9</v>
      </c>
      <c r="G1312">
        <v>22.9</v>
      </c>
      <c r="H1312">
        <v>22.9</v>
      </c>
      <c r="J1312" s="5">
        <f t="shared" si="62"/>
        <v>0</v>
      </c>
      <c r="K1312" s="5">
        <f t="shared" si="62"/>
        <v>0</v>
      </c>
    </row>
    <row r="1313" spans="3:11" x14ac:dyDescent="0.2">
      <c r="C1313" t="s">
        <v>344</v>
      </c>
      <c r="D1313" t="b">
        <f t="shared" ca="1" si="63"/>
        <v>1</v>
      </c>
      <c r="E1313" s="5">
        <f t="shared" si="64"/>
        <v>0</v>
      </c>
      <c r="F1313">
        <v>26.375</v>
      </c>
      <c r="G1313">
        <v>26.375</v>
      </c>
      <c r="H1313">
        <v>26.375</v>
      </c>
      <c r="J1313" s="5">
        <f t="shared" si="62"/>
        <v>0</v>
      </c>
      <c r="K1313" s="5">
        <f t="shared" si="62"/>
        <v>0</v>
      </c>
    </row>
    <row r="1314" spans="3:11" x14ac:dyDescent="0.2">
      <c r="C1314" t="s">
        <v>343</v>
      </c>
      <c r="D1314" t="b">
        <f t="shared" ca="1" si="63"/>
        <v>1</v>
      </c>
      <c r="E1314" s="5">
        <f t="shared" si="64"/>
        <v>0</v>
      </c>
      <c r="F1314">
        <v>28.2624999999999</v>
      </c>
      <c r="G1314">
        <v>28.2624999999999</v>
      </c>
      <c r="H1314">
        <v>28.2624999999999</v>
      </c>
      <c r="J1314" s="5">
        <f t="shared" si="62"/>
        <v>0</v>
      </c>
      <c r="K1314" s="5">
        <f t="shared" si="62"/>
        <v>0</v>
      </c>
    </row>
    <row r="1315" spans="3:11" x14ac:dyDescent="0.2">
      <c r="C1315" t="s">
        <v>342</v>
      </c>
      <c r="D1315" t="b">
        <f t="shared" ca="1" si="63"/>
        <v>1</v>
      </c>
      <c r="E1315" s="5">
        <f t="shared" si="64"/>
        <v>0</v>
      </c>
      <c r="F1315">
        <v>28.9</v>
      </c>
      <c r="G1315">
        <v>28.9</v>
      </c>
      <c r="H1315">
        <v>28.9</v>
      </c>
      <c r="J1315" s="5">
        <f t="shared" si="62"/>
        <v>0</v>
      </c>
      <c r="K1315" s="5">
        <f t="shared" si="62"/>
        <v>0</v>
      </c>
    </row>
    <row r="1316" spans="3:11" x14ac:dyDescent="0.2">
      <c r="C1316" t="s">
        <v>341</v>
      </c>
      <c r="D1316" t="b">
        <f t="shared" ca="1" si="63"/>
        <v>1</v>
      </c>
      <c r="E1316" s="5">
        <f t="shared" si="64"/>
        <v>0</v>
      </c>
      <c r="F1316">
        <v>30.274999999999999</v>
      </c>
      <c r="G1316">
        <v>30.274999999999999</v>
      </c>
      <c r="H1316">
        <v>30.274999999999999</v>
      </c>
      <c r="J1316" s="5">
        <f t="shared" si="62"/>
        <v>0</v>
      </c>
      <c r="K1316" s="5">
        <f t="shared" si="62"/>
        <v>0</v>
      </c>
    </row>
    <row r="1317" spans="3:11" x14ac:dyDescent="0.2">
      <c r="C1317" t="s">
        <v>340</v>
      </c>
      <c r="D1317" t="b">
        <f t="shared" ca="1" si="63"/>
        <v>1</v>
      </c>
      <c r="E1317" s="5">
        <f t="shared" si="64"/>
        <v>0</v>
      </c>
      <c r="F1317">
        <v>30.787500000000001</v>
      </c>
      <c r="G1317">
        <v>30.787500000000001</v>
      </c>
      <c r="H1317">
        <v>30.787500000000001</v>
      </c>
      <c r="J1317" s="5">
        <f t="shared" si="62"/>
        <v>0</v>
      </c>
      <c r="K1317" s="5">
        <f t="shared" si="62"/>
        <v>0</v>
      </c>
    </row>
    <row r="1318" spans="3:11" x14ac:dyDescent="0.2">
      <c r="C1318" t="s">
        <v>339</v>
      </c>
      <c r="D1318" t="b">
        <f t="shared" ca="1" si="63"/>
        <v>1</v>
      </c>
      <c r="E1318" s="5">
        <f t="shared" si="64"/>
        <v>0</v>
      </c>
      <c r="F1318">
        <v>30.912500000000001</v>
      </c>
      <c r="G1318">
        <v>30.912500000000001</v>
      </c>
      <c r="H1318">
        <v>30.912500000000001</v>
      </c>
      <c r="J1318" s="5">
        <f t="shared" si="62"/>
        <v>0</v>
      </c>
      <c r="K1318" s="5">
        <f t="shared" si="62"/>
        <v>0</v>
      </c>
    </row>
    <row r="1319" spans="3:11" x14ac:dyDescent="0.2">
      <c r="C1319" t="s">
        <v>338</v>
      </c>
      <c r="D1319" t="b">
        <f t="shared" ca="1" si="63"/>
        <v>1</v>
      </c>
      <c r="E1319" s="5">
        <f t="shared" si="64"/>
        <v>0</v>
      </c>
      <c r="F1319">
        <v>31.475000000000001</v>
      </c>
      <c r="G1319">
        <v>31.475000000000001</v>
      </c>
      <c r="H1319">
        <v>31.475000000000001</v>
      </c>
      <c r="J1319" s="5">
        <f t="shared" si="62"/>
        <v>0</v>
      </c>
      <c r="K1319" s="5">
        <f t="shared" si="62"/>
        <v>0</v>
      </c>
    </row>
    <row r="1320" spans="3:11" x14ac:dyDescent="0.2">
      <c r="C1320" t="s">
        <v>337</v>
      </c>
      <c r="D1320" t="b">
        <f t="shared" ca="1" si="63"/>
        <v>1</v>
      </c>
      <c r="E1320" s="5">
        <f t="shared" si="64"/>
        <v>0</v>
      </c>
      <c r="F1320">
        <v>32.012500000000003</v>
      </c>
      <c r="G1320">
        <v>32.012500000000003</v>
      </c>
      <c r="H1320">
        <v>32.012500000000003</v>
      </c>
      <c r="J1320" s="5">
        <f t="shared" si="62"/>
        <v>0</v>
      </c>
      <c r="K1320" s="5">
        <f t="shared" si="62"/>
        <v>0</v>
      </c>
    </row>
    <row r="1321" spans="3:11" x14ac:dyDescent="0.2">
      <c r="C1321" t="s">
        <v>336</v>
      </c>
      <c r="D1321" t="b">
        <f t="shared" ca="1" si="63"/>
        <v>1</v>
      </c>
      <c r="E1321" s="5">
        <f t="shared" si="64"/>
        <v>0</v>
      </c>
      <c r="F1321">
        <v>32.200000000000003</v>
      </c>
      <c r="G1321">
        <v>32.200000000000003</v>
      </c>
      <c r="H1321">
        <v>32.200000000000003</v>
      </c>
      <c r="J1321" s="5">
        <f t="shared" si="62"/>
        <v>0</v>
      </c>
      <c r="K1321" s="5">
        <f t="shared" si="62"/>
        <v>0</v>
      </c>
    </row>
    <row r="1322" spans="3:11" x14ac:dyDescent="0.2">
      <c r="C1322" t="s">
        <v>335</v>
      </c>
      <c r="D1322" t="b">
        <f t="shared" ca="1" si="63"/>
        <v>1</v>
      </c>
      <c r="E1322" s="5">
        <f t="shared" si="64"/>
        <v>0</v>
      </c>
      <c r="F1322">
        <v>31.887499999999999</v>
      </c>
      <c r="G1322">
        <v>31.887499999999999</v>
      </c>
      <c r="H1322">
        <v>31.887499999999999</v>
      </c>
      <c r="J1322" s="5">
        <f t="shared" si="62"/>
        <v>0</v>
      </c>
      <c r="K1322" s="5">
        <f t="shared" si="62"/>
        <v>0</v>
      </c>
    </row>
    <row r="1323" spans="3:11" x14ac:dyDescent="0.2">
      <c r="C1323" t="s">
        <v>334</v>
      </c>
      <c r="D1323" t="b">
        <f t="shared" ca="1" si="63"/>
        <v>1</v>
      </c>
      <c r="E1323" s="5">
        <f t="shared" si="64"/>
        <v>0</v>
      </c>
      <c r="F1323">
        <v>31.324999999999999</v>
      </c>
      <c r="G1323">
        <v>31.324999999999999</v>
      </c>
      <c r="H1323">
        <v>31.324999999999999</v>
      </c>
      <c r="J1323" s="5">
        <f t="shared" si="62"/>
        <v>0</v>
      </c>
      <c r="K1323" s="5">
        <f t="shared" si="62"/>
        <v>0</v>
      </c>
    </row>
    <row r="1324" spans="3:11" x14ac:dyDescent="0.2">
      <c r="C1324" t="s">
        <v>333</v>
      </c>
      <c r="D1324" t="b">
        <f t="shared" ca="1" si="63"/>
        <v>1</v>
      </c>
      <c r="E1324" s="5">
        <f t="shared" si="64"/>
        <v>0</v>
      </c>
      <c r="F1324">
        <v>29.35</v>
      </c>
      <c r="G1324">
        <v>29.35</v>
      </c>
      <c r="H1324">
        <v>29.35</v>
      </c>
      <c r="J1324" s="5">
        <f t="shared" si="62"/>
        <v>0</v>
      </c>
      <c r="K1324" s="5">
        <f t="shared" si="62"/>
        <v>0</v>
      </c>
    </row>
    <row r="1325" spans="3:11" x14ac:dyDescent="0.2">
      <c r="C1325" t="s">
        <v>332</v>
      </c>
      <c r="D1325" t="b">
        <f t="shared" ca="1" si="63"/>
        <v>1</v>
      </c>
      <c r="E1325" s="5">
        <f t="shared" si="64"/>
        <v>0</v>
      </c>
      <c r="F1325">
        <v>27.612500000000001</v>
      </c>
      <c r="G1325">
        <v>27.612500000000001</v>
      </c>
      <c r="H1325">
        <v>27.612500000000001</v>
      </c>
      <c r="J1325" s="5">
        <f t="shared" si="62"/>
        <v>0</v>
      </c>
      <c r="K1325" s="5">
        <f t="shared" si="62"/>
        <v>0</v>
      </c>
    </row>
    <row r="1326" spans="3:11" x14ac:dyDescent="0.2">
      <c r="C1326" t="s">
        <v>331</v>
      </c>
      <c r="D1326" t="b">
        <f t="shared" ca="1" si="63"/>
        <v>1</v>
      </c>
      <c r="E1326" s="5">
        <f t="shared" si="64"/>
        <v>0</v>
      </c>
      <c r="F1326">
        <v>27.2</v>
      </c>
      <c r="G1326">
        <v>27.2</v>
      </c>
      <c r="H1326">
        <v>27.2</v>
      </c>
      <c r="J1326" s="5">
        <f t="shared" si="62"/>
        <v>0</v>
      </c>
      <c r="K1326" s="5">
        <f t="shared" si="62"/>
        <v>0</v>
      </c>
    </row>
    <row r="1327" spans="3:11" x14ac:dyDescent="0.2">
      <c r="C1327" t="s">
        <v>330</v>
      </c>
      <c r="D1327" t="b">
        <f t="shared" ca="1" si="63"/>
        <v>1</v>
      </c>
      <c r="E1327" s="5">
        <f t="shared" si="64"/>
        <v>0</v>
      </c>
      <c r="F1327">
        <v>26.887499999999999</v>
      </c>
      <c r="G1327">
        <v>26.887499999999999</v>
      </c>
      <c r="H1327">
        <v>26.887499999999999</v>
      </c>
      <c r="J1327" s="5">
        <f t="shared" si="62"/>
        <v>0</v>
      </c>
      <c r="K1327" s="5">
        <f t="shared" si="62"/>
        <v>0</v>
      </c>
    </row>
    <row r="1328" spans="3:11" x14ac:dyDescent="0.2">
      <c r="C1328" t="s">
        <v>329</v>
      </c>
      <c r="D1328" t="b">
        <f t="shared" ca="1" si="63"/>
        <v>1</v>
      </c>
      <c r="E1328" s="5">
        <f t="shared" si="64"/>
        <v>0</v>
      </c>
      <c r="F1328">
        <v>26.324999999999999</v>
      </c>
      <c r="G1328">
        <v>26.324999999999999</v>
      </c>
      <c r="H1328">
        <v>26.324999999999999</v>
      </c>
      <c r="J1328" s="5">
        <f t="shared" si="62"/>
        <v>0</v>
      </c>
      <c r="K1328" s="5">
        <f t="shared" si="62"/>
        <v>0</v>
      </c>
    </row>
    <row r="1329" spans="3:11" x14ac:dyDescent="0.2">
      <c r="C1329" t="s">
        <v>328</v>
      </c>
      <c r="D1329" t="b">
        <f t="shared" ca="1" si="63"/>
        <v>1</v>
      </c>
      <c r="E1329" s="5">
        <f t="shared" si="64"/>
        <v>0</v>
      </c>
      <c r="F1329">
        <v>26.1</v>
      </c>
      <c r="G1329">
        <v>26.1</v>
      </c>
      <c r="H1329">
        <v>26.1</v>
      </c>
      <c r="J1329" s="5">
        <f t="shared" si="62"/>
        <v>0</v>
      </c>
      <c r="K1329" s="5">
        <f t="shared" si="62"/>
        <v>0</v>
      </c>
    </row>
    <row r="1330" spans="3:11" x14ac:dyDescent="0.2">
      <c r="C1330" t="s">
        <v>327</v>
      </c>
      <c r="D1330" t="b">
        <f t="shared" ca="1" si="63"/>
        <v>1</v>
      </c>
      <c r="E1330" s="5">
        <f t="shared" si="64"/>
        <v>2.2136870654223803E-13</v>
      </c>
      <c r="F1330">
        <v>23.944887656281999</v>
      </c>
      <c r="G1330">
        <v>23.9448876562873</v>
      </c>
      <c r="H1330">
        <v>23.9448876562873</v>
      </c>
      <c r="J1330" s="5">
        <f t="shared" si="62"/>
        <v>2.2136870654223803E-13</v>
      </c>
      <c r="K1330" s="5">
        <f t="shared" si="62"/>
        <v>0</v>
      </c>
    </row>
    <row r="1331" spans="3:11" x14ac:dyDescent="0.2">
      <c r="C1331" t="s">
        <v>326</v>
      </c>
      <c r="D1331" t="b">
        <f t="shared" ca="1" si="63"/>
        <v>1</v>
      </c>
      <c r="E1331" s="5">
        <f t="shared" si="64"/>
        <v>1.3772930916765107E-13</v>
      </c>
      <c r="F1331">
        <v>23.963461572207301</v>
      </c>
      <c r="G1331">
        <v>23.963461572210601</v>
      </c>
      <c r="H1331">
        <v>23.963461572210601</v>
      </c>
      <c r="J1331" s="5">
        <f t="shared" si="62"/>
        <v>1.3772930916765107E-13</v>
      </c>
      <c r="K1331" s="5">
        <f t="shared" si="62"/>
        <v>0</v>
      </c>
    </row>
    <row r="1332" spans="3:11" x14ac:dyDescent="0.2">
      <c r="C1332" t="s">
        <v>325</v>
      </c>
      <c r="D1332" t="b">
        <f t="shared" ca="1" si="63"/>
        <v>1</v>
      </c>
      <c r="E1332" s="5">
        <f t="shared" si="64"/>
        <v>8.7687134978837495E-14</v>
      </c>
      <c r="F1332">
        <v>23.944832781659802</v>
      </c>
      <c r="G1332">
        <v>23.944832781661901</v>
      </c>
      <c r="H1332">
        <v>23.944832781661901</v>
      </c>
      <c r="J1332" s="5">
        <f t="shared" si="62"/>
        <v>8.7687134978837495E-14</v>
      </c>
      <c r="K1332" s="5">
        <f t="shared" si="62"/>
        <v>0</v>
      </c>
    </row>
    <row r="1333" spans="3:11" x14ac:dyDescent="0.2">
      <c r="C1333" t="s">
        <v>324</v>
      </c>
      <c r="D1333" t="b">
        <f t="shared" ca="1" si="63"/>
        <v>1</v>
      </c>
      <c r="E1333" s="5">
        <f t="shared" si="64"/>
        <v>5.8526704602902589E-14</v>
      </c>
      <c r="F1333">
        <v>23.9167607153808</v>
      </c>
      <c r="G1333">
        <v>23.9167607153822</v>
      </c>
      <c r="H1333">
        <v>23.9167607153822</v>
      </c>
      <c r="J1333" s="5">
        <f t="shared" si="62"/>
        <v>5.8526704602902589E-14</v>
      </c>
      <c r="K1333" s="5">
        <f t="shared" si="62"/>
        <v>0</v>
      </c>
    </row>
    <row r="1334" spans="3:11" x14ac:dyDescent="0.2">
      <c r="C1334" t="s">
        <v>323</v>
      </c>
      <c r="D1334" t="b">
        <f t="shared" ca="1" si="63"/>
        <v>1</v>
      </c>
      <c r="E1334" s="5">
        <f t="shared" si="64"/>
        <v>3.7669357688207455E-14</v>
      </c>
      <c r="F1334">
        <v>23.861212823862701</v>
      </c>
      <c r="G1334">
        <v>23.8612128238636</v>
      </c>
      <c r="H1334">
        <v>23.8612128238636</v>
      </c>
      <c r="J1334" s="5">
        <f t="shared" si="62"/>
        <v>3.7669357688207455E-14</v>
      </c>
      <c r="K1334" s="5">
        <f t="shared" si="62"/>
        <v>0</v>
      </c>
    </row>
    <row r="1335" spans="3:11" x14ac:dyDescent="0.2">
      <c r="C1335" t="s">
        <v>322</v>
      </c>
      <c r="D1335" t="b">
        <f t="shared" ca="1" si="63"/>
        <v>1</v>
      </c>
      <c r="E1335" s="5">
        <f t="shared" si="64"/>
        <v>1.6703972095188689E-14</v>
      </c>
      <c r="F1335">
        <v>24.033603709149499</v>
      </c>
      <c r="G1335">
        <v>24.033603709149901</v>
      </c>
      <c r="H1335">
        <v>24.033603709149901</v>
      </c>
      <c r="J1335" s="5">
        <f t="shared" si="62"/>
        <v>1.6703972095188689E-14</v>
      </c>
      <c r="K1335" s="5">
        <f t="shared" si="62"/>
        <v>0</v>
      </c>
    </row>
    <row r="1336" spans="3:11" x14ac:dyDescent="0.2">
      <c r="C1336" t="s">
        <v>321</v>
      </c>
      <c r="D1336" t="b">
        <f t="shared" ca="1" si="63"/>
        <v>1</v>
      </c>
      <c r="E1336" s="5">
        <f t="shared" si="64"/>
        <v>4.1739782452374364E-15</v>
      </c>
      <c r="F1336">
        <v>24.683572992449498</v>
      </c>
      <c r="G1336">
        <v>24.683572992449601</v>
      </c>
      <c r="H1336">
        <v>24.683572992449601</v>
      </c>
      <c r="J1336" s="5">
        <f t="shared" si="62"/>
        <v>4.1739782452374364E-15</v>
      </c>
      <c r="K1336" s="5">
        <f t="shared" si="62"/>
        <v>0</v>
      </c>
    </row>
    <row r="1337" spans="3:11" x14ac:dyDescent="0.2">
      <c r="C1337" t="s">
        <v>320</v>
      </c>
      <c r="D1337" t="b">
        <f t="shared" ca="1" si="63"/>
        <v>1</v>
      </c>
      <c r="E1337" s="5">
        <f t="shared" si="64"/>
        <v>3.946371288469658E-15</v>
      </c>
      <c r="F1337">
        <v>25.206949811605099</v>
      </c>
      <c r="G1337">
        <v>25.206949811605</v>
      </c>
      <c r="H1337">
        <v>25.206949811605</v>
      </c>
      <c r="J1337" s="5">
        <f t="shared" si="62"/>
        <v>3.946371288469658E-15</v>
      </c>
      <c r="K1337" s="5">
        <f t="shared" si="62"/>
        <v>0</v>
      </c>
    </row>
    <row r="1338" spans="3:11" x14ac:dyDescent="0.2">
      <c r="C1338" t="s">
        <v>319</v>
      </c>
      <c r="D1338" t="b">
        <f t="shared" ca="1" si="63"/>
        <v>1</v>
      </c>
      <c r="E1338" s="5">
        <f t="shared" si="64"/>
        <v>0</v>
      </c>
      <c r="F1338">
        <v>25.491008066681399</v>
      </c>
      <c r="G1338">
        <v>25.491008066681399</v>
      </c>
      <c r="H1338">
        <v>25.491008066681399</v>
      </c>
      <c r="J1338" s="5">
        <f t="shared" si="62"/>
        <v>0</v>
      </c>
      <c r="K1338" s="5">
        <f t="shared" si="62"/>
        <v>0</v>
      </c>
    </row>
    <row r="1339" spans="3:11" x14ac:dyDescent="0.2">
      <c r="C1339" t="s">
        <v>318</v>
      </c>
      <c r="D1339" t="b">
        <f t="shared" ca="1" si="63"/>
        <v>1</v>
      </c>
      <c r="E1339" s="5">
        <f t="shared" si="64"/>
        <v>0</v>
      </c>
      <c r="F1339">
        <v>25.5873510062119</v>
      </c>
      <c r="G1339">
        <v>25.5873510062119</v>
      </c>
      <c r="H1339">
        <v>25.5873510062119</v>
      </c>
      <c r="J1339" s="5">
        <f t="shared" si="62"/>
        <v>0</v>
      </c>
      <c r="K1339" s="5">
        <f t="shared" si="62"/>
        <v>0</v>
      </c>
    </row>
    <row r="1340" spans="3:11" x14ac:dyDescent="0.2">
      <c r="C1340" t="s">
        <v>317</v>
      </c>
      <c r="D1340" t="b">
        <f t="shared" ca="1" si="63"/>
        <v>1</v>
      </c>
      <c r="E1340" s="5">
        <f t="shared" si="64"/>
        <v>0</v>
      </c>
      <c r="F1340">
        <v>25.795923260596101</v>
      </c>
      <c r="G1340">
        <v>25.795923260596101</v>
      </c>
      <c r="H1340">
        <v>25.795923260596101</v>
      </c>
      <c r="J1340" s="5">
        <f t="shared" si="62"/>
        <v>0</v>
      </c>
      <c r="K1340" s="5">
        <f t="shared" si="62"/>
        <v>0</v>
      </c>
    </row>
    <row r="1341" spans="3:11" x14ac:dyDescent="0.2">
      <c r="C1341" t="s">
        <v>316</v>
      </c>
      <c r="D1341" t="b">
        <f t="shared" ca="1" si="63"/>
        <v>1</v>
      </c>
      <c r="E1341" s="5">
        <f t="shared" si="64"/>
        <v>3.8448718647195514E-15</v>
      </c>
      <c r="F1341">
        <v>25.8723792382272</v>
      </c>
      <c r="G1341">
        <v>25.872379238227101</v>
      </c>
      <c r="H1341">
        <v>25.872379238227101</v>
      </c>
      <c r="J1341" s="5">
        <f t="shared" si="62"/>
        <v>3.8448718647195514E-15</v>
      </c>
      <c r="K1341" s="5">
        <f t="shared" si="62"/>
        <v>0</v>
      </c>
    </row>
    <row r="1342" spans="3:11" x14ac:dyDescent="0.2">
      <c r="C1342" t="s">
        <v>315</v>
      </c>
      <c r="D1342" t="b">
        <f t="shared" ca="1" si="63"/>
        <v>1</v>
      </c>
      <c r="E1342" s="5">
        <f t="shared" si="64"/>
        <v>0</v>
      </c>
      <c r="F1342">
        <v>25.889978167511298</v>
      </c>
      <c r="G1342">
        <v>25.889978167511298</v>
      </c>
      <c r="H1342">
        <v>25.889978167511298</v>
      </c>
      <c r="J1342" s="5">
        <f t="shared" si="62"/>
        <v>0</v>
      </c>
      <c r="K1342" s="5">
        <f t="shared" si="62"/>
        <v>0</v>
      </c>
    </row>
    <row r="1343" spans="3:11" x14ac:dyDescent="0.2">
      <c r="C1343" t="s">
        <v>314</v>
      </c>
      <c r="D1343" t="b">
        <f t="shared" ca="1" si="63"/>
        <v>1</v>
      </c>
      <c r="E1343" s="5">
        <f t="shared" si="64"/>
        <v>3.8290832986973695E-15</v>
      </c>
      <c r="F1343">
        <v>25.9790595415501</v>
      </c>
      <c r="G1343">
        <v>25.9790595415502</v>
      </c>
      <c r="H1343">
        <v>25.9790595415502</v>
      </c>
      <c r="J1343" s="5">
        <f t="shared" si="62"/>
        <v>3.8290832986973695E-15</v>
      </c>
      <c r="K1343" s="5">
        <f t="shared" si="62"/>
        <v>0</v>
      </c>
    </row>
    <row r="1344" spans="3:11" x14ac:dyDescent="0.2">
      <c r="C1344" t="s">
        <v>313</v>
      </c>
      <c r="D1344" t="b">
        <f t="shared" ca="1" si="63"/>
        <v>1</v>
      </c>
      <c r="E1344" s="5">
        <f t="shared" si="64"/>
        <v>3.8170722590725598E-15</v>
      </c>
      <c r="F1344">
        <v>26.060806884118001</v>
      </c>
      <c r="G1344">
        <v>26.060806884118101</v>
      </c>
      <c r="H1344">
        <v>26.060806884118101</v>
      </c>
      <c r="J1344" s="5">
        <f t="shared" si="62"/>
        <v>3.8170722590725598E-15</v>
      </c>
      <c r="K1344" s="5">
        <f t="shared" si="62"/>
        <v>0</v>
      </c>
    </row>
    <row r="1345" spans="3:11" x14ac:dyDescent="0.2">
      <c r="C1345" t="s">
        <v>312</v>
      </c>
      <c r="D1345" t="b">
        <f t="shared" ca="1" si="63"/>
        <v>1</v>
      </c>
      <c r="E1345" s="5">
        <f t="shared" si="64"/>
        <v>0</v>
      </c>
      <c r="F1345">
        <v>26.090508583449999</v>
      </c>
      <c r="G1345">
        <v>26.090508583449999</v>
      </c>
      <c r="H1345">
        <v>26.090508583449999</v>
      </c>
      <c r="J1345" s="5">
        <f t="shared" si="62"/>
        <v>0</v>
      </c>
      <c r="K1345" s="5">
        <f t="shared" si="62"/>
        <v>0</v>
      </c>
    </row>
    <row r="1346" spans="3:11" x14ac:dyDescent="0.2">
      <c r="C1346" t="s">
        <v>311</v>
      </c>
      <c r="D1346" t="b">
        <f t="shared" ca="1" si="63"/>
        <v>1</v>
      </c>
      <c r="E1346" s="5">
        <f t="shared" si="64"/>
        <v>0</v>
      </c>
      <c r="F1346">
        <v>26.0422762555819</v>
      </c>
      <c r="G1346">
        <v>26.0422762555819</v>
      </c>
      <c r="H1346">
        <v>26.0422762555819</v>
      </c>
      <c r="J1346" s="5">
        <f t="shared" si="62"/>
        <v>0</v>
      </c>
      <c r="K1346" s="5">
        <f t="shared" si="62"/>
        <v>0</v>
      </c>
    </row>
    <row r="1347" spans="3:11" x14ac:dyDescent="0.2">
      <c r="C1347" t="s">
        <v>310</v>
      </c>
      <c r="D1347" t="b">
        <f t="shared" ca="1" si="63"/>
        <v>1</v>
      </c>
      <c r="E1347" s="5">
        <f t="shared" si="64"/>
        <v>0</v>
      </c>
      <c r="F1347">
        <v>25.9556447547013</v>
      </c>
      <c r="G1347">
        <v>25.9556447547013</v>
      </c>
      <c r="H1347">
        <v>25.9556447547013</v>
      </c>
      <c r="J1347" s="5">
        <f t="shared" si="62"/>
        <v>0</v>
      </c>
      <c r="K1347" s="5">
        <f t="shared" si="62"/>
        <v>0</v>
      </c>
    </row>
    <row r="1348" spans="3:11" x14ac:dyDescent="0.2">
      <c r="C1348" t="s">
        <v>309</v>
      </c>
      <c r="D1348" t="b">
        <f t="shared" ca="1" si="63"/>
        <v>1</v>
      </c>
      <c r="E1348" s="5">
        <f t="shared" si="64"/>
        <v>0</v>
      </c>
      <c r="F1348">
        <v>25.6565479986021</v>
      </c>
      <c r="G1348">
        <v>25.6565479986021</v>
      </c>
      <c r="H1348">
        <v>25.6565479986021</v>
      </c>
      <c r="J1348" s="5">
        <f t="shared" si="62"/>
        <v>0</v>
      </c>
      <c r="K1348" s="5">
        <f t="shared" si="62"/>
        <v>0</v>
      </c>
    </row>
    <row r="1349" spans="3:11" x14ac:dyDescent="0.2">
      <c r="C1349" t="s">
        <v>308</v>
      </c>
      <c r="D1349" t="b">
        <f t="shared" ca="1" si="63"/>
        <v>1</v>
      </c>
      <c r="E1349" s="5">
        <f t="shared" si="64"/>
        <v>0</v>
      </c>
      <c r="F1349">
        <v>25.394864293344099</v>
      </c>
      <c r="G1349">
        <v>25.394864293344099</v>
      </c>
      <c r="H1349">
        <v>25.394864293344099</v>
      </c>
      <c r="J1349" s="5">
        <f t="shared" si="62"/>
        <v>0</v>
      </c>
      <c r="K1349" s="5">
        <f t="shared" si="62"/>
        <v>0</v>
      </c>
    </row>
    <row r="1350" spans="3:11" x14ac:dyDescent="0.2">
      <c r="C1350" t="s">
        <v>307</v>
      </c>
      <c r="D1350" t="b">
        <f t="shared" ca="1" si="63"/>
        <v>1</v>
      </c>
      <c r="E1350" s="5">
        <f t="shared" si="64"/>
        <v>0</v>
      </c>
      <c r="F1350">
        <v>25.3328495744687</v>
      </c>
      <c r="G1350">
        <v>25.3328495744687</v>
      </c>
      <c r="H1350">
        <v>25.3328495744687</v>
      </c>
      <c r="J1350" s="5">
        <f t="shared" si="62"/>
        <v>0</v>
      </c>
      <c r="K1350" s="5">
        <f t="shared" si="62"/>
        <v>0</v>
      </c>
    </row>
    <row r="1351" spans="3:11" x14ac:dyDescent="0.2">
      <c r="C1351" t="s">
        <v>306</v>
      </c>
      <c r="D1351" t="b">
        <f t="shared" ca="1" si="63"/>
        <v>1</v>
      </c>
      <c r="E1351" s="5">
        <f t="shared" si="64"/>
        <v>0</v>
      </c>
      <c r="F1351">
        <v>25.285528023264501</v>
      </c>
      <c r="G1351">
        <v>25.285528023264501</v>
      </c>
      <c r="H1351">
        <v>25.285528023264501</v>
      </c>
      <c r="J1351" s="5">
        <f t="shared" ref="J1351:K1414" si="65">ABS(F1351-G1351)/ABS(F1351)</f>
        <v>0</v>
      </c>
      <c r="K1351" s="5">
        <f t="shared" si="65"/>
        <v>0</v>
      </c>
    </row>
    <row r="1352" spans="3:11" x14ac:dyDescent="0.2">
      <c r="C1352" t="s">
        <v>305</v>
      </c>
      <c r="D1352" t="b">
        <f t="shared" ca="1" si="63"/>
        <v>1</v>
      </c>
      <c r="E1352" s="5">
        <f t="shared" si="64"/>
        <v>0</v>
      </c>
      <c r="F1352">
        <v>25.200444003694699</v>
      </c>
      <c r="G1352">
        <v>25.200444003694699</v>
      </c>
      <c r="H1352">
        <v>25.200444003694699</v>
      </c>
      <c r="J1352" s="5">
        <f t="shared" si="65"/>
        <v>0</v>
      </c>
      <c r="K1352" s="5">
        <f t="shared" si="65"/>
        <v>0</v>
      </c>
    </row>
    <row r="1353" spans="3:11" x14ac:dyDescent="0.2">
      <c r="C1353" t="s">
        <v>304</v>
      </c>
      <c r="D1353" t="b">
        <f t="shared" ca="1" si="63"/>
        <v>1</v>
      </c>
      <c r="E1353" s="5">
        <f t="shared" si="64"/>
        <v>0</v>
      </c>
      <c r="F1353">
        <v>25.166476786934901</v>
      </c>
      <c r="G1353">
        <v>25.166476786934901</v>
      </c>
      <c r="H1353">
        <v>25.166476786934901</v>
      </c>
      <c r="J1353" s="5">
        <f t="shared" si="65"/>
        <v>0</v>
      </c>
      <c r="K1353" s="5">
        <f t="shared" si="65"/>
        <v>0</v>
      </c>
    </row>
    <row r="1354" spans="3:11" x14ac:dyDescent="0.2">
      <c r="C1354" t="s">
        <v>303</v>
      </c>
      <c r="D1354" t="b">
        <f t="shared" ca="1" si="63"/>
        <v>1</v>
      </c>
      <c r="E1354" s="5">
        <f t="shared" si="64"/>
        <v>0</v>
      </c>
      <c r="F1354">
        <v>17.260759215053</v>
      </c>
      <c r="G1354">
        <v>17.260759215053</v>
      </c>
      <c r="H1354">
        <v>17.260759215053</v>
      </c>
      <c r="J1354" s="5">
        <f t="shared" si="65"/>
        <v>0</v>
      </c>
      <c r="K1354" s="5">
        <f t="shared" si="65"/>
        <v>0</v>
      </c>
    </row>
    <row r="1355" spans="3:11" x14ac:dyDescent="0.2">
      <c r="C1355" t="s">
        <v>302</v>
      </c>
      <c r="D1355" t="b">
        <f t="shared" ca="1" si="63"/>
        <v>1</v>
      </c>
      <c r="E1355" s="5">
        <f t="shared" si="64"/>
        <v>0</v>
      </c>
      <c r="F1355">
        <v>17.238016438827799</v>
      </c>
      <c r="G1355">
        <v>17.238016438827799</v>
      </c>
      <c r="H1355">
        <v>17.238016438827799</v>
      </c>
      <c r="J1355" s="5">
        <f t="shared" si="65"/>
        <v>0</v>
      </c>
      <c r="K1355" s="5">
        <f t="shared" si="65"/>
        <v>0</v>
      </c>
    </row>
    <row r="1356" spans="3:11" x14ac:dyDescent="0.2">
      <c r="C1356" t="s">
        <v>301</v>
      </c>
      <c r="D1356" t="b">
        <f t="shared" ca="1" si="63"/>
        <v>1</v>
      </c>
      <c r="E1356" s="5">
        <f t="shared" si="64"/>
        <v>0</v>
      </c>
      <c r="F1356">
        <v>17.2371628425079</v>
      </c>
      <c r="G1356">
        <v>17.2371628425079</v>
      </c>
      <c r="H1356">
        <v>17.2371628425079</v>
      </c>
      <c r="J1356" s="5">
        <f t="shared" si="65"/>
        <v>0</v>
      </c>
      <c r="K1356" s="5">
        <f t="shared" si="65"/>
        <v>0</v>
      </c>
    </row>
    <row r="1357" spans="3:11" x14ac:dyDescent="0.2">
      <c r="C1357" t="s">
        <v>300</v>
      </c>
      <c r="D1357" t="b">
        <f t="shared" ca="1" si="63"/>
        <v>1</v>
      </c>
      <c r="E1357" s="5">
        <f t="shared" si="64"/>
        <v>0</v>
      </c>
      <c r="F1357">
        <v>17.1776136452266</v>
      </c>
      <c r="G1357">
        <v>17.1776136452266</v>
      </c>
      <c r="H1357">
        <v>17.1776136452266</v>
      </c>
      <c r="J1357" s="5">
        <f t="shared" si="65"/>
        <v>0</v>
      </c>
      <c r="K1357" s="5">
        <f t="shared" si="65"/>
        <v>0</v>
      </c>
    </row>
    <row r="1358" spans="3:11" x14ac:dyDescent="0.2">
      <c r="C1358" t="s">
        <v>299</v>
      </c>
      <c r="D1358" t="b">
        <f t="shared" ca="1" si="63"/>
        <v>1</v>
      </c>
      <c r="E1358" s="5">
        <f t="shared" si="64"/>
        <v>0</v>
      </c>
      <c r="F1358">
        <v>17.025949025567101</v>
      </c>
      <c r="G1358">
        <v>17.025949025567101</v>
      </c>
      <c r="H1358">
        <v>17.025949025567101</v>
      </c>
      <c r="J1358" s="5">
        <f t="shared" si="65"/>
        <v>0</v>
      </c>
      <c r="K1358" s="5">
        <f t="shared" si="65"/>
        <v>0</v>
      </c>
    </row>
    <row r="1359" spans="3:11" x14ac:dyDescent="0.2">
      <c r="C1359" t="s">
        <v>298</v>
      </c>
      <c r="D1359" t="b">
        <f t="shared" ca="1" si="63"/>
        <v>1</v>
      </c>
      <c r="E1359" s="5">
        <f t="shared" si="64"/>
        <v>0</v>
      </c>
      <c r="F1359">
        <v>16.979210066707999</v>
      </c>
      <c r="G1359">
        <v>16.979210066707999</v>
      </c>
      <c r="H1359">
        <v>16.979210066707999</v>
      </c>
      <c r="J1359" s="5">
        <f t="shared" si="65"/>
        <v>0</v>
      </c>
      <c r="K1359" s="5">
        <f t="shared" si="65"/>
        <v>0</v>
      </c>
    </row>
    <row r="1360" spans="3:11" x14ac:dyDescent="0.2">
      <c r="C1360" t="s">
        <v>297</v>
      </c>
      <c r="D1360" t="b">
        <f t="shared" ca="1" si="63"/>
        <v>1</v>
      </c>
      <c r="E1360" s="5">
        <f t="shared" si="64"/>
        <v>0</v>
      </c>
      <c r="F1360">
        <v>17.5106201559203</v>
      </c>
      <c r="G1360">
        <v>17.5106201559203</v>
      </c>
      <c r="H1360">
        <v>17.5106201559203</v>
      </c>
      <c r="J1360" s="5">
        <f t="shared" si="65"/>
        <v>0</v>
      </c>
      <c r="K1360" s="5">
        <f t="shared" si="65"/>
        <v>0</v>
      </c>
    </row>
    <row r="1361" spans="3:11" x14ac:dyDescent="0.2">
      <c r="C1361" t="s">
        <v>296</v>
      </c>
      <c r="D1361" t="b">
        <f t="shared" ca="1" si="63"/>
        <v>1</v>
      </c>
      <c r="E1361" s="5">
        <f t="shared" si="64"/>
        <v>0</v>
      </c>
      <c r="F1361">
        <v>17.924928823463301</v>
      </c>
      <c r="G1361">
        <v>17.924928823463301</v>
      </c>
      <c r="H1361">
        <v>17.924928823463301</v>
      </c>
      <c r="J1361" s="5">
        <f t="shared" si="65"/>
        <v>0</v>
      </c>
      <c r="K1361" s="5">
        <f t="shared" si="65"/>
        <v>0</v>
      </c>
    </row>
    <row r="1362" spans="3:11" x14ac:dyDescent="0.2">
      <c r="C1362" t="s">
        <v>295</v>
      </c>
      <c r="D1362" t="b">
        <f t="shared" ref="D1362:D1425" ca="1" si="66">IF(CELL("format",F1362)="G",IF(ABS(F1362-G1362) &lt;= ABS(F1362*B$3),TRUE,FALSE),IF(F1362=G1362,TRUE,FALSE))</f>
        <v>1</v>
      </c>
      <c r="E1362" s="5">
        <f t="shared" ref="E1362:E1425" si="67">ABS(F1362-G1362)/ABS(F1362)</f>
        <v>0</v>
      </c>
      <c r="F1362">
        <v>18.032408403648802</v>
      </c>
      <c r="G1362">
        <v>18.032408403648802</v>
      </c>
      <c r="H1362">
        <v>18.032408403648802</v>
      </c>
      <c r="J1362" s="5">
        <f t="shared" si="65"/>
        <v>0</v>
      </c>
      <c r="K1362" s="5">
        <f t="shared" si="65"/>
        <v>0</v>
      </c>
    </row>
    <row r="1363" spans="3:11" x14ac:dyDescent="0.2">
      <c r="C1363" t="s">
        <v>294</v>
      </c>
      <c r="D1363" t="b">
        <f t="shared" ca="1" si="66"/>
        <v>1</v>
      </c>
      <c r="E1363" s="5">
        <f t="shared" si="67"/>
        <v>0</v>
      </c>
      <c r="F1363">
        <v>18.405565453088901</v>
      </c>
      <c r="G1363">
        <v>18.405565453088901</v>
      </c>
      <c r="H1363">
        <v>18.405565453088901</v>
      </c>
      <c r="J1363" s="5">
        <f t="shared" si="65"/>
        <v>0</v>
      </c>
      <c r="K1363" s="5">
        <f t="shared" si="65"/>
        <v>0</v>
      </c>
    </row>
    <row r="1364" spans="3:11" x14ac:dyDescent="0.2">
      <c r="C1364" t="s">
        <v>293</v>
      </c>
      <c r="D1364" t="b">
        <f t="shared" ca="1" si="66"/>
        <v>1</v>
      </c>
      <c r="E1364" s="5">
        <f t="shared" si="67"/>
        <v>0</v>
      </c>
      <c r="F1364">
        <v>18.897731391445902</v>
      </c>
      <c r="G1364">
        <v>18.897731391445902</v>
      </c>
      <c r="H1364">
        <v>18.897731391445902</v>
      </c>
      <c r="J1364" s="5">
        <f t="shared" si="65"/>
        <v>0</v>
      </c>
      <c r="K1364" s="5">
        <f t="shared" si="65"/>
        <v>0</v>
      </c>
    </row>
    <row r="1365" spans="3:11" x14ac:dyDescent="0.2">
      <c r="C1365" t="s">
        <v>292</v>
      </c>
      <c r="D1365" t="b">
        <f t="shared" ca="1" si="66"/>
        <v>1</v>
      </c>
      <c r="E1365" s="5">
        <f t="shared" si="67"/>
        <v>0</v>
      </c>
      <c r="F1365">
        <v>19.179936941482001</v>
      </c>
      <c r="G1365">
        <v>19.179936941482001</v>
      </c>
      <c r="H1365">
        <v>19.179936941482001</v>
      </c>
      <c r="J1365" s="5">
        <f t="shared" si="65"/>
        <v>0</v>
      </c>
      <c r="K1365" s="5">
        <f t="shared" si="65"/>
        <v>0</v>
      </c>
    </row>
    <row r="1366" spans="3:11" x14ac:dyDescent="0.2">
      <c r="C1366" t="s">
        <v>291</v>
      </c>
      <c r="D1366" t="b">
        <f t="shared" ca="1" si="66"/>
        <v>1</v>
      </c>
      <c r="E1366" s="5">
        <f t="shared" si="67"/>
        <v>0</v>
      </c>
      <c r="F1366">
        <v>18.741843913594298</v>
      </c>
      <c r="G1366">
        <v>18.741843913594298</v>
      </c>
      <c r="H1366">
        <v>18.741843913594298</v>
      </c>
      <c r="J1366" s="5">
        <f t="shared" si="65"/>
        <v>0</v>
      </c>
      <c r="K1366" s="5">
        <f t="shared" si="65"/>
        <v>0</v>
      </c>
    </row>
    <row r="1367" spans="3:11" x14ac:dyDescent="0.2">
      <c r="C1367" t="s">
        <v>290</v>
      </c>
      <c r="D1367" t="b">
        <f t="shared" ca="1" si="66"/>
        <v>1</v>
      </c>
      <c r="E1367" s="5">
        <f t="shared" si="67"/>
        <v>0</v>
      </c>
      <c r="F1367">
        <v>18.311924546008001</v>
      </c>
      <c r="G1367">
        <v>18.311924546008001</v>
      </c>
      <c r="H1367">
        <v>18.311924546008001</v>
      </c>
      <c r="J1367" s="5">
        <f t="shared" si="65"/>
        <v>0</v>
      </c>
      <c r="K1367" s="5">
        <f t="shared" si="65"/>
        <v>0</v>
      </c>
    </row>
    <row r="1368" spans="3:11" x14ac:dyDescent="0.2">
      <c r="C1368" t="s">
        <v>289</v>
      </c>
      <c r="D1368" t="b">
        <f t="shared" ca="1" si="66"/>
        <v>1</v>
      </c>
      <c r="E1368" s="5">
        <f t="shared" si="67"/>
        <v>0</v>
      </c>
      <c r="F1368">
        <v>18.277758190058599</v>
      </c>
      <c r="G1368">
        <v>18.277758190058599</v>
      </c>
      <c r="H1368">
        <v>18.277758190058599</v>
      </c>
      <c r="J1368" s="5">
        <f t="shared" si="65"/>
        <v>0</v>
      </c>
      <c r="K1368" s="5">
        <f t="shared" si="65"/>
        <v>0</v>
      </c>
    </row>
    <row r="1369" spans="3:11" x14ac:dyDescent="0.2">
      <c r="C1369" t="s">
        <v>288</v>
      </c>
      <c r="D1369" t="b">
        <f t="shared" ca="1" si="66"/>
        <v>1</v>
      </c>
      <c r="E1369" s="5">
        <f t="shared" si="67"/>
        <v>0</v>
      </c>
      <c r="F1369">
        <v>18.449092607481401</v>
      </c>
      <c r="G1369">
        <v>18.449092607481401</v>
      </c>
      <c r="H1369">
        <v>18.449092607481401</v>
      </c>
      <c r="J1369" s="5">
        <f t="shared" si="65"/>
        <v>0</v>
      </c>
      <c r="K1369" s="5">
        <f t="shared" si="65"/>
        <v>0</v>
      </c>
    </row>
    <row r="1370" spans="3:11" x14ac:dyDescent="0.2">
      <c r="C1370" t="s">
        <v>287</v>
      </c>
      <c r="D1370" t="b">
        <f t="shared" ca="1" si="66"/>
        <v>1</v>
      </c>
      <c r="E1370" s="5">
        <f t="shared" si="67"/>
        <v>0</v>
      </c>
      <c r="F1370">
        <v>18.927816658412201</v>
      </c>
      <c r="G1370">
        <v>18.927816658412201</v>
      </c>
      <c r="H1370">
        <v>18.927816658412201</v>
      </c>
      <c r="J1370" s="5">
        <f t="shared" si="65"/>
        <v>0</v>
      </c>
      <c r="K1370" s="5">
        <f t="shared" si="65"/>
        <v>0</v>
      </c>
    </row>
    <row r="1371" spans="3:11" x14ac:dyDescent="0.2">
      <c r="C1371" t="s">
        <v>286</v>
      </c>
      <c r="D1371" t="b">
        <f t="shared" ca="1" si="66"/>
        <v>1</v>
      </c>
      <c r="E1371" s="5">
        <f t="shared" si="67"/>
        <v>0</v>
      </c>
      <c r="F1371">
        <v>19.445677912538098</v>
      </c>
      <c r="G1371">
        <v>19.445677912538098</v>
      </c>
      <c r="H1371">
        <v>19.445677912538098</v>
      </c>
      <c r="J1371" s="5">
        <f t="shared" si="65"/>
        <v>0</v>
      </c>
      <c r="K1371" s="5">
        <f t="shared" si="65"/>
        <v>0</v>
      </c>
    </row>
    <row r="1372" spans="3:11" x14ac:dyDescent="0.2">
      <c r="C1372" t="s">
        <v>285</v>
      </c>
      <c r="D1372" t="b">
        <f t="shared" ca="1" si="66"/>
        <v>1</v>
      </c>
      <c r="E1372" s="5">
        <f t="shared" si="67"/>
        <v>0</v>
      </c>
      <c r="F1372">
        <v>19.483902198574398</v>
      </c>
      <c r="G1372">
        <v>19.483902198574398</v>
      </c>
      <c r="H1372">
        <v>19.483902198574398</v>
      </c>
      <c r="J1372" s="5">
        <f t="shared" si="65"/>
        <v>0</v>
      </c>
      <c r="K1372" s="5">
        <f t="shared" si="65"/>
        <v>0</v>
      </c>
    </row>
    <row r="1373" spans="3:11" x14ac:dyDescent="0.2">
      <c r="C1373" t="s">
        <v>284</v>
      </c>
      <c r="D1373" t="b">
        <f t="shared" ca="1" si="66"/>
        <v>1</v>
      </c>
      <c r="E1373" s="5">
        <f t="shared" si="67"/>
        <v>0</v>
      </c>
      <c r="F1373">
        <v>19.514401241849299</v>
      </c>
      <c r="G1373">
        <v>19.514401241849299</v>
      </c>
      <c r="H1373">
        <v>19.514401241849299</v>
      </c>
      <c r="J1373" s="5">
        <f t="shared" si="65"/>
        <v>0</v>
      </c>
      <c r="K1373" s="5">
        <f t="shared" si="65"/>
        <v>0</v>
      </c>
    </row>
    <row r="1374" spans="3:11" x14ac:dyDescent="0.2">
      <c r="C1374" t="s">
        <v>283</v>
      </c>
      <c r="D1374" t="b">
        <f t="shared" ca="1" si="66"/>
        <v>1</v>
      </c>
      <c r="E1374" s="5">
        <f t="shared" si="67"/>
        <v>0</v>
      </c>
      <c r="F1374">
        <v>19.763309169228702</v>
      </c>
      <c r="G1374">
        <v>19.763309169228702</v>
      </c>
      <c r="H1374">
        <v>19.763309169228702</v>
      </c>
      <c r="J1374" s="5">
        <f t="shared" si="65"/>
        <v>0</v>
      </c>
      <c r="K1374" s="5">
        <f t="shared" si="65"/>
        <v>0</v>
      </c>
    </row>
    <row r="1375" spans="3:11" x14ac:dyDescent="0.2">
      <c r="C1375" t="s">
        <v>282</v>
      </c>
      <c r="D1375" t="b">
        <f t="shared" ca="1" si="66"/>
        <v>1</v>
      </c>
      <c r="E1375" s="5">
        <f t="shared" si="67"/>
        <v>0</v>
      </c>
      <c r="F1375">
        <v>19.798431455155502</v>
      </c>
      <c r="G1375">
        <v>19.798431455155502</v>
      </c>
      <c r="H1375">
        <v>19.798431455155502</v>
      </c>
      <c r="J1375" s="5">
        <f t="shared" si="65"/>
        <v>0</v>
      </c>
      <c r="K1375" s="5">
        <f t="shared" si="65"/>
        <v>0</v>
      </c>
    </row>
    <row r="1376" spans="3:11" x14ac:dyDescent="0.2">
      <c r="C1376" t="s">
        <v>281</v>
      </c>
      <c r="D1376" t="b">
        <f t="shared" ca="1" si="66"/>
        <v>1</v>
      </c>
      <c r="E1376" s="5">
        <f t="shared" si="67"/>
        <v>0</v>
      </c>
      <c r="F1376">
        <v>19.789702033597901</v>
      </c>
      <c r="G1376">
        <v>19.789702033597901</v>
      </c>
      <c r="H1376">
        <v>19.789702033597901</v>
      </c>
      <c r="J1376" s="5">
        <f t="shared" si="65"/>
        <v>0</v>
      </c>
      <c r="K1376" s="5">
        <f t="shared" si="65"/>
        <v>0</v>
      </c>
    </row>
    <row r="1377" spans="3:11" x14ac:dyDescent="0.2">
      <c r="C1377" t="s">
        <v>280</v>
      </c>
      <c r="D1377" t="b">
        <f t="shared" ca="1" si="66"/>
        <v>1</v>
      </c>
      <c r="E1377" s="5">
        <f t="shared" si="67"/>
        <v>0</v>
      </c>
      <c r="F1377">
        <v>19.837595533055001</v>
      </c>
      <c r="G1377">
        <v>19.837595533055001</v>
      </c>
      <c r="H1377">
        <v>19.837595533055001</v>
      </c>
      <c r="J1377" s="5">
        <f t="shared" si="65"/>
        <v>0</v>
      </c>
      <c r="K1377" s="5">
        <f t="shared" si="65"/>
        <v>0</v>
      </c>
    </row>
    <row r="1378" spans="3:11" x14ac:dyDescent="0.2">
      <c r="C1378" t="s">
        <v>279</v>
      </c>
      <c r="D1378" t="b">
        <f t="shared" ca="1" si="66"/>
        <v>1</v>
      </c>
      <c r="E1378" s="5">
        <f t="shared" si="67"/>
        <v>0</v>
      </c>
      <c r="F1378">
        <v>1.1201933285177801E-2</v>
      </c>
      <c r="G1378">
        <v>1.1201933285177801E-2</v>
      </c>
      <c r="H1378">
        <v>1.1201933285177801E-2</v>
      </c>
      <c r="J1378" s="5">
        <f t="shared" si="65"/>
        <v>0</v>
      </c>
      <c r="K1378" s="5">
        <f t="shared" si="65"/>
        <v>0</v>
      </c>
    </row>
    <row r="1379" spans="3:11" x14ac:dyDescent="0.2">
      <c r="C1379" t="s">
        <v>278</v>
      </c>
      <c r="D1379" t="b">
        <f t="shared" ca="1" si="66"/>
        <v>1</v>
      </c>
      <c r="E1379" s="5">
        <f t="shared" si="67"/>
        <v>0</v>
      </c>
      <c r="F1379">
        <v>1.12962217520776E-2</v>
      </c>
      <c r="G1379">
        <v>1.12962217520776E-2</v>
      </c>
      <c r="H1379">
        <v>1.12962217520776E-2</v>
      </c>
      <c r="J1379" s="5">
        <f t="shared" si="65"/>
        <v>0</v>
      </c>
      <c r="K1379" s="5">
        <f t="shared" si="65"/>
        <v>0</v>
      </c>
    </row>
    <row r="1380" spans="3:11" x14ac:dyDescent="0.2">
      <c r="C1380" t="s">
        <v>277</v>
      </c>
      <c r="D1380" t="b">
        <f t="shared" ca="1" si="66"/>
        <v>1</v>
      </c>
      <c r="E1380" s="5">
        <f t="shared" si="67"/>
        <v>0</v>
      </c>
      <c r="F1380">
        <v>1.11991806940512E-2</v>
      </c>
      <c r="G1380">
        <v>1.11991806940512E-2</v>
      </c>
      <c r="H1380">
        <v>1.11991806940512E-2</v>
      </c>
      <c r="J1380" s="5">
        <f t="shared" si="65"/>
        <v>0</v>
      </c>
      <c r="K1380" s="5">
        <f t="shared" si="65"/>
        <v>0</v>
      </c>
    </row>
    <row r="1381" spans="3:11" x14ac:dyDescent="0.2">
      <c r="C1381" t="s">
        <v>276</v>
      </c>
      <c r="D1381" t="b">
        <f t="shared" ca="1" si="66"/>
        <v>1</v>
      </c>
      <c r="E1381" s="5">
        <f t="shared" si="67"/>
        <v>0</v>
      </c>
      <c r="F1381">
        <v>1.1060818557718E-2</v>
      </c>
      <c r="G1381">
        <v>1.1060818557718E-2</v>
      </c>
      <c r="H1381">
        <v>1.1060818557718E-2</v>
      </c>
      <c r="J1381" s="5">
        <f t="shared" si="65"/>
        <v>0</v>
      </c>
      <c r="K1381" s="5">
        <f t="shared" si="65"/>
        <v>0</v>
      </c>
    </row>
    <row r="1382" spans="3:11" x14ac:dyDescent="0.2">
      <c r="C1382" t="s">
        <v>275</v>
      </c>
      <c r="D1382" t="b">
        <f t="shared" ca="1" si="66"/>
        <v>1</v>
      </c>
      <c r="E1382" s="5">
        <f t="shared" si="67"/>
        <v>0</v>
      </c>
      <c r="F1382">
        <v>1.04842823483673E-2</v>
      </c>
      <c r="G1382">
        <v>1.04842823483673E-2</v>
      </c>
      <c r="H1382">
        <v>1.04842823483673E-2</v>
      </c>
      <c r="J1382" s="5">
        <f t="shared" si="65"/>
        <v>0</v>
      </c>
      <c r="K1382" s="5">
        <f t="shared" si="65"/>
        <v>0</v>
      </c>
    </row>
    <row r="1383" spans="3:11" x14ac:dyDescent="0.2">
      <c r="C1383" t="s">
        <v>274</v>
      </c>
      <c r="D1383" t="b">
        <f t="shared" ca="1" si="66"/>
        <v>1</v>
      </c>
      <c r="E1383" s="5">
        <f t="shared" si="67"/>
        <v>0</v>
      </c>
      <c r="F1383">
        <v>1.06478586232074E-2</v>
      </c>
      <c r="G1383">
        <v>1.06478586232074E-2</v>
      </c>
      <c r="H1383">
        <v>1.06478586232074E-2</v>
      </c>
      <c r="J1383" s="5">
        <f t="shared" si="65"/>
        <v>0</v>
      </c>
      <c r="K1383" s="5">
        <f t="shared" si="65"/>
        <v>0</v>
      </c>
    </row>
    <row r="1384" spans="3:11" x14ac:dyDescent="0.2">
      <c r="C1384" t="s">
        <v>273</v>
      </c>
      <c r="D1384" t="b">
        <f t="shared" ca="1" si="66"/>
        <v>1</v>
      </c>
      <c r="E1384" s="5">
        <f t="shared" si="67"/>
        <v>0</v>
      </c>
      <c r="F1384">
        <v>1.2287852269615001E-2</v>
      </c>
      <c r="G1384">
        <v>1.2287852269615001E-2</v>
      </c>
      <c r="H1384">
        <v>1.2287852269615001E-2</v>
      </c>
      <c r="J1384" s="5">
        <f t="shared" si="65"/>
        <v>0</v>
      </c>
      <c r="K1384" s="5">
        <f t="shared" si="65"/>
        <v>0</v>
      </c>
    </row>
    <row r="1385" spans="3:11" x14ac:dyDescent="0.2">
      <c r="C1385" t="s">
        <v>272</v>
      </c>
      <c r="D1385" t="b">
        <f t="shared" ca="1" si="66"/>
        <v>1</v>
      </c>
      <c r="E1385" s="5">
        <f t="shared" si="67"/>
        <v>0</v>
      </c>
      <c r="F1385">
        <v>1.18487772332079E-2</v>
      </c>
      <c r="G1385">
        <v>1.18487772332079E-2</v>
      </c>
      <c r="H1385">
        <v>1.18487772332079E-2</v>
      </c>
      <c r="J1385" s="5">
        <f t="shared" si="65"/>
        <v>0</v>
      </c>
      <c r="K1385" s="5">
        <f t="shared" si="65"/>
        <v>0</v>
      </c>
    </row>
    <row r="1386" spans="3:11" x14ac:dyDescent="0.2">
      <c r="C1386" t="s">
        <v>271</v>
      </c>
      <c r="D1386" t="b">
        <f t="shared" ca="1" si="66"/>
        <v>1</v>
      </c>
      <c r="E1386" s="5">
        <f t="shared" si="67"/>
        <v>0</v>
      </c>
      <c r="F1386">
        <v>1.1579938656585499E-2</v>
      </c>
      <c r="G1386">
        <v>1.1579938656585499E-2</v>
      </c>
      <c r="H1386">
        <v>1.1579938656585499E-2</v>
      </c>
      <c r="J1386" s="5">
        <f t="shared" si="65"/>
        <v>0</v>
      </c>
      <c r="K1386" s="5">
        <f t="shared" si="65"/>
        <v>0</v>
      </c>
    </row>
    <row r="1387" spans="3:11" x14ac:dyDescent="0.2">
      <c r="C1387" t="s">
        <v>270</v>
      </c>
      <c r="D1387" t="b">
        <f t="shared" ca="1" si="66"/>
        <v>1</v>
      </c>
      <c r="E1387" s="5">
        <f t="shared" si="67"/>
        <v>0</v>
      </c>
      <c r="F1387">
        <v>1.2406033064600201E-2</v>
      </c>
      <c r="G1387">
        <v>1.2406033064600201E-2</v>
      </c>
      <c r="H1387">
        <v>1.2406033064600201E-2</v>
      </c>
      <c r="J1387" s="5">
        <f t="shared" si="65"/>
        <v>0</v>
      </c>
      <c r="K1387" s="5">
        <f t="shared" si="65"/>
        <v>0</v>
      </c>
    </row>
    <row r="1388" spans="3:11" x14ac:dyDescent="0.2">
      <c r="C1388" t="s">
        <v>269</v>
      </c>
      <c r="D1388" t="b">
        <f t="shared" ca="1" si="66"/>
        <v>1</v>
      </c>
      <c r="E1388" s="5">
        <f t="shared" si="67"/>
        <v>0</v>
      </c>
      <c r="F1388">
        <v>1.39488986120056E-2</v>
      </c>
      <c r="G1388">
        <v>1.39488986120056E-2</v>
      </c>
      <c r="H1388">
        <v>1.39488986120056E-2</v>
      </c>
      <c r="J1388" s="5">
        <f t="shared" si="65"/>
        <v>0</v>
      </c>
      <c r="K1388" s="5">
        <f t="shared" si="65"/>
        <v>0</v>
      </c>
    </row>
    <row r="1389" spans="3:11" x14ac:dyDescent="0.2">
      <c r="C1389" t="s">
        <v>268</v>
      </c>
      <c r="D1389" t="b">
        <f t="shared" ca="1" si="66"/>
        <v>1</v>
      </c>
      <c r="E1389" s="5">
        <f t="shared" si="67"/>
        <v>0</v>
      </c>
      <c r="F1389">
        <v>1.3760970538394901E-2</v>
      </c>
      <c r="G1389">
        <v>1.3760970538394901E-2</v>
      </c>
      <c r="H1389">
        <v>1.3760970538394901E-2</v>
      </c>
      <c r="J1389" s="5">
        <f t="shared" si="65"/>
        <v>0</v>
      </c>
      <c r="K1389" s="5">
        <f t="shared" si="65"/>
        <v>0</v>
      </c>
    </row>
    <row r="1390" spans="3:11" x14ac:dyDescent="0.2">
      <c r="C1390" t="s">
        <v>267</v>
      </c>
      <c r="D1390" t="b">
        <f t="shared" ca="1" si="66"/>
        <v>1</v>
      </c>
      <c r="E1390" s="5">
        <f t="shared" si="67"/>
        <v>0</v>
      </c>
      <c r="F1390">
        <v>1.19992129124616E-2</v>
      </c>
      <c r="G1390">
        <v>1.19992129124616E-2</v>
      </c>
      <c r="H1390">
        <v>1.19992129124616E-2</v>
      </c>
      <c r="J1390" s="5">
        <f t="shared" si="65"/>
        <v>0</v>
      </c>
      <c r="K1390" s="5">
        <f t="shared" si="65"/>
        <v>0</v>
      </c>
    </row>
    <row r="1391" spans="3:11" x14ac:dyDescent="0.2">
      <c r="C1391" t="s">
        <v>266</v>
      </c>
      <c r="D1391" t="b">
        <f t="shared" ca="1" si="66"/>
        <v>1</v>
      </c>
      <c r="E1391" s="5">
        <f t="shared" si="67"/>
        <v>0</v>
      </c>
      <c r="F1391">
        <v>1.1528114554116901E-2</v>
      </c>
      <c r="G1391">
        <v>1.1528114554116901E-2</v>
      </c>
      <c r="H1391">
        <v>1.1528114554116901E-2</v>
      </c>
      <c r="J1391" s="5">
        <f t="shared" si="65"/>
        <v>0</v>
      </c>
      <c r="K1391" s="5">
        <f t="shared" si="65"/>
        <v>0</v>
      </c>
    </row>
    <row r="1392" spans="3:11" x14ac:dyDescent="0.2">
      <c r="C1392" t="s">
        <v>265</v>
      </c>
      <c r="D1392" t="b">
        <f t="shared" ca="1" si="66"/>
        <v>1</v>
      </c>
      <c r="E1392" s="5">
        <f t="shared" si="67"/>
        <v>0</v>
      </c>
      <c r="F1392">
        <v>1.20859039927296E-2</v>
      </c>
      <c r="G1392">
        <v>1.20859039927296E-2</v>
      </c>
      <c r="H1392">
        <v>1.20859039927296E-2</v>
      </c>
      <c r="J1392" s="5">
        <f t="shared" si="65"/>
        <v>0</v>
      </c>
      <c r="K1392" s="5">
        <f t="shared" si="65"/>
        <v>0</v>
      </c>
    </row>
    <row r="1393" spans="3:11" x14ac:dyDescent="0.2">
      <c r="C1393" t="s">
        <v>264</v>
      </c>
      <c r="D1393" t="b">
        <f t="shared" ca="1" si="66"/>
        <v>1</v>
      </c>
      <c r="E1393" s="5">
        <f t="shared" si="67"/>
        <v>0</v>
      </c>
      <c r="F1393">
        <v>1.34924504298861E-2</v>
      </c>
      <c r="G1393">
        <v>1.34924504298861E-2</v>
      </c>
      <c r="H1393">
        <v>1.34924504298861E-2</v>
      </c>
      <c r="J1393" s="5">
        <f t="shared" si="65"/>
        <v>0</v>
      </c>
      <c r="K1393" s="5">
        <f t="shared" si="65"/>
        <v>0</v>
      </c>
    </row>
    <row r="1394" spans="3:11" x14ac:dyDescent="0.2">
      <c r="C1394" t="s">
        <v>263</v>
      </c>
      <c r="D1394" t="b">
        <f t="shared" ca="1" si="66"/>
        <v>1</v>
      </c>
      <c r="E1394" s="5">
        <f t="shared" si="67"/>
        <v>0</v>
      </c>
      <c r="F1394">
        <v>1.4504382229875599E-2</v>
      </c>
      <c r="G1394">
        <v>1.4504382229875599E-2</v>
      </c>
      <c r="H1394">
        <v>1.4504382229875599E-2</v>
      </c>
      <c r="J1394" s="5">
        <f t="shared" si="65"/>
        <v>0</v>
      </c>
      <c r="K1394" s="5">
        <f t="shared" si="65"/>
        <v>0</v>
      </c>
    </row>
    <row r="1395" spans="3:11" x14ac:dyDescent="0.2">
      <c r="C1395" t="s">
        <v>262</v>
      </c>
      <c r="D1395" t="b">
        <f t="shared" ca="1" si="66"/>
        <v>1</v>
      </c>
      <c r="E1395" s="5">
        <f t="shared" si="67"/>
        <v>0</v>
      </c>
      <c r="F1395">
        <v>1.52878756161443E-2</v>
      </c>
      <c r="G1395">
        <v>1.52878756161443E-2</v>
      </c>
      <c r="H1395">
        <v>1.52878756161443E-2</v>
      </c>
      <c r="J1395" s="5">
        <f t="shared" si="65"/>
        <v>0</v>
      </c>
      <c r="K1395" s="5">
        <f t="shared" si="65"/>
        <v>0</v>
      </c>
    </row>
    <row r="1396" spans="3:11" x14ac:dyDescent="0.2">
      <c r="C1396" t="s">
        <v>261</v>
      </c>
      <c r="D1396" t="b">
        <f t="shared" ca="1" si="66"/>
        <v>1</v>
      </c>
      <c r="E1396" s="5">
        <f t="shared" si="67"/>
        <v>0</v>
      </c>
      <c r="F1396">
        <v>1.49299954948694E-2</v>
      </c>
      <c r="G1396">
        <v>1.49299954948694E-2</v>
      </c>
      <c r="H1396">
        <v>1.49299954948694E-2</v>
      </c>
      <c r="J1396" s="5">
        <f t="shared" si="65"/>
        <v>0</v>
      </c>
      <c r="K1396" s="5">
        <f t="shared" si="65"/>
        <v>0</v>
      </c>
    </row>
    <row r="1397" spans="3:11" x14ac:dyDescent="0.2">
      <c r="C1397" t="s">
        <v>260</v>
      </c>
      <c r="D1397" t="b">
        <f t="shared" ca="1" si="66"/>
        <v>1</v>
      </c>
      <c r="E1397" s="5">
        <f t="shared" si="67"/>
        <v>0</v>
      </c>
      <c r="F1397">
        <v>1.59700581987407E-2</v>
      </c>
      <c r="G1397">
        <v>1.59700581987407E-2</v>
      </c>
      <c r="H1397">
        <v>1.59700581987407E-2</v>
      </c>
      <c r="J1397" s="5">
        <f t="shared" si="65"/>
        <v>0</v>
      </c>
      <c r="K1397" s="5">
        <f t="shared" si="65"/>
        <v>0</v>
      </c>
    </row>
    <row r="1398" spans="3:11" x14ac:dyDescent="0.2">
      <c r="C1398" t="s">
        <v>259</v>
      </c>
      <c r="D1398" t="b">
        <f t="shared" ca="1" si="66"/>
        <v>1</v>
      </c>
      <c r="E1398" s="5">
        <f t="shared" si="67"/>
        <v>0</v>
      </c>
      <c r="F1398">
        <v>1.68097357982845E-2</v>
      </c>
      <c r="G1398">
        <v>1.68097357982845E-2</v>
      </c>
      <c r="H1398">
        <v>1.68097357982845E-2</v>
      </c>
      <c r="J1398" s="5">
        <f t="shared" si="65"/>
        <v>0</v>
      </c>
      <c r="K1398" s="5">
        <f t="shared" si="65"/>
        <v>0</v>
      </c>
    </row>
    <row r="1399" spans="3:11" x14ac:dyDescent="0.2">
      <c r="C1399" t="s">
        <v>258</v>
      </c>
      <c r="D1399" t="b">
        <f t="shared" ca="1" si="66"/>
        <v>1</v>
      </c>
      <c r="E1399" s="5">
        <f t="shared" si="67"/>
        <v>0</v>
      </c>
      <c r="F1399">
        <v>1.6771127794541499E-2</v>
      </c>
      <c r="G1399">
        <v>1.6771127794541499E-2</v>
      </c>
      <c r="H1399">
        <v>1.6771127794541499E-2</v>
      </c>
      <c r="J1399" s="5">
        <f t="shared" si="65"/>
        <v>0</v>
      </c>
      <c r="K1399" s="5">
        <f t="shared" si="65"/>
        <v>0</v>
      </c>
    </row>
    <row r="1400" spans="3:11" x14ac:dyDescent="0.2">
      <c r="C1400" t="s">
        <v>257</v>
      </c>
      <c r="D1400" t="b">
        <f t="shared" ca="1" si="66"/>
        <v>1</v>
      </c>
      <c r="E1400" s="5">
        <f t="shared" si="67"/>
        <v>0</v>
      </c>
      <c r="F1400">
        <v>1.6784233128060998E-2</v>
      </c>
      <c r="G1400">
        <v>1.6784233128060998E-2</v>
      </c>
      <c r="H1400">
        <v>1.6784233128060998E-2</v>
      </c>
      <c r="J1400" s="5">
        <f t="shared" si="65"/>
        <v>0</v>
      </c>
      <c r="K1400" s="5">
        <f t="shared" si="65"/>
        <v>0</v>
      </c>
    </row>
    <row r="1401" spans="3:11" x14ac:dyDescent="0.2">
      <c r="C1401" t="s">
        <v>256</v>
      </c>
      <c r="D1401" t="b">
        <f t="shared" ca="1" si="66"/>
        <v>1</v>
      </c>
      <c r="E1401" s="5">
        <f t="shared" si="67"/>
        <v>0</v>
      </c>
      <c r="F1401">
        <v>1.7076690060884501E-2</v>
      </c>
      <c r="G1401">
        <v>1.7076690060884501E-2</v>
      </c>
      <c r="H1401">
        <v>1.7076690060884501E-2</v>
      </c>
      <c r="J1401" s="5">
        <f t="shared" si="65"/>
        <v>0</v>
      </c>
      <c r="K1401" s="5">
        <f t="shared" si="65"/>
        <v>0</v>
      </c>
    </row>
    <row r="1402" spans="3:11" x14ac:dyDescent="0.2">
      <c r="C1402" t="s">
        <v>255</v>
      </c>
      <c r="D1402" t="b">
        <f t="shared" ca="1" si="66"/>
        <v>1</v>
      </c>
      <c r="E1402" s="5">
        <f t="shared" si="67"/>
        <v>6.7157997895711546E-5</v>
      </c>
      <c r="F1402">
        <v>4020.37</v>
      </c>
      <c r="G1402">
        <v>4020.64</v>
      </c>
      <c r="H1402">
        <v>4020.64</v>
      </c>
      <c r="J1402" s="5">
        <f t="shared" si="65"/>
        <v>6.7157997895711546E-5</v>
      </c>
      <c r="K1402" s="5">
        <f t="shared" si="65"/>
        <v>0</v>
      </c>
    </row>
    <row r="1403" spans="3:11" x14ac:dyDescent="0.2">
      <c r="C1403" t="s">
        <v>255</v>
      </c>
      <c r="D1403" t="b">
        <f t="shared" ca="1" si="66"/>
        <v>1</v>
      </c>
      <c r="E1403" s="5">
        <f t="shared" si="67"/>
        <v>9.2532027249075027E-5</v>
      </c>
      <c r="F1403">
        <v>3134.05</v>
      </c>
      <c r="G1403">
        <v>3134.34</v>
      </c>
      <c r="H1403">
        <v>3134.34</v>
      </c>
      <c r="J1403" s="5">
        <f t="shared" si="65"/>
        <v>9.2532027249075027E-5</v>
      </c>
      <c r="K1403" s="5">
        <f t="shared" si="65"/>
        <v>0</v>
      </c>
    </row>
    <row r="1404" spans="3:11" x14ac:dyDescent="0.2">
      <c r="C1404" t="s">
        <v>254</v>
      </c>
      <c r="D1404" t="b">
        <f t="shared" ca="1" si="66"/>
        <v>1</v>
      </c>
      <c r="E1404" s="5">
        <f t="shared" si="67"/>
        <v>7.1416576752619847E-5</v>
      </c>
      <c r="F1404">
        <v>518.08699999999999</v>
      </c>
      <c r="G1404">
        <v>518.12400000000002</v>
      </c>
      <c r="H1404">
        <v>518.12400000000002</v>
      </c>
      <c r="J1404" s="5">
        <f t="shared" si="65"/>
        <v>7.1416576752619847E-5</v>
      </c>
      <c r="K1404" s="5">
        <f t="shared" si="65"/>
        <v>0</v>
      </c>
    </row>
    <row r="1405" spans="3:11" x14ac:dyDescent="0.2">
      <c r="C1405" t="s">
        <v>254</v>
      </c>
      <c r="D1405" t="b">
        <f t="shared" ca="1" si="66"/>
        <v>1</v>
      </c>
      <c r="E1405" s="5">
        <f t="shared" si="67"/>
        <v>9.1280545953775807E-5</v>
      </c>
      <c r="F1405">
        <v>416.29899999999998</v>
      </c>
      <c r="G1405">
        <v>416.33699999999999</v>
      </c>
      <c r="H1405">
        <v>416.33699999999999</v>
      </c>
      <c r="J1405" s="5">
        <f t="shared" si="65"/>
        <v>9.1280545953775807E-5</v>
      </c>
      <c r="K1405" s="5">
        <f t="shared" si="65"/>
        <v>0</v>
      </c>
    </row>
    <row r="1406" spans="3:11" x14ac:dyDescent="0.2">
      <c r="C1406" t="s">
        <v>253</v>
      </c>
      <c r="D1406" t="b">
        <f t="shared" ca="1" si="66"/>
        <v>1</v>
      </c>
      <c r="E1406" s="5">
        <f t="shared" si="67"/>
        <v>7.3239684190481771E-5</v>
      </c>
      <c r="F1406">
        <v>13653.8</v>
      </c>
      <c r="G1406">
        <v>13654.8</v>
      </c>
      <c r="H1406">
        <v>13654.8</v>
      </c>
      <c r="J1406" s="5">
        <f t="shared" si="65"/>
        <v>7.3239684190481771E-5</v>
      </c>
      <c r="K1406" s="5">
        <f t="shared" si="65"/>
        <v>0</v>
      </c>
    </row>
    <row r="1407" spans="3:11" x14ac:dyDescent="0.2">
      <c r="C1407" t="s">
        <v>253</v>
      </c>
      <c r="D1407" t="b">
        <f t="shared" ca="1" si="66"/>
        <v>0</v>
      </c>
      <c r="E1407" s="5">
        <f t="shared" si="67"/>
        <v>1.0328106561519912E-4</v>
      </c>
      <c r="F1407">
        <v>9779.14</v>
      </c>
      <c r="G1407">
        <v>9780.15</v>
      </c>
      <c r="H1407">
        <v>9780.15</v>
      </c>
      <c r="J1407" s="5">
        <f t="shared" si="65"/>
        <v>1.0328106561519912E-4</v>
      </c>
      <c r="K1407" s="5">
        <f t="shared" si="65"/>
        <v>0</v>
      </c>
    </row>
    <row r="1408" spans="3:11" x14ac:dyDescent="0.2">
      <c r="C1408" t="s">
        <v>252</v>
      </c>
      <c r="D1408" t="b">
        <f t="shared" ca="1" si="66"/>
        <v>0</v>
      </c>
      <c r="E1408" s="5">
        <f t="shared" si="67"/>
        <v>1.0253827926556383E-4</v>
      </c>
      <c r="F1408">
        <v>9849.98</v>
      </c>
      <c r="G1408">
        <v>9850.99</v>
      </c>
      <c r="H1408">
        <v>9850.99</v>
      </c>
      <c r="J1408" s="5">
        <f t="shared" si="65"/>
        <v>1.0253827926556383E-4</v>
      </c>
      <c r="K1408" s="5">
        <f t="shared" si="65"/>
        <v>0</v>
      </c>
    </row>
    <row r="1409" spans="3:11" x14ac:dyDescent="0.2">
      <c r="C1409" t="s">
        <v>252</v>
      </c>
      <c r="D1409" t="b">
        <f t="shared" ca="1" si="66"/>
        <v>0</v>
      </c>
      <c r="E1409" s="5">
        <f t="shared" si="67"/>
        <v>1.0328106561519912E-4</v>
      </c>
      <c r="F1409">
        <v>9779.14</v>
      </c>
      <c r="G1409">
        <v>9780.15</v>
      </c>
      <c r="H1409">
        <v>9780.15</v>
      </c>
      <c r="J1409" s="5">
        <f t="shared" si="65"/>
        <v>1.0328106561519912E-4</v>
      </c>
      <c r="K1409" s="5">
        <f t="shared" si="65"/>
        <v>0</v>
      </c>
    </row>
    <row r="1410" spans="3:11" x14ac:dyDescent="0.2">
      <c r="C1410" t="s">
        <v>251</v>
      </c>
      <c r="D1410" t="b">
        <f t="shared" ca="1" si="66"/>
        <v>1</v>
      </c>
      <c r="E1410" s="5">
        <f t="shared" si="67"/>
        <v>2.6289569087051419E-6</v>
      </c>
      <c r="F1410">
        <v>3803.79</v>
      </c>
      <c r="G1410">
        <v>3803.78</v>
      </c>
      <c r="H1410">
        <v>3803.78</v>
      </c>
      <c r="J1410" s="5">
        <f t="shared" si="65"/>
        <v>2.6289569087051419E-6</v>
      </c>
      <c r="K1410" s="5">
        <f t="shared" si="65"/>
        <v>0</v>
      </c>
    </row>
    <row r="1411" spans="3:11" x14ac:dyDescent="0.2">
      <c r="C1411" t="s">
        <v>251</v>
      </c>
      <c r="D1411" t="b">
        <f t="shared" ca="1" si="66"/>
        <v>0</v>
      </c>
      <c r="E1411" s="5">
        <f t="shared" si="67"/>
        <v>1.1111099382983192</v>
      </c>
      <c r="F1411" s="2">
        <v>-8.5265099999999998E-14</v>
      </c>
      <c r="G1411" s="2">
        <v>-1.80004E-13</v>
      </c>
      <c r="H1411" s="2">
        <v>4.6422099999999999E-13</v>
      </c>
      <c r="I1411" s="2"/>
      <c r="J1411" s="5">
        <f t="shared" si="65"/>
        <v>1.1111099382983192</v>
      </c>
      <c r="K1411" s="5">
        <f t="shared" si="65"/>
        <v>3.5789482455945425</v>
      </c>
    </row>
    <row r="1412" spans="3:11" x14ac:dyDescent="0.2">
      <c r="C1412" t="s">
        <v>250</v>
      </c>
      <c r="D1412" t="b">
        <f t="shared" ca="1" si="66"/>
        <v>1</v>
      </c>
      <c r="E1412" s="5">
        <f t="shared" si="67"/>
        <v>2.8298683167938828E-5</v>
      </c>
      <c r="F1412">
        <v>1.06012E-2</v>
      </c>
      <c r="G1412">
        <v>1.06009E-2</v>
      </c>
      <c r="H1412">
        <v>1.06009E-2</v>
      </c>
      <c r="J1412" s="5">
        <f t="shared" si="65"/>
        <v>2.8298683167938828E-5</v>
      </c>
      <c r="K1412" s="5">
        <f t="shared" si="65"/>
        <v>0</v>
      </c>
    </row>
    <row r="1413" spans="3:11" x14ac:dyDescent="0.2">
      <c r="C1413" t="s">
        <v>250</v>
      </c>
      <c r="D1413" t="b">
        <f t="shared" ca="1" si="66"/>
        <v>1</v>
      </c>
      <c r="E1413" s="5">
        <f t="shared" si="67"/>
        <v>2.0323773343041113E-5</v>
      </c>
      <c r="F1413">
        <v>6.3964499999999997E-3</v>
      </c>
      <c r="G1413">
        <v>6.3965799999999998E-3</v>
      </c>
      <c r="H1413">
        <v>6.3965799999999998E-3</v>
      </c>
      <c r="J1413" s="5">
        <f t="shared" si="65"/>
        <v>2.0323773343041113E-5</v>
      </c>
      <c r="K1413" s="5">
        <f t="shared" si="65"/>
        <v>0</v>
      </c>
    </row>
    <row r="1414" spans="3:11" x14ac:dyDescent="0.2">
      <c r="C1414" t="s">
        <v>249</v>
      </c>
      <c r="D1414" t="b">
        <f t="shared" ca="1" si="66"/>
        <v>1</v>
      </c>
      <c r="E1414" s="5">
        <f t="shared" si="67"/>
        <v>5.1301256366965411E-6</v>
      </c>
      <c r="F1414">
        <v>3.8985400000000001</v>
      </c>
      <c r="G1414">
        <v>3.8985599999999998</v>
      </c>
      <c r="H1414">
        <v>3.8985599999999998</v>
      </c>
      <c r="J1414" s="5">
        <f t="shared" si="65"/>
        <v>5.1301256366965411E-6</v>
      </c>
      <c r="K1414" s="5">
        <f t="shared" si="65"/>
        <v>0</v>
      </c>
    </row>
    <row r="1415" spans="3:11" x14ac:dyDescent="0.2">
      <c r="C1415" t="s">
        <v>249</v>
      </c>
      <c r="D1415" t="b">
        <f t="shared" ca="1" si="66"/>
        <v>1</v>
      </c>
      <c r="E1415" s="5">
        <f t="shared" si="67"/>
        <v>1.1116514972505511E-5</v>
      </c>
      <c r="F1415">
        <v>3.5982500000000002</v>
      </c>
      <c r="G1415">
        <v>3.59829</v>
      </c>
      <c r="H1415">
        <v>3.59829</v>
      </c>
      <c r="J1415" s="5">
        <f t="shared" ref="J1415:K1437" si="68">ABS(F1415-G1415)/ABS(F1415)</f>
        <v>1.1116514972505511E-5</v>
      </c>
      <c r="K1415" s="5">
        <f t="shared" si="68"/>
        <v>0</v>
      </c>
    </row>
    <row r="1416" spans="3:11" x14ac:dyDescent="0.2">
      <c r="C1416" t="s">
        <v>248</v>
      </c>
      <c r="D1416" t="b">
        <f t="shared" ca="1" si="66"/>
        <v>1</v>
      </c>
      <c r="E1416" s="5">
        <f t="shared" si="67"/>
        <v>0</v>
      </c>
      <c r="F1416">
        <v>16.814599999999999</v>
      </c>
      <c r="G1416">
        <v>16.814599999999999</v>
      </c>
      <c r="H1416">
        <v>16.814599999999999</v>
      </c>
      <c r="J1416" s="5">
        <f t="shared" si="68"/>
        <v>0</v>
      </c>
      <c r="K1416" s="5">
        <f t="shared" si="68"/>
        <v>0</v>
      </c>
    </row>
    <row r="1417" spans="3:11" x14ac:dyDescent="0.2">
      <c r="C1417" t="s">
        <v>248</v>
      </c>
      <c r="D1417" t="b">
        <f t="shared" ca="1" si="66"/>
        <v>1</v>
      </c>
      <c r="E1417" s="5">
        <f t="shared" si="67"/>
        <v>0</v>
      </c>
      <c r="F1417">
        <v>16.814599999999999</v>
      </c>
      <c r="G1417">
        <v>16.814599999999999</v>
      </c>
      <c r="H1417">
        <v>16.814599999999999</v>
      </c>
      <c r="J1417" s="5">
        <f t="shared" si="68"/>
        <v>0</v>
      </c>
      <c r="K1417" s="5">
        <f t="shared" si="68"/>
        <v>0</v>
      </c>
    </row>
    <row r="1418" spans="3:11" x14ac:dyDescent="0.2">
      <c r="C1418" t="s">
        <v>247</v>
      </c>
      <c r="D1418" t="b">
        <f t="shared" ca="1" si="66"/>
        <v>1</v>
      </c>
      <c r="E1418" s="5">
        <f t="shared" si="67"/>
        <v>0</v>
      </c>
      <c r="F1418">
        <v>25.000299999999999</v>
      </c>
      <c r="G1418">
        <v>25.000299999999999</v>
      </c>
      <c r="H1418">
        <v>25.000299999999999</v>
      </c>
      <c r="J1418" s="5">
        <f t="shared" si="68"/>
        <v>0</v>
      </c>
      <c r="K1418" s="5">
        <f t="shared" si="68"/>
        <v>0</v>
      </c>
    </row>
    <row r="1419" spans="3:11" x14ac:dyDescent="0.2">
      <c r="C1419" t="s">
        <v>247</v>
      </c>
      <c r="D1419" t="b">
        <f t="shared" ca="1" si="66"/>
        <v>1</v>
      </c>
      <c r="E1419" s="5">
        <f t="shared" si="67"/>
        <v>0</v>
      </c>
      <c r="F1419">
        <v>25.000299999999999</v>
      </c>
      <c r="G1419">
        <v>25.000299999999999</v>
      </c>
      <c r="H1419">
        <v>25.000299999999999</v>
      </c>
      <c r="J1419" s="5">
        <f t="shared" si="68"/>
        <v>0</v>
      </c>
      <c r="K1419" s="5">
        <f t="shared" si="68"/>
        <v>0</v>
      </c>
    </row>
    <row r="1420" spans="3:11" x14ac:dyDescent="0.2">
      <c r="C1420" t="s">
        <v>246</v>
      </c>
      <c r="D1420" t="b">
        <f t="shared" ca="1" si="66"/>
        <v>1</v>
      </c>
      <c r="E1420" s="5">
        <f t="shared" si="67"/>
        <v>0</v>
      </c>
      <c r="F1420">
        <v>5245.59</v>
      </c>
      <c r="G1420">
        <v>5245.59</v>
      </c>
      <c r="H1420">
        <v>5245.59</v>
      </c>
      <c r="J1420" s="5">
        <f t="shared" si="68"/>
        <v>0</v>
      </c>
      <c r="K1420" s="5">
        <f t="shared" si="68"/>
        <v>0</v>
      </c>
    </row>
    <row r="1421" spans="3:11" x14ac:dyDescent="0.2">
      <c r="C1421" t="s">
        <v>246</v>
      </c>
      <c r="D1421" t="b">
        <f t="shared" ca="1" si="66"/>
        <v>1</v>
      </c>
      <c r="E1421" s="5">
        <f t="shared" si="67"/>
        <v>2.4429271152117486E-6</v>
      </c>
      <c r="F1421">
        <v>4093.45</v>
      </c>
      <c r="G1421">
        <v>4093.44</v>
      </c>
      <c r="H1421">
        <v>4093.44</v>
      </c>
      <c r="J1421" s="5">
        <f t="shared" si="68"/>
        <v>2.4429271152117486E-6</v>
      </c>
      <c r="K1421" s="5">
        <f t="shared" si="68"/>
        <v>0</v>
      </c>
    </row>
    <row r="1422" spans="3:11" x14ac:dyDescent="0.2">
      <c r="C1422" t="s">
        <v>245</v>
      </c>
      <c r="D1422" t="b">
        <f t="shared" ca="1" si="66"/>
        <v>1</v>
      </c>
      <c r="E1422" s="5">
        <f t="shared" si="67"/>
        <v>0</v>
      </c>
      <c r="F1422">
        <v>566.82600000000002</v>
      </c>
      <c r="G1422">
        <v>566.82600000000002</v>
      </c>
      <c r="H1422">
        <v>566.82600000000002</v>
      </c>
      <c r="J1422" s="5">
        <f t="shared" si="68"/>
        <v>0</v>
      </c>
      <c r="K1422" s="5">
        <f t="shared" si="68"/>
        <v>0</v>
      </c>
    </row>
    <row r="1423" spans="3:11" x14ac:dyDescent="0.2">
      <c r="C1423" t="s">
        <v>245</v>
      </c>
      <c r="D1423" t="b">
        <f t="shared" ca="1" si="66"/>
        <v>1</v>
      </c>
      <c r="E1423" s="5">
        <f t="shared" si="67"/>
        <v>2.1802975234724213E-6</v>
      </c>
      <c r="F1423">
        <v>458.65300000000002</v>
      </c>
      <c r="G1423">
        <v>458.65199999999999</v>
      </c>
      <c r="H1423">
        <v>458.65199999999999</v>
      </c>
      <c r="J1423" s="5">
        <f t="shared" si="68"/>
        <v>2.1802975234724213E-6</v>
      </c>
      <c r="K1423" s="5">
        <f t="shared" si="68"/>
        <v>0</v>
      </c>
    </row>
    <row r="1424" spans="3:11" x14ac:dyDescent="0.2">
      <c r="C1424" t="s">
        <v>244</v>
      </c>
      <c r="D1424" t="b">
        <f t="shared" ca="1" si="66"/>
        <v>1</v>
      </c>
      <c r="E1424" s="5">
        <f t="shared" si="67"/>
        <v>0</v>
      </c>
      <c r="F1424">
        <v>13734</v>
      </c>
      <c r="G1424">
        <v>13734</v>
      </c>
      <c r="H1424">
        <v>13734</v>
      </c>
      <c r="J1424" s="5">
        <f t="shared" si="68"/>
        <v>0</v>
      </c>
      <c r="K1424" s="5">
        <f t="shared" si="68"/>
        <v>0</v>
      </c>
    </row>
    <row r="1425" spans="3:11" x14ac:dyDescent="0.2">
      <c r="C1425" t="s">
        <v>244</v>
      </c>
      <c r="D1425" t="b">
        <f t="shared" ca="1" si="66"/>
        <v>1</v>
      </c>
      <c r="E1425" s="5">
        <f t="shared" si="67"/>
        <v>0</v>
      </c>
      <c r="F1425">
        <v>9843.74</v>
      </c>
      <c r="G1425">
        <v>9843.74</v>
      </c>
      <c r="H1425">
        <v>9843.74</v>
      </c>
      <c r="J1425" s="5">
        <f t="shared" si="68"/>
        <v>0</v>
      </c>
      <c r="K1425" s="5">
        <f t="shared" si="68"/>
        <v>0</v>
      </c>
    </row>
    <row r="1426" spans="3:11" x14ac:dyDescent="0.2">
      <c r="C1426" t="s">
        <v>243</v>
      </c>
      <c r="D1426" t="b">
        <f t="shared" ref="D1426:D1437" ca="1" si="69">IF(CELL("format",F1426)="G",IF(ABS(F1426-G1426) &lt;= ABS(F1426*B$3),TRUE,FALSE),IF(F1426=G1426,TRUE,FALSE))</f>
        <v>1</v>
      </c>
      <c r="E1426" s="5">
        <f t="shared" ref="E1426:E1437" si="70">ABS(F1426-G1426)/ABS(F1426)</f>
        <v>0</v>
      </c>
      <c r="F1426">
        <v>9923.8799999999992</v>
      </c>
      <c r="G1426">
        <v>9923.8799999999992</v>
      </c>
      <c r="H1426">
        <v>9923.8799999999992</v>
      </c>
      <c r="J1426" s="5">
        <f t="shared" si="68"/>
        <v>0</v>
      </c>
      <c r="K1426" s="5">
        <f t="shared" si="68"/>
        <v>0</v>
      </c>
    </row>
    <row r="1427" spans="3:11" x14ac:dyDescent="0.2">
      <c r="C1427" t="s">
        <v>243</v>
      </c>
      <c r="D1427" t="b">
        <f t="shared" ca="1" si="69"/>
        <v>1</v>
      </c>
      <c r="E1427" s="5">
        <f t="shared" si="70"/>
        <v>0</v>
      </c>
      <c r="F1427">
        <v>9843.74</v>
      </c>
      <c r="G1427">
        <v>9843.74</v>
      </c>
      <c r="H1427">
        <v>9843.74</v>
      </c>
      <c r="J1427" s="5">
        <f t="shared" si="68"/>
        <v>0</v>
      </c>
      <c r="K1427" s="5">
        <f t="shared" si="68"/>
        <v>0</v>
      </c>
    </row>
    <row r="1428" spans="3:11" x14ac:dyDescent="0.2">
      <c r="C1428" t="s">
        <v>242</v>
      </c>
      <c r="D1428" t="b">
        <f t="shared" ca="1" si="69"/>
        <v>1</v>
      </c>
      <c r="E1428" s="5">
        <f t="shared" si="70"/>
        <v>0</v>
      </c>
      <c r="F1428">
        <v>3810.08</v>
      </c>
      <c r="G1428">
        <v>3810.08</v>
      </c>
      <c r="H1428">
        <v>3810.08</v>
      </c>
      <c r="J1428" s="5">
        <f t="shared" si="68"/>
        <v>0</v>
      </c>
      <c r="K1428" s="5">
        <f t="shared" si="68"/>
        <v>0</v>
      </c>
    </row>
    <row r="1429" spans="3:11" x14ac:dyDescent="0.2">
      <c r="C1429" t="s">
        <v>242</v>
      </c>
      <c r="D1429" t="b">
        <f t="shared" ca="1" si="69"/>
        <v>0</v>
      </c>
      <c r="E1429" s="5">
        <f t="shared" si="70"/>
        <v>1.2142797904022318</v>
      </c>
      <c r="F1429" s="2">
        <v>1.3263499999999999E-13</v>
      </c>
      <c r="G1429" s="2">
        <v>2.9369100000000001E-13</v>
      </c>
      <c r="H1429" s="2">
        <v>2.84217E-14</v>
      </c>
      <c r="I1429" s="2"/>
      <c r="J1429" s="5">
        <f t="shared" si="68"/>
        <v>1.2142797904022318</v>
      </c>
      <c r="K1429" s="5">
        <f t="shared" si="68"/>
        <v>0.90322583940263745</v>
      </c>
    </row>
    <row r="1430" spans="3:11" x14ac:dyDescent="0.2">
      <c r="C1430" t="s">
        <v>241</v>
      </c>
      <c r="D1430" t="b">
        <f t="shared" ca="1" si="69"/>
        <v>1</v>
      </c>
      <c r="E1430" s="5">
        <f t="shared" si="70"/>
        <v>0</v>
      </c>
      <c r="F1430">
        <v>1.10992E-2</v>
      </c>
      <c r="G1430">
        <v>1.10992E-2</v>
      </c>
      <c r="H1430">
        <v>1.10992E-2</v>
      </c>
      <c r="J1430" s="5">
        <f t="shared" si="68"/>
        <v>0</v>
      </c>
      <c r="K1430" s="5">
        <f t="shared" si="68"/>
        <v>0</v>
      </c>
    </row>
    <row r="1431" spans="3:11" x14ac:dyDescent="0.2">
      <c r="C1431" t="s">
        <v>241</v>
      </c>
      <c r="D1431" t="b">
        <f t="shared" ca="1" si="69"/>
        <v>1</v>
      </c>
      <c r="E1431" s="5">
        <f t="shared" si="70"/>
        <v>2.0323773343041113E-5</v>
      </c>
      <c r="F1431">
        <v>6.3964499999999997E-3</v>
      </c>
      <c r="G1431">
        <v>6.3965799999999998E-3</v>
      </c>
      <c r="H1431">
        <v>6.3965799999999998E-3</v>
      </c>
      <c r="J1431" s="5">
        <f t="shared" si="68"/>
        <v>2.0323773343041113E-5</v>
      </c>
      <c r="K1431" s="5">
        <f t="shared" si="68"/>
        <v>0</v>
      </c>
    </row>
    <row r="1432" spans="3:11" x14ac:dyDescent="0.2">
      <c r="C1432" t="s">
        <v>240</v>
      </c>
      <c r="D1432" t="b">
        <f t="shared" ca="1" si="69"/>
        <v>1</v>
      </c>
      <c r="E1432" s="5">
        <f t="shared" si="70"/>
        <v>6.171209934271367E-5</v>
      </c>
      <c r="F1432">
        <v>2.9167700000000001</v>
      </c>
      <c r="G1432">
        <v>2.9169499999999999</v>
      </c>
      <c r="H1432">
        <v>2.9169499999999999</v>
      </c>
      <c r="J1432" s="5">
        <f t="shared" si="68"/>
        <v>6.171209934271367E-5</v>
      </c>
      <c r="K1432" s="5">
        <f t="shared" si="68"/>
        <v>0</v>
      </c>
    </row>
    <row r="1433" spans="3:11" x14ac:dyDescent="0.2">
      <c r="C1433" t="s">
        <v>240</v>
      </c>
      <c r="D1433" t="b">
        <f t="shared" ca="1" si="69"/>
        <v>1</v>
      </c>
      <c r="E1433" s="5">
        <f t="shared" si="70"/>
        <v>8.9017799850984211E-5</v>
      </c>
      <c r="F1433">
        <v>2.6960899999999999</v>
      </c>
      <c r="G1433">
        <v>2.6963300000000001</v>
      </c>
      <c r="H1433">
        <v>2.6963300000000001</v>
      </c>
      <c r="J1433" s="5">
        <f t="shared" si="68"/>
        <v>8.9017799850984211E-5</v>
      </c>
      <c r="K1433" s="5">
        <f t="shared" si="68"/>
        <v>0</v>
      </c>
    </row>
    <row r="1434" spans="3:11" x14ac:dyDescent="0.2">
      <c r="C1434" t="s">
        <v>239</v>
      </c>
      <c r="D1434" t="b">
        <f t="shared" ca="1" si="69"/>
        <v>1</v>
      </c>
      <c r="E1434" s="5">
        <f t="shared" si="70"/>
        <v>0</v>
      </c>
      <c r="F1434">
        <v>29.5167</v>
      </c>
      <c r="G1434">
        <v>29.5167</v>
      </c>
      <c r="H1434">
        <v>29.5167</v>
      </c>
      <c r="J1434" s="5">
        <f t="shared" si="68"/>
        <v>0</v>
      </c>
      <c r="K1434" s="5">
        <f t="shared" si="68"/>
        <v>0</v>
      </c>
    </row>
    <row r="1435" spans="3:11" x14ac:dyDescent="0.2">
      <c r="C1435" t="s">
        <v>239</v>
      </c>
      <c r="D1435" t="b">
        <f t="shared" ca="1" si="69"/>
        <v>1</v>
      </c>
      <c r="E1435" s="5">
        <f t="shared" si="70"/>
        <v>0</v>
      </c>
      <c r="F1435">
        <v>29.5167</v>
      </c>
      <c r="G1435">
        <v>29.5167</v>
      </c>
      <c r="H1435">
        <v>29.5167</v>
      </c>
      <c r="J1435" s="5">
        <f t="shared" si="68"/>
        <v>0</v>
      </c>
      <c r="K1435" s="5">
        <f t="shared" si="68"/>
        <v>0</v>
      </c>
    </row>
    <row r="1436" spans="3:11" x14ac:dyDescent="0.2">
      <c r="C1436" t="s">
        <v>238</v>
      </c>
      <c r="D1436" t="b">
        <f t="shared" ca="1" si="69"/>
        <v>1</v>
      </c>
      <c r="E1436" s="5">
        <f t="shared" si="70"/>
        <v>0</v>
      </c>
      <c r="F1436">
        <v>18.866599999999998</v>
      </c>
      <c r="G1436">
        <v>18.866599999999998</v>
      </c>
      <c r="H1436">
        <v>18.866599999999998</v>
      </c>
      <c r="J1436" s="5">
        <f t="shared" si="68"/>
        <v>0</v>
      </c>
      <c r="K1436" s="5">
        <f t="shared" si="68"/>
        <v>0</v>
      </c>
    </row>
    <row r="1437" spans="3:11" x14ac:dyDescent="0.2">
      <c r="C1437" t="s">
        <v>238</v>
      </c>
      <c r="D1437" t="b">
        <f t="shared" ca="1" si="69"/>
        <v>1</v>
      </c>
      <c r="E1437" s="5">
        <f t="shared" si="70"/>
        <v>1.3426783748189659E-5</v>
      </c>
      <c r="F1437">
        <v>14.8956</v>
      </c>
      <c r="G1437">
        <v>14.895799999999999</v>
      </c>
      <c r="H1437">
        <v>14.895799999999999</v>
      </c>
      <c r="J1437" s="5">
        <f t="shared" si="68"/>
        <v>1.3426783748189659E-5</v>
      </c>
      <c r="K1437" s="5">
        <f t="shared" si="68"/>
        <v>0</v>
      </c>
    </row>
  </sheetData>
  <autoFilter ref="C6:G1437" xr:uid="{BF2B4B09-2E93-3C47-9B04-3A9DC04CF29A}"/>
  <conditionalFormatting sqref="D7 D8:E1437">
    <cfRule type="containsText" dxfId="7" priority="3" operator="containsText" text="false">
      <formula>NOT(ISERROR(SEARCH("false",D7)))</formula>
    </cfRule>
  </conditionalFormatting>
  <conditionalFormatting sqref="D8:E1437">
    <cfRule type="containsText" dxfId="6" priority="4" operator="containsText" text="false">
      <formula>NOT(ISERROR(SEARCH("false",D8)))</formula>
    </cfRule>
  </conditionalFormatting>
  <conditionalFormatting sqref="E8:E1437">
    <cfRule type="containsText" dxfId="5" priority="2" operator="containsText" text="false">
      <formula>NOT(ISERROR(SEARCH("false",E8)))</formula>
    </cfRule>
  </conditionalFormatting>
  <conditionalFormatting sqref="E7:E1437">
    <cfRule type="containsText" dxfId="4" priority="1" operator="containsText" text="false">
      <formula>NOT(ISERROR(SEARCH("false",E7)))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4"/>
  <sheetViews>
    <sheetView workbookViewId="0">
      <pane xSplit="3" ySplit="6" topLeftCell="D7" activePane="bottomRight" state="frozen"/>
      <selection pane="topRight" activeCell="B1" sqref="B1"/>
      <selection pane="bottomLeft" activeCell="A7" sqref="A7"/>
      <selection pane="bottomRight" activeCell="F28" sqref="F28"/>
    </sheetView>
  </sheetViews>
  <sheetFormatPr baseColWidth="10" defaultRowHeight="16" x14ac:dyDescent="0.2"/>
  <cols>
    <col min="1" max="2" width="20.1640625" customWidth="1"/>
    <col min="3" max="3" width="49.33203125" bestFit="1" customWidth="1"/>
    <col min="4" max="5" width="14.1640625" customWidth="1"/>
    <col min="6" max="6" width="19.33203125" customWidth="1"/>
    <col min="7" max="9" width="17.1640625" customWidth="1"/>
    <col min="10" max="11" width="10.83203125" style="5"/>
  </cols>
  <sheetData>
    <row r="1" spans="1:11" s="3" customFormat="1" x14ac:dyDescent="0.2">
      <c r="A1" s="6" t="s">
        <v>1627</v>
      </c>
      <c r="B1" s="7">
        <f ca="1">COUNTIF(D7:D54,TRUE)</f>
        <v>38</v>
      </c>
      <c r="C1" t="s">
        <v>0</v>
      </c>
      <c r="D1" s="3" t="s">
        <v>57</v>
      </c>
      <c r="E1" s="3" t="s">
        <v>1653</v>
      </c>
      <c r="F1" t="s">
        <v>2358</v>
      </c>
      <c r="G1" t="s">
        <v>1658</v>
      </c>
      <c r="H1" t="s">
        <v>1656</v>
      </c>
      <c r="I1"/>
      <c r="J1" s="13"/>
      <c r="K1" s="13"/>
    </row>
    <row r="2" spans="1:11" x14ac:dyDescent="0.2">
      <c r="A2" s="8" t="s">
        <v>1628</v>
      </c>
      <c r="B2" s="9">
        <f ca="1">COUNTIF(D7:D54,FALSE)</f>
        <v>10</v>
      </c>
      <c r="C2" t="s">
        <v>1</v>
      </c>
      <c r="F2" s="1">
        <v>44648</v>
      </c>
      <c r="G2" s="1">
        <v>44831</v>
      </c>
      <c r="H2" s="1">
        <v>44649</v>
      </c>
      <c r="I2" s="1"/>
    </row>
    <row r="3" spans="1:11" x14ac:dyDescent="0.2">
      <c r="A3" s="10" t="s">
        <v>1654</v>
      </c>
      <c r="B3" s="11">
        <v>1E-4</v>
      </c>
      <c r="C3" t="s">
        <v>2</v>
      </c>
      <c r="F3" t="s">
        <v>3</v>
      </c>
      <c r="G3" t="s">
        <v>3</v>
      </c>
      <c r="H3" t="s">
        <v>3</v>
      </c>
      <c r="J3" t="s">
        <v>2359</v>
      </c>
      <c r="K3" t="s">
        <v>1657</v>
      </c>
    </row>
    <row r="4" spans="1:11" x14ac:dyDescent="0.2">
      <c r="A4" s="12" t="s">
        <v>1655</v>
      </c>
      <c r="C4" t="s">
        <v>4</v>
      </c>
      <c r="F4" s="1">
        <v>44690</v>
      </c>
      <c r="G4" s="1">
        <v>44868</v>
      </c>
      <c r="H4" s="1">
        <v>44708</v>
      </c>
      <c r="I4" s="1"/>
      <c r="J4">
        <f>COUNTIF(J7:J54,"&gt;" &amp;$B3)</f>
        <v>10</v>
      </c>
      <c r="K4">
        <f>COUNTIF(K7:K54,"&gt;" &amp;$B3)</f>
        <v>0</v>
      </c>
    </row>
    <row r="5" spans="1:11" x14ac:dyDescent="0.2">
      <c r="C5" t="s">
        <v>5</v>
      </c>
      <c r="F5" t="s">
        <v>6</v>
      </c>
      <c r="G5" t="s">
        <v>6</v>
      </c>
      <c r="H5" t="s">
        <v>6</v>
      </c>
    </row>
    <row r="6" spans="1:11" x14ac:dyDescent="0.2">
      <c r="C6" t="s">
        <v>7</v>
      </c>
      <c r="F6" t="s">
        <v>8</v>
      </c>
      <c r="G6" t="s">
        <v>8</v>
      </c>
      <c r="H6" t="s">
        <v>8</v>
      </c>
    </row>
    <row r="7" spans="1:11" x14ac:dyDescent="0.2">
      <c r="C7" t="s">
        <v>9</v>
      </c>
      <c r="D7" t="b">
        <f ca="1">IF(CELL("format",F7)="G",IF(ABS(F7-G7) &lt;= ABS(F7*B$3),TRUE,FALSE),IF(F7=G7,TRUE,FALSE))</f>
        <v>1</v>
      </c>
      <c r="E7" s="5">
        <f>ABS(F7-G7)/ABS(F7)</f>
        <v>0</v>
      </c>
      <c r="F7">
        <v>77.760000000000005</v>
      </c>
      <c r="G7">
        <v>77.760000000000005</v>
      </c>
      <c r="H7">
        <v>77.760000000000005</v>
      </c>
      <c r="J7" s="5">
        <f t="shared" ref="J7:K54" si="0">ABS(F7-G7)/ABS(F7)</f>
        <v>0</v>
      </c>
      <c r="K7" s="5">
        <f t="shared" si="0"/>
        <v>0</v>
      </c>
    </row>
    <row r="8" spans="1:11" x14ac:dyDescent="0.2">
      <c r="C8" t="s">
        <v>10</v>
      </c>
      <c r="D8" t="b">
        <f t="shared" ref="D8:D17" ca="1" si="1">IF(CELL("format",F8)="G",IF(ABS(F8-G8) &lt;= ABS(F8*B$3),TRUE,FALSE),IF(F8=G8,TRUE,FALSE))</f>
        <v>1</v>
      </c>
      <c r="E8" s="5">
        <f t="shared" ref="E8:E17" si="2">ABS(F8-G8)/ABS(F8)</f>
        <v>0</v>
      </c>
      <c r="F8">
        <v>77.760000000000005</v>
      </c>
      <c r="G8">
        <v>77.760000000000005</v>
      </c>
      <c r="H8">
        <v>77.760000000000005</v>
      </c>
      <c r="J8" s="5">
        <f t="shared" si="0"/>
        <v>0</v>
      </c>
      <c r="K8" s="5">
        <f t="shared" si="0"/>
        <v>0</v>
      </c>
    </row>
    <row r="9" spans="1:11" x14ac:dyDescent="0.2">
      <c r="C9" t="s">
        <v>11</v>
      </c>
      <c r="D9" t="b">
        <f t="shared" ca="1" si="1"/>
        <v>1</v>
      </c>
      <c r="E9" s="5">
        <f t="shared" si="2"/>
        <v>0</v>
      </c>
      <c r="F9">
        <v>31.189</v>
      </c>
      <c r="G9">
        <v>31.189</v>
      </c>
      <c r="H9">
        <v>31.189</v>
      </c>
      <c r="J9" s="5">
        <f t="shared" si="0"/>
        <v>0</v>
      </c>
      <c r="K9" s="5">
        <f t="shared" si="0"/>
        <v>0</v>
      </c>
    </row>
    <row r="10" spans="1:11" x14ac:dyDescent="0.2">
      <c r="C10" t="s">
        <v>12</v>
      </c>
      <c r="D10" t="b">
        <f t="shared" ca="1" si="1"/>
        <v>1</v>
      </c>
      <c r="E10" s="5" t="e">
        <f t="shared" si="2"/>
        <v>#DIV/0!</v>
      </c>
      <c r="F10">
        <v>0</v>
      </c>
      <c r="G10">
        <v>0</v>
      </c>
      <c r="H10">
        <v>0</v>
      </c>
      <c r="J10" s="5" t="e">
        <f t="shared" si="0"/>
        <v>#DIV/0!</v>
      </c>
      <c r="K10" s="5" t="e">
        <f t="shared" si="0"/>
        <v>#DIV/0!</v>
      </c>
    </row>
    <row r="11" spans="1:11" x14ac:dyDescent="0.2">
      <c r="C11" t="s">
        <v>13</v>
      </c>
      <c r="D11" t="b">
        <f t="shared" ca="1" si="1"/>
        <v>1</v>
      </c>
      <c r="E11" s="5">
        <f t="shared" si="2"/>
        <v>0</v>
      </c>
      <c r="F11">
        <v>31.189</v>
      </c>
      <c r="G11">
        <v>31.189</v>
      </c>
      <c r="H11">
        <v>31.189</v>
      </c>
      <c r="J11" s="5">
        <f t="shared" si="0"/>
        <v>0</v>
      </c>
      <c r="K11" s="5">
        <f t="shared" si="0"/>
        <v>0</v>
      </c>
    </row>
    <row r="12" spans="1:11" x14ac:dyDescent="0.2">
      <c r="C12" t="s">
        <v>14</v>
      </c>
      <c r="D12" t="b">
        <f t="shared" ca="1" si="1"/>
        <v>1</v>
      </c>
      <c r="E12" s="5">
        <f t="shared" si="2"/>
        <v>0</v>
      </c>
      <c r="F12">
        <v>31.225999999999999</v>
      </c>
      <c r="G12">
        <v>31.225999999999999</v>
      </c>
      <c r="H12">
        <v>31.225999999999999</v>
      </c>
      <c r="J12" s="5">
        <f t="shared" si="0"/>
        <v>0</v>
      </c>
      <c r="K12" s="5">
        <f t="shared" si="0"/>
        <v>0</v>
      </c>
    </row>
    <row r="13" spans="1:11" x14ac:dyDescent="0.2">
      <c r="C13" t="s">
        <v>15</v>
      </c>
      <c r="D13" t="b">
        <f t="shared" ca="1" si="1"/>
        <v>1</v>
      </c>
      <c r="E13" s="5">
        <f t="shared" si="2"/>
        <v>0</v>
      </c>
      <c r="F13">
        <v>31.19</v>
      </c>
      <c r="G13">
        <v>31.19</v>
      </c>
      <c r="H13">
        <v>31.19</v>
      </c>
      <c r="J13" s="5">
        <f t="shared" si="0"/>
        <v>0</v>
      </c>
      <c r="K13" s="5">
        <f t="shared" si="0"/>
        <v>0</v>
      </c>
    </row>
    <row r="14" spans="1:11" x14ac:dyDescent="0.2">
      <c r="C14" t="s">
        <v>16</v>
      </c>
      <c r="D14" t="b">
        <f t="shared" ca="1" si="1"/>
        <v>1</v>
      </c>
      <c r="E14" s="5">
        <f t="shared" si="2"/>
        <v>0</v>
      </c>
      <c r="F14">
        <v>31.225999999999999</v>
      </c>
      <c r="G14">
        <v>31.225999999999999</v>
      </c>
      <c r="H14">
        <v>31.225999999999999</v>
      </c>
      <c r="J14" s="5">
        <f t="shared" si="0"/>
        <v>0</v>
      </c>
      <c r="K14" s="5">
        <f t="shared" si="0"/>
        <v>0</v>
      </c>
    </row>
    <row r="15" spans="1:11" x14ac:dyDescent="0.2">
      <c r="C15" t="s">
        <v>17</v>
      </c>
      <c r="D15" t="b">
        <f t="shared" ca="1" si="1"/>
        <v>0</v>
      </c>
      <c r="E15" s="5">
        <f t="shared" si="2"/>
        <v>7.4359808523484863E-4</v>
      </c>
      <c r="F15">
        <v>43.033999999999999</v>
      </c>
      <c r="G15">
        <v>43.002000000000002</v>
      </c>
      <c r="H15">
        <v>43.002000000000002</v>
      </c>
      <c r="J15" s="5">
        <f t="shared" si="0"/>
        <v>7.4359808523484863E-4</v>
      </c>
      <c r="K15" s="5">
        <f t="shared" si="0"/>
        <v>0</v>
      </c>
    </row>
    <row r="16" spans="1:11" x14ac:dyDescent="0.2">
      <c r="C16" t="s">
        <v>18</v>
      </c>
      <c r="D16" t="b">
        <f t="shared" ca="1" si="1"/>
        <v>0</v>
      </c>
      <c r="E16" s="5">
        <f t="shared" si="2"/>
        <v>7.8543026851888664E-4</v>
      </c>
      <c r="F16">
        <v>40.741999999999997</v>
      </c>
      <c r="G16">
        <v>40.71</v>
      </c>
      <c r="H16">
        <v>40.71</v>
      </c>
      <c r="J16" s="5">
        <f t="shared" si="0"/>
        <v>7.8543026851888664E-4</v>
      </c>
      <c r="K16" s="5">
        <f t="shared" si="0"/>
        <v>0</v>
      </c>
    </row>
    <row r="17" spans="3:11" x14ac:dyDescent="0.2">
      <c r="C17" t="s">
        <v>19</v>
      </c>
      <c r="D17" t="b">
        <f t="shared" ca="1" si="1"/>
        <v>0</v>
      </c>
      <c r="E17" s="5">
        <f t="shared" si="2"/>
        <v>7.2595281306704596E-4</v>
      </c>
      <c r="F17">
        <v>35.814999999999998</v>
      </c>
      <c r="G17">
        <v>35.789000000000001</v>
      </c>
      <c r="H17">
        <v>35.789000000000001</v>
      </c>
      <c r="J17" s="5">
        <f t="shared" si="0"/>
        <v>7.2595281306704596E-4</v>
      </c>
      <c r="K17" s="5">
        <f t="shared" si="0"/>
        <v>0</v>
      </c>
    </row>
    <row r="18" spans="3:11" x14ac:dyDescent="0.2">
      <c r="C18" t="s">
        <v>20</v>
      </c>
      <c r="D18" t="b">
        <f t="shared" ref="D18:D54" ca="1" si="3">IF(CELL("format",F18)="G",IF(ABS(F18-G18) &lt;= ABS(F18*B$3),TRUE,FALSE),IF(F18=G18,TRUE,FALSE))</f>
        <v>1</v>
      </c>
      <c r="E18" s="5">
        <f t="shared" ref="E18:E54" si="4">ABS(F18-G18)/ABS(F18)</f>
        <v>0</v>
      </c>
      <c r="F18">
        <v>77.760000000000005</v>
      </c>
      <c r="G18">
        <v>77.760000000000005</v>
      </c>
      <c r="H18">
        <v>77.760000000000005</v>
      </c>
      <c r="J18" s="5">
        <f t="shared" si="0"/>
        <v>0</v>
      </c>
      <c r="K18" s="5">
        <f t="shared" si="0"/>
        <v>0</v>
      </c>
    </row>
    <row r="19" spans="3:11" x14ac:dyDescent="0.2">
      <c r="C19" t="s">
        <v>21</v>
      </c>
      <c r="D19" t="b">
        <f t="shared" ca="1" si="3"/>
        <v>1</v>
      </c>
      <c r="E19" s="5">
        <f t="shared" si="4"/>
        <v>0</v>
      </c>
      <c r="F19">
        <v>97.2</v>
      </c>
      <c r="G19">
        <v>97.2</v>
      </c>
      <c r="H19">
        <v>97.2</v>
      </c>
      <c r="J19" s="5">
        <f t="shared" si="0"/>
        <v>0</v>
      </c>
      <c r="K19" s="5">
        <f t="shared" si="0"/>
        <v>0</v>
      </c>
    </row>
    <row r="20" spans="3:11" x14ac:dyDescent="0.2">
      <c r="C20" t="s">
        <v>22</v>
      </c>
      <c r="D20" t="b">
        <f t="shared" ca="1" si="3"/>
        <v>1</v>
      </c>
      <c r="E20" s="5">
        <f t="shared" si="4"/>
        <v>0</v>
      </c>
      <c r="F20">
        <v>38.380000000000003</v>
      </c>
      <c r="G20">
        <v>38.380000000000003</v>
      </c>
      <c r="H20">
        <v>38.380000000000003</v>
      </c>
      <c r="J20" s="5">
        <f t="shared" si="0"/>
        <v>0</v>
      </c>
      <c r="K20" s="5">
        <f t="shared" si="0"/>
        <v>0</v>
      </c>
    </row>
    <row r="21" spans="3:11" x14ac:dyDescent="0.2">
      <c r="C21" t="s">
        <v>23</v>
      </c>
      <c r="D21" t="b">
        <f t="shared" ca="1" si="3"/>
        <v>1</v>
      </c>
      <c r="E21" s="5" t="e">
        <f t="shared" si="4"/>
        <v>#DIV/0!</v>
      </c>
      <c r="F21">
        <v>0</v>
      </c>
      <c r="G21">
        <v>0</v>
      </c>
      <c r="H21">
        <v>0</v>
      </c>
      <c r="J21" s="5" t="e">
        <f t="shared" si="0"/>
        <v>#DIV/0!</v>
      </c>
      <c r="K21" s="5" t="e">
        <f t="shared" si="0"/>
        <v>#DIV/0!</v>
      </c>
    </row>
    <row r="22" spans="3:11" x14ac:dyDescent="0.2">
      <c r="C22" t="s">
        <v>24</v>
      </c>
      <c r="D22" t="b">
        <f t="shared" ca="1" si="3"/>
        <v>1</v>
      </c>
      <c r="E22" s="5">
        <f t="shared" si="4"/>
        <v>0</v>
      </c>
      <c r="F22">
        <v>39.03</v>
      </c>
      <c r="G22">
        <v>39.03</v>
      </c>
      <c r="H22">
        <v>39.03</v>
      </c>
      <c r="J22" s="5">
        <f t="shared" si="0"/>
        <v>0</v>
      </c>
      <c r="K22" s="5">
        <f t="shared" si="0"/>
        <v>0</v>
      </c>
    </row>
    <row r="23" spans="3:11" x14ac:dyDescent="0.2">
      <c r="C23" t="s">
        <v>25</v>
      </c>
      <c r="D23" t="b">
        <f t="shared" ca="1" si="3"/>
        <v>1</v>
      </c>
      <c r="E23" s="5">
        <f t="shared" si="4"/>
        <v>0</v>
      </c>
      <c r="F23">
        <v>37.31</v>
      </c>
      <c r="G23">
        <v>37.31</v>
      </c>
      <c r="H23">
        <v>37.31</v>
      </c>
      <c r="J23" s="5">
        <f t="shared" si="0"/>
        <v>0</v>
      </c>
      <c r="K23" s="5">
        <f t="shared" si="0"/>
        <v>0</v>
      </c>
    </row>
    <row r="24" spans="3:11" x14ac:dyDescent="0.2">
      <c r="C24" t="s">
        <v>26</v>
      </c>
      <c r="D24" t="b">
        <f t="shared" ca="1" si="3"/>
        <v>1</v>
      </c>
      <c r="E24" s="5">
        <f t="shared" si="4"/>
        <v>0</v>
      </c>
      <c r="F24">
        <v>38.32</v>
      </c>
      <c r="G24">
        <v>38.32</v>
      </c>
      <c r="H24">
        <v>38.32</v>
      </c>
      <c r="J24" s="5">
        <f t="shared" si="0"/>
        <v>0</v>
      </c>
      <c r="K24" s="5">
        <f t="shared" si="0"/>
        <v>0</v>
      </c>
    </row>
    <row r="25" spans="3:11" x14ac:dyDescent="0.2">
      <c r="C25" t="s">
        <v>27</v>
      </c>
      <c r="D25" t="b">
        <f t="shared" ca="1" si="3"/>
        <v>1</v>
      </c>
      <c r="E25" s="5">
        <f t="shared" si="4"/>
        <v>0</v>
      </c>
      <c r="F25">
        <v>37.31</v>
      </c>
      <c r="G25">
        <v>37.31</v>
      </c>
      <c r="H25">
        <v>37.31</v>
      </c>
      <c r="J25" s="5">
        <f t="shared" si="0"/>
        <v>0</v>
      </c>
      <c r="K25" s="5">
        <f t="shared" si="0"/>
        <v>0</v>
      </c>
    </row>
    <row r="26" spans="3:11" x14ac:dyDescent="0.2">
      <c r="C26" t="s">
        <v>28</v>
      </c>
      <c r="D26" t="b">
        <f t="shared" ca="1" si="3"/>
        <v>0</v>
      </c>
      <c r="E26" s="5">
        <f t="shared" si="4"/>
        <v>7.5800644305488443E-4</v>
      </c>
      <c r="F26">
        <v>52.77</v>
      </c>
      <c r="G26">
        <v>52.73</v>
      </c>
      <c r="H26">
        <v>52.73</v>
      </c>
      <c r="J26" s="5">
        <f t="shared" si="0"/>
        <v>7.5800644305488443E-4</v>
      </c>
      <c r="K26" s="5">
        <f t="shared" si="0"/>
        <v>0</v>
      </c>
    </row>
    <row r="27" spans="3:11" x14ac:dyDescent="0.2">
      <c r="C27" t="s">
        <v>29</v>
      </c>
      <c r="D27" t="b">
        <f t="shared" ca="1" si="3"/>
        <v>0</v>
      </c>
      <c r="E27" s="5">
        <f t="shared" si="4"/>
        <v>8.0160320641280863E-4</v>
      </c>
      <c r="F27">
        <v>49.9</v>
      </c>
      <c r="G27">
        <v>49.86</v>
      </c>
      <c r="H27">
        <v>49.86</v>
      </c>
      <c r="J27" s="5">
        <f t="shared" si="0"/>
        <v>8.0160320641280863E-4</v>
      </c>
      <c r="K27" s="5">
        <f t="shared" si="0"/>
        <v>0</v>
      </c>
    </row>
    <row r="28" spans="3:11" x14ac:dyDescent="0.2">
      <c r="C28" t="s">
        <v>30</v>
      </c>
      <c r="D28" t="b">
        <f t="shared" ca="1" si="3"/>
        <v>0</v>
      </c>
      <c r="E28" s="5">
        <f t="shared" si="4"/>
        <v>9.212344541685662E-4</v>
      </c>
      <c r="F28">
        <v>43.42</v>
      </c>
      <c r="G28">
        <v>43.38</v>
      </c>
      <c r="H28">
        <v>43.38</v>
      </c>
      <c r="J28" s="5">
        <f t="shared" si="0"/>
        <v>9.212344541685662E-4</v>
      </c>
      <c r="K28" s="5">
        <f t="shared" si="0"/>
        <v>0</v>
      </c>
    </row>
    <row r="29" spans="3:11" x14ac:dyDescent="0.2">
      <c r="C29" t="s">
        <v>31</v>
      </c>
      <c r="D29" t="b">
        <f t="shared" ca="1" si="3"/>
        <v>1</v>
      </c>
      <c r="E29" s="5">
        <f t="shared" si="4"/>
        <v>0</v>
      </c>
      <c r="F29">
        <v>2.6315799999999999E-4</v>
      </c>
      <c r="G29">
        <v>2.6315799999999999E-4</v>
      </c>
      <c r="H29">
        <v>2.6315799999999999E-4</v>
      </c>
      <c r="J29" s="5">
        <f t="shared" si="0"/>
        <v>0</v>
      </c>
      <c r="K29" s="5">
        <f t="shared" si="0"/>
        <v>0</v>
      </c>
    </row>
    <row r="30" spans="3:11" x14ac:dyDescent="0.2">
      <c r="C30" t="s">
        <v>32</v>
      </c>
      <c r="D30" t="b">
        <f t="shared" ca="1" si="3"/>
        <v>1</v>
      </c>
      <c r="E30" s="5">
        <f t="shared" si="4"/>
        <v>0</v>
      </c>
      <c r="F30">
        <v>3.2894700000000001E-4</v>
      </c>
      <c r="G30">
        <v>3.2894700000000001E-4</v>
      </c>
      <c r="H30">
        <v>3.2894700000000001E-4</v>
      </c>
      <c r="J30" s="5">
        <f t="shared" si="0"/>
        <v>0</v>
      </c>
      <c r="K30" s="5">
        <f t="shared" si="0"/>
        <v>0</v>
      </c>
    </row>
    <row r="31" spans="3:11" x14ac:dyDescent="0.2">
      <c r="C31" t="s">
        <v>33</v>
      </c>
      <c r="D31" t="b">
        <f t="shared" ca="1" si="3"/>
        <v>1</v>
      </c>
      <c r="E31" s="5">
        <f t="shared" si="4"/>
        <v>0</v>
      </c>
      <c r="F31">
        <v>1.29887E-4</v>
      </c>
      <c r="G31">
        <v>1.29887E-4</v>
      </c>
      <c r="H31">
        <v>1.29887E-4</v>
      </c>
      <c r="J31" s="5">
        <f t="shared" si="0"/>
        <v>0</v>
      </c>
      <c r="K31" s="5">
        <f t="shared" si="0"/>
        <v>0</v>
      </c>
    </row>
    <row r="32" spans="3:11" x14ac:dyDescent="0.2">
      <c r="C32" t="s">
        <v>34</v>
      </c>
      <c r="D32" t="b">
        <f t="shared" ca="1" si="3"/>
        <v>1</v>
      </c>
      <c r="E32" s="5" t="e">
        <f t="shared" si="4"/>
        <v>#DIV/0!</v>
      </c>
      <c r="F32">
        <v>0</v>
      </c>
      <c r="G32">
        <v>0</v>
      </c>
      <c r="H32">
        <v>0</v>
      </c>
      <c r="J32" s="5" t="e">
        <f t="shared" si="0"/>
        <v>#DIV/0!</v>
      </c>
      <c r="K32" s="5" t="e">
        <f t="shared" si="0"/>
        <v>#DIV/0!</v>
      </c>
    </row>
    <row r="33" spans="3:11" x14ac:dyDescent="0.2">
      <c r="C33" t="s">
        <v>35</v>
      </c>
      <c r="D33" t="b">
        <f t="shared" ca="1" si="3"/>
        <v>1</v>
      </c>
      <c r="E33" s="5">
        <f t="shared" si="4"/>
        <v>0</v>
      </c>
      <c r="F33">
        <v>1.32087E-4</v>
      </c>
      <c r="G33">
        <v>1.32087E-4</v>
      </c>
      <c r="H33">
        <v>1.32087E-4</v>
      </c>
      <c r="J33" s="5">
        <f t="shared" si="0"/>
        <v>0</v>
      </c>
      <c r="K33" s="5">
        <f t="shared" si="0"/>
        <v>0</v>
      </c>
    </row>
    <row r="34" spans="3:11" x14ac:dyDescent="0.2">
      <c r="C34" t="s">
        <v>36</v>
      </c>
      <c r="D34" t="b">
        <f t="shared" ca="1" si="3"/>
        <v>1</v>
      </c>
      <c r="E34" s="5">
        <f t="shared" si="4"/>
        <v>0</v>
      </c>
      <c r="F34">
        <v>1.2626599999999999E-4</v>
      </c>
      <c r="G34">
        <v>1.2626599999999999E-4</v>
      </c>
      <c r="H34">
        <v>1.2626599999999999E-4</v>
      </c>
      <c r="J34" s="5">
        <f t="shared" si="0"/>
        <v>0</v>
      </c>
      <c r="K34" s="5">
        <f t="shared" si="0"/>
        <v>0</v>
      </c>
    </row>
    <row r="35" spans="3:11" x14ac:dyDescent="0.2">
      <c r="C35" t="s">
        <v>37</v>
      </c>
      <c r="D35" t="b">
        <f t="shared" ca="1" si="3"/>
        <v>1</v>
      </c>
      <c r="E35" s="5">
        <f t="shared" si="4"/>
        <v>0</v>
      </c>
      <c r="F35">
        <v>1.29684E-4</v>
      </c>
      <c r="G35">
        <v>1.29684E-4</v>
      </c>
      <c r="H35">
        <v>1.29684E-4</v>
      </c>
      <c r="J35" s="5">
        <f t="shared" si="0"/>
        <v>0</v>
      </c>
      <c r="K35" s="5">
        <f t="shared" si="0"/>
        <v>0</v>
      </c>
    </row>
    <row r="36" spans="3:11" x14ac:dyDescent="0.2">
      <c r="C36" t="s">
        <v>38</v>
      </c>
      <c r="D36" t="b">
        <f t="shared" ca="1" si="3"/>
        <v>1</v>
      </c>
      <c r="E36" s="5">
        <f t="shared" si="4"/>
        <v>0</v>
      </c>
      <c r="F36">
        <v>1.2626599999999999E-4</v>
      </c>
      <c r="G36">
        <v>1.2626599999999999E-4</v>
      </c>
      <c r="H36">
        <v>1.2626599999999999E-4</v>
      </c>
      <c r="J36" s="5">
        <f t="shared" si="0"/>
        <v>0</v>
      </c>
      <c r="K36" s="5">
        <f t="shared" si="0"/>
        <v>0</v>
      </c>
    </row>
    <row r="37" spans="3:11" x14ac:dyDescent="0.2">
      <c r="C37" t="s">
        <v>39</v>
      </c>
      <c r="D37" t="b">
        <f t="shared" ca="1" si="3"/>
        <v>0</v>
      </c>
      <c r="E37" s="5">
        <f t="shared" si="4"/>
        <v>7.5593831543352451E-4</v>
      </c>
      <c r="F37">
        <v>1.78586E-4</v>
      </c>
      <c r="G37">
        <v>1.7845099999999999E-4</v>
      </c>
      <c r="H37">
        <v>1.7845099999999999E-4</v>
      </c>
      <c r="J37" s="5">
        <f t="shared" si="0"/>
        <v>7.5593831543352451E-4</v>
      </c>
      <c r="K37" s="5">
        <f t="shared" si="0"/>
        <v>0</v>
      </c>
    </row>
    <row r="38" spans="3:11" x14ac:dyDescent="0.2">
      <c r="C38" t="s">
        <v>40</v>
      </c>
      <c r="D38" t="b">
        <f t="shared" ca="1" si="3"/>
        <v>0</v>
      </c>
      <c r="E38" s="5">
        <f t="shared" si="4"/>
        <v>7.9941731360243685E-4</v>
      </c>
      <c r="F38">
        <v>1.6887299999999999E-4</v>
      </c>
      <c r="G38">
        <v>1.6873800000000001E-4</v>
      </c>
      <c r="H38">
        <v>1.6873800000000001E-4</v>
      </c>
      <c r="J38" s="5">
        <f t="shared" si="0"/>
        <v>7.9941731360243685E-4</v>
      </c>
      <c r="K38" s="5">
        <f t="shared" si="0"/>
        <v>0</v>
      </c>
    </row>
    <row r="39" spans="3:11" x14ac:dyDescent="0.2">
      <c r="C39" t="s">
        <v>41</v>
      </c>
      <c r="D39" t="b">
        <f t="shared" ca="1" si="3"/>
        <v>0</v>
      </c>
      <c r="E39" s="5">
        <f t="shared" si="4"/>
        <v>9.1872358669677578E-4</v>
      </c>
      <c r="F39">
        <v>1.4694299999999999E-4</v>
      </c>
      <c r="G39">
        <v>1.4680800000000001E-4</v>
      </c>
      <c r="H39">
        <v>1.4680800000000001E-4</v>
      </c>
      <c r="J39" s="5">
        <f t="shared" si="0"/>
        <v>9.1872358669677578E-4</v>
      </c>
      <c r="K39" s="5">
        <f t="shared" si="0"/>
        <v>0</v>
      </c>
    </row>
    <row r="40" spans="3:11" x14ac:dyDescent="0.2">
      <c r="C40" t="s">
        <v>42</v>
      </c>
      <c r="D40" t="b">
        <f t="shared" ca="1" si="3"/>
        <v>1</v>
      </c>
      <c r="E40" s="5">
        <f t="shared" si="4"/>
        <v>0</v>
      </c>
      <c r="F40">
        <v>433.33300000000003</v>
      </c>
      <c r="G40">
        <v>433.33300000000003</v>
      </c>
      <c r="H40">
        <v>433.33300000000003</v>
      </c>
      <c r="J40" s="5">
        <f t="shared" si="0"/>
        <v>0</v>
      </c>
      <c r="K40" s="5">
        <f t="shared" si="0"/>
        <v>0</v>
      </c>
    </row>
    <row r="41" spans="3:11" x14ac:dyDescent="0.2">
      <c r="C41" t="s">
        <v>43</v>
      </c>
      <c r="D41" t="b">
        <f t="shared" ca="1" si="3"/>
        <v>1</v>
      </c>
      <c r="E41" s="5">
        <f t="shared" si="4"/>
        <v>0</v>
      </c>
      <c r="F41">
        <v>172.22200000000001</v>
      </c>
      <c r="G41">
        <v>172.22200000000001</v>
      </c>
      <c r="H41">
        <v>172.22200000000001</v>
      </c>
      <c r="J41" s="5">
        <f t="shared" si="0"/>
        <v>0</v>
      </c>
      <c r="K41" s="5">
        <f t="shared" si="0"/>
        <v>0</v>
      </c>
    </row>
    <row r="42" spans="3:11" x14ac:dyDescent="0.2">
      <c r="C42" t="s">
        <v>44</v>
      </c>
      <c r="D42" t="b">
        <f t="shared" ca="1" si="3"/>
        <v>1</v>
      </c>
      <c r="E42" s="5">
        <f t="shared" si="4"/>
        <v>0</v>
      </c>
      <c r="F42">
        <v>475</v>
      </c>
      <c r="G42">
        <v>475</v>
      </c>
      <c r="H42">
        <v>475</v>
      </c>
      <c r="J42" s="5">
        <f t="shared" si="0"/>
        <v>0</v>
      </c>
      <c r="K42" s="5">
        <f t="shared" si="0"/>
        <v>0</v>
      </c>
    </row>
    <row r="43" spans="3:11" x14ac:dyDescent="0.2">
      <c r="C43" t="s">
        <v>45</v>
      </c>
      <c r="D43" t="b">
        <f t="shared" ca="1" si="3"/>
        <v>1</v>
      </c>
      <c r="E43" s="5">
        <f t="shared" si="4"/>
        <v>0</v>
      </c>
      <c r="F43">
        <v>294.44400000000002</v>
      </c>
      <c r="G43">
        <v>294.44400000000002</v>
      </c>
      <c r="H43">
        <v>294.44400000000002</v>
      </c>
      <c r="J43" s="5">
        <f t="shared" si="0"/>
        <v>0</v>
      </c>
      <c r="K43" s="5">
        <f t="shared" si="0"/>
        <v>0</v>
      </c>
    </row>
    <row r="44" spans="3:11" x14ac:dyDescent="0.2">
      <c r="C44" t="s">
        <v>46</v>
      </c>
      <c r="D44" t="b">
        <f t="shared" ca="1" si="3"/>
        <v>1</v>
      </c>
      <c r="E44" s="5">
        <f t="shared" si="4"/>
        <v>0</v>
      </c>
      <c r="F44">
        <v>277.77800000000002</v>
      </c>
      <c r="G44">
        <v>277.77800000000002</v>
      </c>
      <c r="H44">
        <v>277.77800000000002</v>
      </c>
      <c r="J44" s="5">
        <f t="shared" si="0"/>
        <v>0</v>
      </c>
      <c r="K44" s="5">
        <f t="shared" si="0"/>
        <v>0</v>
      </c>
    </row>
    <row r="45" spans="3:11" x14ac:dyDescent="0.2">
      <c r="C45" t="s">
        <v>47</v>
      </c>
      <c r="D45" t="b">
        <f t="shared" ca="1" si="3"/>
        <v>1</v>
      </c>
      <c r="E45" s="5">
        <f t="shared" si="4"/>
        <v>0</v>
      </c>
      <c r="F45">
        <v>483.33300000000003</v>
      </c>
      <c r="G45">
        <v>483.33300000000003</v>
      </c>
      <c r="H45">
        <v>483.33300000000003</v>
      </c>
      <c r="J45" s="5">
        <f t="shared" si="0"/>
        <v>0</v>
      </c>
      <c r="K45" s="5">
        <f t="shared" si="0"/>
        <v>0</v>
      </c>
    </row>
    <row r="46" spans="3:11" x14ac:dyDescent="0.2">
      <c r="C46" t="s">
        <v>48</v>
      </c>
      <c r="D46" t="b">
        <f t="shared" ca="1" si="3"/>
        <v>1</v>
      </c>
      <c r="E46" s="5">
        <f t="shared" si="4"/>
        <v>0</v>
      </c>
      <c r="F46">
        <v>20.000299999999999</v>
      </c>
      <c r="G46">
        <v>20.000299999999999</v>
      </c>
      <c r="H46">
        <v>20.000299999999999</v>
      </c>
      <c r="J46" s="5">
        <f t="shared" si="0"/>
        <v>0</v>
      </c>
      <c r="K46" s="5">
        <f t="shared" si="0"/>
        <v>0</v>
      </c>
    </row>
    <row r="47" spans="3:11" x14ac:dyDescent="0.2">
      <c r="C47" t="s">
        <v>49</v>
      </c>
      <c r="D47" t="b">
        <f t="shared" ca="1" si="3"/>
        <v>1</v>
      </c>
      <c r="E47" s="5">
        <f t="shared" si="4"/>
        <v>5.3946743774420046E-6</v>
      </c>
      <c r="F47">
        <v>18.536799999999999</v>
      </c>
      <c r="G47">
        <v>18.536899999999999</v>
      </c>
      <c r="H47">
        <v>18.536899999999999</v>
      </c>
      <c r="J47" s="5">
        <f t="shared" si="0"/>
        <v>5.3946743774420046E-6</v>
      </c>
      <c r="K47" s="5">
        <f t="shared" si="0"/>
        <v>0</v>
      </c>
    </row>
    <row r="48" spans="3:11" x14ac:dyDescent="0.2">
      <c r="C48" t="s">
        <v>50</v>
      </c>
      <c r="D48" t="b">
        <f t="shared" ca="1" si="3"/>
        <v>0</v>
      </c>
      <c r="E48" s="5">
        <f t="shared" si="4"/>
        <v>2.9268863782709061E-4</v>
      </c>
      <c r="F48">
        <v>15.374700000000001</v>
      </c>
      <c r="G48">
        <v>15.379200000000001</v>
      </c>
      <c r="H48">
        <v>15.379200000000001</v>
      </c>
      <c r="J48" s="5">
        <f t="shared" si="0"/>
        <v>2.9268863782709061E-4</v>
      </c>
      <c r="K48" s="5">
        <f t="shared" si="0"/>
        <v>0</v>
      </c>
    </row>
    <row r="49" spans="3:11" x14ac:dyDescent="0.2">
      <c r="C49" t="s">
        <v>51</v>
      </c>
      <c r="D49" t="b">
        <f t="shared" ca="1" si="3"/>
        <v>1</v>
      </c>
      <c r="E49" s="5">
        <f t="shared" si="4"/>
        <v>0</v>
      </c>
      <c r="F49">
        <v>20.0014</v>
      </c>
      <c r="G49">
        <v>20.0014</v>
      </c>
      <c r="H49">
        <v>20.0014</v>
      </c>
      <c r="J49" s="5">
        <f t="shared" si="0"/>
        <v>0</v>
      </c>
      <c r="K49" s="5">
        <f t="shared" si="0"/>
        <v>0</v>
      </c>
    </row>
    <row r="50" spans="3:11" x14ac:dyDescent="0.2">
      <c r="C50" t="s">
        <v>52</v>
      </c>
      <c r="D50" t="b">
        <f t="shared" ca="1" si="3"/>
        <v>1</v>
      </c>
      <c r="E50" s="5">
        <f t="shared" si="4"/>
        <v>0</v>
      </c>
      <c r="F50">
        <v>20.0014</v>
      </c>
      <c r="G50">
        <v>20.0014</v>
      </c>
      <c r="H50">
        <v>20.0014</v>
      </c>
      <c r="J50" s="5">
        <f t="shared" si="0"/>
        <v>0</v>
      </c>
      <c r="K50" s="5">
        <f t="shared" si="0"/>
        <v>0</v>
      </c>
    </row>
    <row r="51" spans="3:11" x14ac:dyDescent="0.2">
      <c r="C51" t="s">
        <v>53</v>
      </c>
      <c r="D51" t="b">
        <f t="shared" ca="1" si="3"/>
        <v>1</v>
      </c>
      <c r="E51" s="5">
        <f t="shared" si="4"/>
        <v>0</v>
      </c>
      <c r="F51">
        <v>20.0014</v>
      </c>
      <c r="G51">
        <v>20.0014</v>
      </c>
      <c r="H51">
        <v>20.0014</v>
      </c>
      <c r="J51" s="5">
        <f t="shared" si="0"/>
        <v>0</v>
      </c>
      <c r="K51" s="5">
        <f t="shared" si="0"/>
        <v>0</v>
      </c>
    </row>
    <row r="52" spans="3:11" x14ac:dyDescent="0.2">
      <c r="C52" t="s">
        <v>54</v>
      </c>
      <c r="D52" t="b">
        <f t="shared" ca="1" si="3"/>
        <v>1</v>
      </c>
      <c r="E52" s="5">
        <f t="shared" si="4"/>
        <v>0</v>
      </c>
      <c r="F52">
        <v>20</v>
      </c>
      <c r="G52">
        <v>20</v>
      </c>
      <c r="H52">
        <v>20</v>
      </c>
      <c r="J52" s="5">
        <f t="shared" si="0"/>
        <v>0</v>
      </c>
      <c r="K52" s="5">
        <f t="shared" si="0"/>
        <v>0</v>
      </c>
    </row>
    <row r="53" spans="3:11" x14ac:dyDescent="0.2">
      <c r="C53" t="s">
        <v>55</v>
      </c>
      <c r="D53" t="b">
        <f t="shared" ca="1" si="3"/>
        <v>1</v>
      </c>
      <c r="E53" s="5">
        <f t="shared" si="4"/>
        <v>0</v>
      </c>
      <c r="F53">
        <v>15</v>
      </c>
      <c r="G53">
        <v>15</v>
      </c>
      <c r="H53">
        <v>15</v>
      </c>
      <c r="J53" s="5">
        <f t="shared" si="0"/>
        <v>0</v>
      </c>
      <c r="K53" s="5">
        <f t="shared" si="0"/>
        <v>0</v>
      </c>
    </row>
    <row r="54" spans="3:11" x14ac:dyDescent="0.2">
      <c r="C54" t="s">
        <v>56</v>
      </c>
      <c r="D54" t="b">
        <f t="shared" ca="1" si="3"/>
        <v>1</v>
      </c>
      <c r="E54" s="5">
        <f t="shared" si="4"/>
        <v>0</v>
      </c>
      <c r="F54">
        <v>1.85761</v>
      </c>
      <c r="G54">
        <v>1.85761</v>
      </c>
      <c r="H54">
        <v>1.85761</v>
      </c>
      <c r="J54" s="5">
        <f t="shared" si="0"/>
        <v>0</v>
      </c>
      <c r="K54" s="5">
        <f t="shared" si="0"/>
        <v>0</v>
      </c>
    </row>
  </sheetData>
  <autoFilter ref="C6:G54" xr:uid="{BF2B4B09-2E93-3C47-9B04-3A9DC04CF29A}"/>
  <conditionalFormatting sqref="D7:D54 D8:E54">
    <cfRule type="containsText" dxfId="3" priority="3" operator="containsText" text="false">
      <formula>NOT(ISERROR(SEARCH("false",D7)))</formula>
    </cfRule>
  </conditionalFormatting>
  <conditionalFormatting sqref="D8:E54">
    <cfRule type="containsText" dxfId="2" priority="4" operator="containsText" text="false">
      <formula>NOT(ISERROR(SEARCH("false",D8)))</formula>
    </cfRule>
  </conditionalFormatting>
  <conditionalFormatting sqref="E8:E54">
    <cfRule type="containsText" dxfId="1" priority="2" operator="containsText" text="false">
      <formula>NOT(ISERROR(SEARCH("false",E8)))</formula>
    </cfRule>
  </conditionalFormatting>
  <conditionalFormatting sqref="E7:E54">
    <cfRule type="containsText" dxfId="0" priority="1" operator="containsText" text="false">
      <formula>NOT(ISERROR(SEARCH("false",E7)))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 Envelope</vt:lpstr>
      <vt:lpstr>AB CE</vt:lpstr>
      <vt:lpstr>AB 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Goldwasser</dc:creator>
  <cp:lastModifiedBy>Microsoft Office User</cp:lastModifiedBy>
  <dcterms:created xsi:type="dcterms:W3CDTF">2019-04-11T22:29:36Z</dcterms:created>
  <dcterms:modified xsi:type="dcterms:W3CDTF">2023-05-09T05:36:17Z</dcterms:modified>
</cp:coreProperties>
</file>